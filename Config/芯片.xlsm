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ThisWorkbook" defaultThemeVersion="124226"/>
  <bookViews>
    <workbookView xWindow="240" yWindow="105" windowWidth="14805" windowHeight="8010"/>
  </bookViews>
  <sheets>
    <sheet name="芯片" sheetId="1" r:id="rId1"/>
    <sheet name="枚举" sheetId="2" r:id="rId2"/>
    <sheet name="形状描述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V18" i="1" l="1"/>
  <c r="F55" i="1" l="1"/>
  <c r="F56" i="1"/>
  <c r="F57" i="1"/>
  <c r="F54" i="1" l="1"/>
  <c r="F4" i="1" l="1"/>
  <c r="F5" i="1"/>
  <c r="F6" i="1"/>
  <c r="F7" i="1"/>
  <c r="F8" i="1"/>
  <c r="F9" i="1"/>
  <c r="F10" i="1"/>
  <c r="F11" i="1"/>
  <c r="F12" i="1"/>
  <c r="T37" i="3" l="1"/>
  <c r="N37" i="3"/>
  <c r="H37" i="3"/>
  <c r="T29" i="3"/>
  <c r="N29" i="3"/>
  <c r="H29" i="3"/>
  <c r="Z20" i="3"/>
  <c r="T20" i="3"/>
  <c r="N20" i="3"/>
  <c r="H20" i="3"/>
  <c r="T10" i="3"/>
  <c r="N10" i="3"/>
  <c r="H10" i="3"/>
  <c r="Z1" i="3"/>
  <c r="T1" i="3"/>
  <c r="N1" i="3"/>
  <c r="H1" i="3"/>
  <c r="P45" i="1" l="1"/>
  <c r="P46" i="1" s="1"/>
  <c r="P47" i="1" s="1"/>
  <c r="P48" i="1" s="1"/>
  <c r="P49" i="1" s="1"/>
  <c r="P50" i="1" s="1"/>
  <c r="P51" i="1" s="1"/>
  <c r="P52" i="1" s="1"/>
  <c r="P53" i="1" s="1"/>
  <c r="P35" i="1"/>
  <c r="P36" i="1" s="1"/>
  <c r="P37" i="1" s="1"/>
  <c r="P38" i="1" s="1"/>
  <c r="P39" i="1" s="1"/>
  <c r="P40" i="1" s="1"/>
  <c r="P41" i="1" s="1"/>
  <c r="P42" i="1" s="1"/>
  <c r="P43" i="1" s="1"/>
  <c r="P25" i="1"/>
  <c r="P26" i="1" s="1"/>
  <c r="P27" i="1" s="1"/>
  <c r="P28" i="1" s="1"/>
  <c r="P29" i="1" s="1"/>
  <c r="P30" i="1" s="1"/>
  <c r="P31" i="1" s="1"/>
  <c r="P32" i="1" s="1"/>
  <c r="P33" i="1" s="1"/>
  <c r="Q34" i="1"/>
  <c r="Q35" i="1" s="1"/>
  <c r="P15" i="1"/>
  <c r="P16" i="1" s="1"/>
  <c r="P17" i="1" s="1"/>
  <c r="P18" i="1" s="1"/>
  <c r="P19" i="1" s="1"/>
  <c r="P20" i="1" s="1"/>
  <c r="P21" i="1" s="1"/>
  <c r="P22" i="1" s="1"/>
  <c r="P23" i="1" s="1"/>
  <c r="Q44" i="1"/>
  <c r="Q45" i="1" s="1"/>
  <c r="Q24" i="1"/>
  <c r="Q25" i="1" s="1"/>
  <c r="Q14" i="1"/>
  <c r="R14" i="1" s="1"/>
  <c r="I14" i="1" s="1"/>
  <c r="Q4" i="1"/>
  <c r="H4" i="1" s="1"/>
  <c r="P5" i="1"/>
  <c r="P6" i="1" s="1"/>
  <c r="P7" i="1" s="1"/>
  <c r="P8" i="1" s="1"/>
  <c r="P9" i="1" s="1"/>
  <c r="P10" i="1" s="1"/>
  <c r="P11" i="1" s="1"/>
  <c r="P12" i="1" s="1"/>
  <c r="P13" i="1" s="1"/>
  <c r="H14" i="1" l="1"/>
  <c r="Q15" i="1"/>
  <c r="R15" i="1" s="1"/>
  <c r="I15" i="1" s="1"/>
  <c r="R4" i="1"/>
  <c r="I4" i="1" s="1"/>
  <c r="Q5" i="1"/>
  <c r="Q46" i="1"/>
  <c r="R45" i="1"/>
  <c r="R44" i="1"/>
  <c r="I44" i="1" s="1"/>
  <c r="H44" i="1"/>
  <c r="R35" i="1"/>
  <c r="I35" i="1" s="1"/>
  <c r="Q36" i="1"/>
  <c r="R34" i="1"/>
  <c r="I34" i="1" s="1"/>
  <c r="H34" i="1"/>
  <c r="H35" i="1"/>
  <c r="Q26" i="1"/>
  <c r="R25" i="1"/>
  <c r="I25" i="1" s="1"/>
  <c r="R24" i="1"/>
  <c r="I24" i="1" s="1"/>
  <c r="H25" i="1"/>
  <c r="H24" i="1"/>
  <c r="E15" i="1"/>
  <c r="E16" i="1"/>
  <c r="E17" i="1"/>
  <c r="E18" i="1"/>
  <c r="E19" i="1"/>
  <c r="E20" i="1"/>
  <c r="E21" i="1"/>
  <c r="E22" i="1"/>
  <c r="E23" i="1"/>
  <c r="E14" i="1"/>
  <c r="Q16" i="1" l="1"/>
  <c r="Q17" i="1" s="1"/>
  <c r="E30" i="1"/>
  <c r="F19" i="1"/>
  <c r="E26" i="1"/>
  <c r="F15" i="1"/>
  <c r="E33" i="1"/>
  <c r="F22" i="1"/>
  <c r="E29" i="1"/>
  <c r="F18" i="1"/>
  <c r="E25" i="1"/>
  <c r="F14" i="1"/>
  <c r="E32" i="1"/>
  <c r="F21" i="1"/>
  <c r="E28" i="1"/>
  <c r="F17" i="1"/>
  <c r="E24" i="1"/>
  <c r="F13" i="1"/>
  <c r="E31" i="1"/>
  <c r="F20" i="1"/>
  <c r="E27" i="1"/>
  <c r="F16" i="1"/>
  <c r="H15" i="1"/>
  <c r="Q6" i="1"/>
  <c r="R5" i="1"/>
  <c r="I5" i="1" s="1"/>
  <c r="H5" i="1"/>
  <c r="Q47" i="1"/>
  <c r="R46" i="1"/>
  <c r="I45" i="1"/>
  <c r="H45" i="1"/>
  <c r="Q37" i="1"/>
  <c r="R36" i="1"/>
  <c r="I36" i="1" s="1"/>
  <c r="Q27" i="1"/>
  <c r="R26" i="1"/>
  <c r="I26" i="1" s="1"/>
  <c r="H36" i="1"/>
  <c r="H26" i="1"/>
  <c r="H16" i="1"/>
  <c r="Z6" i="1"/>
  <c r="R16" i="1" l="1"/>
  <c r="I16" i="1" s="1"/>
  <c r="E37" i="1"/>
  <c r="F26" i="1"/>
  <c r="E34" i="1"/>
  <c r="F23" i="1"/>
  <c r="E42" i="1"/>
  <c r="F31" i="1"/>
  <c r="E39" i="1"/>
  <c r="F28" i="1"/>
  <c r="E36" i="1"/>
  <c r="F25" i="1"/>
  <c r="E41" i="1"/>
  <c r="F30" i="1"/>
  <c r="E38" i="1"/>
  <c r="F27" i="1"/>
  <c r="E35" i="1"/>
  <c r="F24" i="1"/>
  <c r="E43" i="1"/>
  <c r="F32" i="1"/>
  <c r="E40" i="1"/>
  <c r="F29" i="1"/>
  <c r="Q7" i="1"/>
  <c r="R6" i="1"/>
  <c r="I6" i="1" s="1"/>
  <c r="H6" i="1"/>
  <c r="R47" i="1"/>
  <c r="Q48" i="1"/>
  <c r="I46" i="1"/>
  <c r="H46" i="1"/>
  <c r="R37" i="1"/>
  <c r="I37" i="1" s="1"/>
  <c r="Q38" i="1"/>
  <c r="R27" i="1"/>
  <c r="I27" i="1" s="1"/>
  <c r="Q28" i="1"/>
  <c r="H37" i="1"/>
  <c r="H27" i="1"/>
  <c r="R17" i="1"/>
  <c r="I17" i="1" s="1"/>
  <c r="H17" i="1"/>
  <c r="Q18" i="1"/>
  <c r="E45" i="1" l="1"/>
  <c r="F34" i="1"/>
  <c r="E51" i="1"/>
  <c r="F40" i="1"/>
  <c r="E49" i="1"/>
  <c r="F38" i="1"/>
  <c r="E44" i="1"/>
  <c r="F43" i="1" s="1"/>
  <c r="F33" i="1"/>
  <c r="E48" i="1"/>
  <c r="F37" i="1"/>
  <c r="E50" i="1"/>
  <c r="F39" i="1"/>
  <c r="E53" i="1"/>
  <c r="F42" i="1"/>
  <c r="E46" i="1"/>
  <c r="F35" i="1"/>
  <c r="E52" i="1"/>
  <c r="F41" i="1"/>
  <c r="E47" i="1"/>
  <c r="F46" i="1" s="1"/>
  <c r="F36" i="1"/>
  <c r="R7" i="1"/>
  <c r="I7" i="1" s="1"/>
  <c r="H7" i="1"/>
  <c r="Q8" i="1"/>
  <c r="Q49" i="1"/>
  <c r="R48" i="1"/>
  <c r="I47" i="1"/>
  <c r="H47" i="1"/>
  <c r="Q39" i="1"/>
  <c r="R38" i="1"/>
  <c r="I38" i="1" s="1"/>
  <c r="Q29" i="1"/>
  <c r="R28" i="1"/>
  <c r="I28" i="1" s="1"/>
  <c r="H38" i="1"/>
  <c r="H28" i="1"/>
  <c r="R18" i="1"/>
  <c r="I18" i="1" s="1"/>
  <c r="Q19" i="1"/>
  <c r="H18" i="1"/>
  <c r="F45" i="1" l="1"/>
  <c r="F49" i="1"/>
  <c r="F50" i="1"/>
  <c r="F51" i="1"/>
  <c r="F52" i="1"/>
  <c r="F53" i="1"/>
  <c r="F47" i="1"/>
  <c r="F48" i="1"/>
  <c r="F44" i="1"/>
  <c r="R8" i="1"/>
  <c r="I8" i="1" s="1"/>
  <c r="H8" i="1"/>
  <c r="Q9" i="1"/>
  <c r="Q50" i="1"/>
  <c r="R49" i="1"/>
  <c r="H48" i="1"/>
  <c r="I48" i="1"/>
  <c r="R39" i="1"/>
  <c r="I39" i="1" s="1"/>
  <c r="Q40" i="1"/>
  <c r="Q30" i="1"/>
  <c r="R29" i="1"/>
  <c r="I29" i="1" s="1"/>
  <c r="H39" i="1"/>
  <c r="H29" i="1"/>
  <c r="R19" i="1"/>
  <c r="I19" i="1" s="1"/>
  <c r="H19" i="1"/>
  <c r="Q20" i="1"/>
  <c r="R9" i="1" l="1"/>
  <c r="I9" i="1" s="1"/>
  <c r="Q10" i="1"/>
  <c r="H9" i="1"/>
  <c r="Q51" i="1"/>
  <c r="R50" i="1"/>
  <c r="I49" i="1"/>
  <c r="H49" i="1"/>
  <c r="Q41" i="1"/>
  <c r="R40" i="1"/>
  <c r="I40" i="1" s="1"/>
  <c r="Q31" i="1"/>
  <c r="R30" i="1"/>
  <c r="I30" i="1" s="1"/>
  <c r="H40" i="1"/>
  <c r="H30" i="1"/>
  <c r="R20" i="1"/>
  <c r="I20" i="1" s="1"/>
  <c r="H20" i="1"/>
  <c r="Q21" i="1"/>
  <c r="R10" i="1" l="1"/>
  <c r="I10" i="1" s="1"/>
  <c r="Q11" i="1"/>
  <c r="H10" i="1"/>
  <c r="R51" i="1"/>
  <c r="Q52" i="1"/>
  <c r="I50" i="1"/>
  <c r="H50" i="1"/>
  <c r="R41" i="1"/>
  <c r="I41" i="1" s="1"/>
  <c r="Q42" i="1"/>
  <c r="R31" i="1"/>
  <c r="I31" i="1" s="1"/>
  <c r="Q32" i="1"/>
  <c r="H41" i="1"/>
  <c r="H31" i="1"/>
  <c r="R21" i="1"/>
  <c r="I21" i="1" s="1"/>
  <c r="H21" i="1"/>
  <c r="Q22" i="1"/>
  <c r="R11" i="1" l="1"/>
  <c r="I11" i="1" s="1"/>
  <c r="H11" i="1"/>
  <c r="Q12" i="1"/>
  <c r="Q53" i="1"/>
  <c r="R53" i="1" s="1"/>
  <c r="R52" i="1"/>
  <c r="I51" i="1"/>
  <c r="H51" i="1"/>
  <c r="Q43" i="1"/>
  <c r="R43" i="1" s="1"/>
  <c r="R42" i="1"/>
  <c r="I42" i="1" s="1"/>
  <c r="Q33" i="1"/>
  <c r="R33" i="1" s="1"/>
  <c r="R32" i="1"/>
  <c r="I32" i="1" s="1"/>
  <c r="H42" i="1"/>
  <c r="H32" i="1"/>
  <c r="Q23" i="1"/>
  <c r="R22" i="1"/>
  <c r="I22" i="1" s="1"/>
  <c r="H22" i="1"/>
  <c r="R12" i="1" l="1"/>
  <c r="I12" i="1" s="1"/>
  <c r="Q13" i="1"/>
  <c r="H12" i="1"/>
  <c r="H52" i="1"/>
  <c r="I52" i="1"/>
  <c r="I43" i="1"/>
  <c r="H43" i="1"/>
  <c r="I33" i="1"/>
  <c r="H33" i="1"/>
  <c r="R23" i="1"/>
  <c r="I23" i="1" s="1"/>
  <c r="H23" i="1"/>
  <c r="H13" i="1" l="1"/>
  <c r="R13" i="1"/>
  <c r="I13" i="1" s="1"/>
  <c r="I53" i="1"/>
  <c r="H53" i="1"/>
</calcChain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芯片的作用范围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邻接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全局</t>
        </r>
      </text>
    </comment>
  </commentList>
</comments>
</file>

<file path=xl/sharedStrings.xml><?xml version="1.0" encoding="utf-8"?>
<sst xmlns="http://schemas.openxmlformats.org/spreadsheetml/2006/main" count="277" uniqueCount="90">
  <si>
    <t>芯片ID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</si>
  <si>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</si>
  <si>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</si>
  <si>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</si>
  <si>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</si>
  <si>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</si>
  <si>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描述</t>
    <phoneticPr fontId="1" type="noConversion"/>
  </si>
  <si>
    <t>descrip</t>
    <phoneticPr fontId="1" type="noConversion"/>
  </si>
  <si>
    <t>等级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</si>
  <si>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</si>
  <si>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</si>
  <si>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</si>
  <si>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作用域</t>
    <phoneticPr fontId="1" type="noConversion"/>
  </si>
  <si>
    <t>ActiveArea</t>
  </si>
  <si>
    <t>ActiveArea</t>
    <phoneticPr fontId="1" type="noConversion"/>
  </si>
  <si>
    <t>activeArea</t>
    <phoneticPr fontId="1" type="noConversion"/>
  </si>
  <si>
    <t>int</t>
    <phoneticPr fontId="1" type="noConversion"/>
  </si>
  <si>
    <t>能耗下限</t>
    <phoneticPr fontId="1" type="noConversion"/>
  </si>
  <si>
    <t>能耗上限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</si>
  <si>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</si>
  <si>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</si>
  <si>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</si>
  <si>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</si>
  <si>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形状描述</t>
    <phoneticPr fontId="1" type="noConversion"/>
  </si>
  <si>
    <t>model</t>
    <phoneticPr fontId="1" type="noConversion"/>
  </si>
  <si>
    <t>SD.DG</t>
  </si>
  <si>
    <t>GS.DG</t>
  </si>
  <si>
    <t>RSN</t>
  </si>
  <si>
    <t>GHS.50</t>
  </si>
  <si>
    <t>增加实弹伤害</t>
  </si>
  <si>
    <t>增加光束伤害</t>
  </si>
  <si>
    <t>近战吸血</t>
  </si>
  <si>
    <t>远程吸血</t>
  </si>
  <si>
    <t>生命值增加</t>
    <phoneticPr fontId="1" type="noConversion"/>
  </si>
  <si>
    <t>DE.P</t>
    <phoneticPr fontId="1" type="noConversion"/>
  </si>
  <si>
    <t>Border</t>
  </si>
  <si>
    <t>Border</t>
    <phoneticPr fontId="1" type="noConversion"/>
  </si>
  <si>
    <t>Overall</t>
    <phoneticPr fontId="1" type="noConversion"/>
  </si>
  <si>
    <t>消耗下限（合成）</t>
  </si>
  <si>
    <t>消耗下限（自然产出）</t>
  </si>
  <si>
    <t>消耗上限</t>
  </si>
  <si>
    <t>RSN</t>
    <phoneticPr fontId="1" type="noConversion"/>
  </si>
  <si>
    <t>RSN</t>
    <phoneticPr fontId="1" type="noConversion"/>
  </si>
  <si>
    <t>GHS.50</t>
    <phoneticPr fontId="1" type="noConversion"/>
  </si>
  <si>
    <t>DE.P</t>
    <phoneticPr fontId="1" type="noConversion"/>
  </si>
  <si>
    <t>SD.DG</t>
    <phoneticPr fontId="1" type="noConversion"/>
  </si>
  <si>
    <t>0;0;0;0;0;1;2;1;0;0;1;3;0;0;0;0|3;1;0;0;1;2;1;0;0;0;1;0;0;0;0;0|0;1;0;0;0;2;1;0;0;1;0;0;0;0;3;0|0;0;0;0;0;3;1;0;1;2;0;0;0;0;0;0|0;1;0;0;0;2;3;0;0;1;0;0;0;0;0;0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</si>
  <si>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</si>
  <si>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</si>
  <si>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</si>
  <si>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int[|;]</t>
    <phoneticPr fontId="1" type="noConversion"/>
  </si>
  <si>
    <t>颜色</t>
    <phoneticPr fontId="1" type="noConversion"/>
  </si>
  <si>
    <t>string</t>
    <phoneticPr fontId="1" type="noConversion"/>
  </si>
  <si>
    <t>color</t>
    <phoneticPr fontId="1" type="noConversion"/>
  </si>
  <si>
    <t>83FFFFFF</t>
    <phoneticPr fontId="1" type="noConversion"/>
  </si>
  <si>
    <t>GHS.50</t>
    <phoneticPr fontId="1" type="noConversion"/>
  </si>
  <si>
    <t>FF0000FF</t>
  </si>
  <si>
    <t>FFD811FF</t>
  </si>
  <si>
    <t>FF7A7AFF</t>
  </si>
  <si>
    <t>GS.DG</t>
    <phoneticPr fontId="1" type="noConversion"/>
  </si>
  <si>
    <t>costDownwards</t>
    <phoneticPr fontId="1" type="noConversion"/>
  </si>
  <si>
    <t>costUpwards</t>
    <phoneticPr fontId="1" type="noConversion"/>
  </si>
  <si>
    <t>升级对应ID</t>
    <phoneticPr fontId="1" type="noConversion"/>
  </si>
  <si>
    <t>ulong</t>
    <phoneticPr fontId="1" type="noConversion"/>
  </si>
  <si>
    <t>upgradeId</t>
    <phoneticPr fontId="1" type="noConversion"/>
  </si>
  <si>
    <t>C95B1FFF</t>
  </si>
  <si>
    <t>YoRHa.Type B</t>
    <phoneticPr fontId="1" type="noConversion"/>
  </si>
  <si>
    <t>YoRHa.Type B</t>
    <phoneticPr fontId="1" type="noConversion"/>
  </si>
  <si>
    <t>连接测试</t>
    <phoneticPr fontId="1" type="noConversion"/>
  </si>
  <si>
    <t>76B7FFFF</t>
  </si>
  <si>
    <t>0;0;0;0;0;1;2;1;0;0;1;3;0;0;0;0|3;1;0;0;1;2;1;0;0;0;1;0;0;0;0;0|0;1;0;0;0;2;1;0;0;1;0;0;0;0;3;0|0;0;0;0;0;3;1;0;1;2;0;0;0;0;0;0|0;1;0;0;0;2;3;0;0;1;0;0;0;0;0;0</t>
    <phoneticPr fontId="1" type="noConversion"/>
  </si>
  <si>
    <t>0;0;0;0;0;1;2;1;0;0;1;3;0;0;0;0|3;1;0;0;1;2;1;0;0;0;1;0;0;0;0;0|0;1;0;0;0;2;1;0;0;1;0;0;0;0;3;0|0;0;0;0;0;3;1;0;1;2;0;0;0;0;0;0|0;1;0;0;0;2;3;0;0;1;0;0;0;0;0;0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</si>
  <si>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</si>
  <si>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0;0;0;0;1;2;1;0;0;3;0;0;0;0;0;0|0;0;0;0;0;1;1;3;0;0;2;0;0;1;0;0|0;1;0;0;1;2;1;0;3;0;0;0;0;0;0;0|0;1;0;0;3;0;2;0;0;0;1;0;0;0;0;0</t>
    <phoneticPr fontId="1" type="noConversion"/>
  </si>
  <si>
    <t>0;0;1;0;0;3;0;0;0;0;2;0;0;1;0;0|0;3;0;0;0;0;2;0;0;1;0;0;0;0;1;0|1;0;1;0;0;2;0;0;0;3;0;0;0;0;0;0|0;0;0;0;1;2;3;0;0;1;0;0;0;0;0;0|0;0;0;0;0;0;0;1;1;0;2;0;0;3;0;0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</si>
  <si>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</si>
  <si>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0;0;0;0;0;3;0;1;1;0;2;0;0;0;0;0|0;0;0;0;0;3;0;1;0;0;2;0;0;0;0;1|0;0;0;0;1;0;1;0;0;2;0;0;3;0;1;0|1;0;3;0;0;2;0;1;1;0;0;0;0;0;0;0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</si>
  <si>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</si>
  <si>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0;0;0;0;0;0;1;3;0;2;0;0;0;0;1;1|0;0;0;0;0;0;1;0;3;2;0;0;0;0;1;0|0;0;0;1;0;0;2;0;0;3;1;0;0;0;0;0|0;0;1;0;0;3;0;1;0;0;2;0;0;1;0;0</t>
    <phoneticPr fontId="1" type="noConversion"/>
  </si>
  <si>
    <t>0;0;0;0;0;0;0;0;0;2;1;3;0;0;0;0|0;2;0;0;0;1;0;0;0;3;0;0;0;0;0;0|0;0;0;0;0;0;3;0;0;0;1;0;0;0;2;0|0;0;0;0;0;0;0;0;0;3;1;2;0;0;0;0</t>
  </si>
  <si>
    <t>绑定技能</t>
    <phoneticPr fontId="1" type="noConversion"/>
  </si>
  <si>
    <t>ulong</t>
    <phoneticPr fontId="1" type="noConversion"/>
  </si>
  <si>
    <t>bindSkill</t>
    <phoneticPr fontId="1" type="noConversion"/>
  </si>
  <si>
    <t>属性加成</t>
    <phoneticPr fontId="1" type="noConversion"/>
  </si>
  <si>
    <t>propertyAddition</t>
    <phoneticPr fontId="1" type="noConversion"/>
  </si>
  <si>
    <t>string[|:]</t>
    <phoneticPr fontId="1" type="noConversion"/>
  </si>
  <si>
    <t>p_pat:1</t>
    <phoneticPr fontId="1" type="noConversion"/>
  </si>
  <si>
    <t>p_pat:1</t>
    <phoneticPr fontId="1" type="noConversion"/>
  </si>
  <si>
    <t>p_pat:1</t>
    <phoneticPr fontId="1" type="noConversion"/>
  </si>
  <si>
    <t>p_pat:1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</si>
</sst>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3" fillId="3" borderId="1" xfId="0" applyFont="1" applyFill="1" applyBorder="1"/>
    <xf numFmtId="0" fontId="2" fillId="0" borderId="1" xfId="0" applyFont="1" applyBorder="1"/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6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2" fillId="0" borderId="0" xfId="0" applyNumberFormat="1" applyFont="1" applyAlignment="1">
      <alignment horizontal="left"/>
    </xf>
    <xf numFmtId="0" fontId="4" fillId="3" borderId="3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</cellXfs>
  <cellStyles count="1">
    <cellStyle name="常规" xfId="0" builtinId="0"/>
  </cellStyles>
  <dxfs count="17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409574</xdr:colOff>
      <xdr:row>8</xdr:row>
      <xdr:rowOff>28576</xdr:rowOff>
    </xdr:from>
    <xdr:to>
      <xdr:col>27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主芯片能耗上下限差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/2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38100</xdr:colOff>
          <xdr:row>0</xdr:row>
          <xdr:rowOff>104775</xdr:rowOff>
        </xdr:from>
        <xdr:to>
          <xdr:col>45</xdr:col>
          <xdr:colOff>171450</xdr:colOff>
          <xdr:row>3</xdr:row>
          <xdr:rowOff>47625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L57" totalsRowShown="0" headerRowDxfId="16" dataDxfId="15">
  <autoFilter ref="A3:L57"/>
  <tableColumns count="12">
    <tableColumn id="1" name="id" dataDxfId="14"/>
    <tableColumn id="2" name="name" dataDxfId="13"/>
    <tableColumn id="3" name="descrip" dataDxfId="12"/>
    <tableColumn id="9" name="color" dataDxfId="11"/>
    <tableColumn id="4" name="level" dataDxfId="10"/>
    <tableColumn id="10" name="upgradeId" dataDxfId="9">
      <calculatedColumnFormula>IF(表1[[#This Row],[level]]+1=E5,A5,"")</calculatedColumnFormula>
    </tableColumn>
    <tableColumn id="5" name="activeArea" dataDxfId="8"/>
    <tableColumn id="6" name="costDownwards" dataDxfId="7">
      <calculatedColumnFormula>ROUND(Q4,0)</calculatedColumnFormula>
    </tableColumn>
    <tableColumn id="7" name="costUpwards" dataDxfId="6">
      <calculatedColumnFormula>ROUND(R4,0)</calculatedColumnFormula>
    </tableColumn>
    <tableColumn id="11" name="bindSkill" dataDxfId="5"/>
    <tableColumn id="12" name="propertyAddition" dataDxfId="4"/>
    <tableColumn id="8" name="model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57"/>
  <sheetViews>
    <sheetView showGridLines="0" tabSelected="1" workbookViewId="0">
      <pane xSplit="1" ySplit="3" topLeftCell="B28" activePane="bottomRight" state="frozen"/>
      <selection pane="topRight" activeCell="B1" sqref="B1"/>
      <selection pane="bottomLeft" activeCell="A4" sqref="A4"/>
      <selection pane="bottomRight" activeCell="J48" sqref="J48"/>
    </sheetView>
  </sheetViews>
  <sheetFormatPr defaultRowHeight="16.5" x14ac:dyDescent="0.3"/>
  <cols>
    <col min="1" max="1" width="8.5" style="2" bestFit="1" customWidth="1"/>
    <col min="2" max="2" width="9.125" style="2" bestFit="1" customWidth="1"/>
    <col min="3" max="3" width="13.25" style="2" bestFit="1" customWidth="1"/>
    <col min="4" max="4" width="13.25" style="2" customWidth="1"/>
    <col min="5" max="5" width="8.125" style="2" bestFit="1" customWidth="1"/>
    <col min="6" max="6" width="13.75" style="2" bestFit="1" customWidth="1"/>
    <col min="7" max="7" width="13.875" style="2" bestFit="1" customWidth="1"/>
    <col min="8" max="8" width="16.375" style="2" bestFit="1" customWidth="1"/>
    <col min="9" max="9" width="19.625" style="2" bestFit="1" customWidth="1"/>
    <col min="10" max="10" width="19.625" style="2" customWidth="1"/>
    <col min="11" max="11" width="28.625" style="2" bestFit="1" customWidth="1"/>
    <col min="12" max="12" width="255.625" style="2" bestFit="1" customWidth="1"/>
    <col min="13" max="14" width="9.75" style="2" customWidth="1"/>
    <col min="15" max="15" width="9.25" style="2" bestFit="1" customWidth="1"/>
    <col min="16" max="16" width="17.5" style="2" bestFit="1" customWidth="1"/>
    <col min="17" max="17" width="21.625" style="2" bestFit="1" customWidth="1"/>
    <col min="18" max="18" width="9.25" style="2" bestFit="1" customWidth="1"/>
    <col min="19" max="22" width="9" style="2"/>
    <col min="23" max="23" width="5.5" style="2" bestFit="1" customWidth="1"/>
    <col min="24" max="25" width="4" style="2" bestFit="1" customWidth="1"/>
    <col min="26" max="26" width="6.25" style="2" bestFit="1" customWidth="1"/>
    <col min="27" max="16384" width="9" style="2"/>
  </cols>
  <sheetData>
    <row r="1" spans="1:26" x14ac:dyDescent="0.3">
      <c r="A1" s="5" t="s">
        <v>0</v>
      </c>
      <c r="B1" s="5" t="s">
        <v>3</v>
      </c>
      <c r="C1" s="5" t="s">
        <v>6</v>
      </c>
      <c r="D1" s="5" t="s">
        <v>51</v>
      </c>
      <c r="E1" s="5" t="s">
        <v>8</v>
      </c>
      <c r="F1" s="5" t="s">
        <v>62</v>
      </c>
      <c r="G1" s="5" t="s">
        <v>12</v>
      </c>
      <c r="H1" s="5" t="s">
        <v>17</v>
      </c>
      <c r="I1" s="5" t="s">
        <v>18</v>
      </c>
      <c r="J1" s="5" t="s">
        <v>80</v>
      </c>
      <c r="K1" s="5" t="s">
        <v>83</v>
      </c>
      <c r="L1" s="5" t="s">
        <v>23</v>
      </c>
      <c r="M1" s="7"/>
      <c r="N1" s="7"/>
      <c r="O1" s="13" t="s">
        <v>11</v>
      </c>
      <c r="P1" s="13" t="s">
        <v>38</v>
      </c>
      <c r="Q1" s="13" t="s">
        <v>39</v>
      </c>
      <c r="R1" s="13" t="s">
        <v>40</v>
      </c>
    </row>
    <row r="2" spans="1:26" x14ac:dyDescent="0.3">
      <c r="A2" s="5" t="s">
        <v>1</v>
      </c>
      <c r="B2" s="5" t="s">
        <v>4</v>
      </c>
      <c r="C2" s="5" t="s">
        <v>4</v>
      </c>
      <c r="D2" s="5" t="s">
        <v>52</v>
      </c>
      <c r="E2" s="5" t="s">
        <v>9</v>
      </c>
      <c r="F2" s="5" t="s">
        <v>63</v>
      </c>
      <c r="G2" s="5" t="s">
        <v>14</v>
      </c>
      <c r="H2" s="5" t="s">
        <v>16</v>
      </c>
      <c r="I2" s="5" t="s">
        <v>16</v>
      </c>
      <c r="J2" s="5" t="s">
        <v>81</v>
      </c>
      <c r="K2" s="5" t="s">
        <v>85</v>
      </c>
      <c r="L2" s="5" t="s">
        <v>50</v>
      </c>
      <c r="M2" s="7"/>
      <c r="N2" s="7"/>
      <c r="O2" s="14"/>
      <c r="P2" s="14"/>
      <c r="Q2" s="14"/>
      <c r="R2" s="14"/>
    </row>
    <row r="3" spans="1:26" x14ac:dyDescent="0.3">
      <c r="A3" s="2" t="s">
        <v>2</v>
      </c>
      <c r="B3" s="2" t="s">
        <v>5</v>
      </c>
      <c r="C3" s="2" t="s">
        <v>7</v>
      </c>
      <c r="D3" s="2" t="s">
        <v>53</v>
      </c>
      <c r="E3" s="2" t="s">
        <v>10</v>
      </c>
      <c r="F3" s="2" t="s">
        <v>64</v>
      </c>
      <c r="G3" s="2" t="s">
        <v>15</v>
      </c>
      <c r="H3" s="2" t="s">
        <v>60</v>
      </c>
      <c r="I3" s="2" t="s">
        <v>61</v>
      </c>
      <c r="J3" s="2" t="s">
        <v>82</v>
      </c>
      <c r="K3" s="2" t="s">
        <v>84</v>
      </c>
      <c r="L3" s="2" t="s">
        <v>24</v>
      </c>
      <c r="O3" s="15"/>
      <c r="P3" s="15"/>
      <c r="Q3" s="15"/>
      <c r="R3" s="15"/>
    </row>
    <row r="4" spans="1:26" x14ac:dyDescent="0.3">
      <c r="A4" s="2">
        <v>100001</v>
      </c>
      <c r="B4" s="2" t="s">
        <v>25</v>
      </c>
      <c r="C4" s="2" t="s">
        <v>29</v>
      </c>
      <c r="D4" s="2" t="s">
        <v>54</v>
      </c>
      <c r="E4" s="2">
        <v>1</v>
      </c>
      <c r="F4" s="2">
        <f>IF(表1[[#This Row],[level]]+1=E5,A5,"")</f>
        <v>100002</v>
      </c>
      <c r="G4" s="2" t="s">
        <v>35</v>
      </c>
      <c r="H4" s="2">
        <f t="shared" ref="H4:H35" si="0">ROUND(Q4,0)</f>
        <v>5</v>
      </c>
      <c r="I4" s="2">
        <f t="shared" ref="I4:I35" si="1">ROUND(R4,0)</f>
        <v>12</v>
      </c>
      <c r="J4" s="2">
        <v>1000002</v>
      </c>
      <c r="L4" s="2" t="s">
        <v>46</v>
      </c>
      <c r="O4" s="6">
        <v>7</v>
      </c>
      <c r="P4" s="8">
        <v>5</v>
      </c>
      <c r="Q4" s="6">
        <f>P4</f>
        <v>5</v>
      </c>
      <c r="R4" s="6">
        <f>O4+Q4</f>
        <v>12</v>
      </c>
    </row>
    <row r="5" spans="1:26" x14ac:dyDescent="0.3">
      <c r="A5" s="2">
        <v>100002</v>
      </c>
      <c r="B5" s="2" t="s">
        <v>25</v>
      </c>
      <c r="C5" s="2" t="s">
        <v>29</v>
      </c>
      <c r="D5" s="2" t="s">
        <v>54</v>
      </c>
      <c r="E5" s="2">
        <v>2</v>
      </c>
      <c r="F5" s="2">
        <f>IF(表1[[#This Row],[level]]+1=E6,A6,"")</f>
        <v>100003</v>
      </c>
      <c r="H5" s="2">
        <f t="shared" si="0"/>
        <v>10</v>
      </c>
      <c r="I5" s="2">
        <f t="shared" si="1"/>
        <v>17</v>
      </c>
      <c r="J5" s="2">
        <v>1000002</v>
      </c>
      <c r="L5" s="2" t="s">
        <v>70</v>
      </c>
      <c r="O5" s="6">
        <v>7</v>
      </c>
      <c r="P5" s="2">
        <f>P4+O5/2</f>
        <v>8.5</v>
      </c>
      <c r="Q5" s="6">
        <f>Q4+O4/2+1</f>
        <v>9.5</v>
      </c>
      <c r="R5" s="6">
        <f t="shared" ref="R5:R13" si="2">O5+Q5</f>
        <v>16.5</v>
      </c>
      <c r="W5" s="2" t="s">
        <v>19</v>
      </c>
      <c r="X5" s="2" t="s">
        <v>20</v>
      </c>
      <c r="Y5" s="2" t="s">
        <v>21</v>
      </c>
      <c r="Z5" s="2" t="s">
        <v>22</v>
      </c>
    </row>
    <row r="6" spans="1:26" x14ac:dyDescent="0.3">
      <c r="A6" s="2">
        <v>100003</v>
      </c>
      <c r="B6" s="2" t="s">
        <v>25</v>
      </c>
      <c r="C6" s="2" t="s">
        <v>29</v>
      </c>
      <c r="D6" s="2" t="s">
        <v>54</v>
      </c>
      <c r="E6" s="2">
        <v>3</v>
      </c>
      <c r="F6" s="2">
        <f>IF(表1[[#This Row],[level]]+1=E7,A7,"")</f>
        <v>100004</v>
      </c>
      <c r="H6" s="2">
        <f t="shared" si="0"/>
        <v>14</v>
      </c>
      <c r="I6" s="2">
        <f t="shared" si="1"/>
        <v>21</v>
      </c>
      <c r="J6" s="2">
        <v>1000002</v>
      </c>
      <c r="L6" s="2" t="s">
        <v>70</v>
      </c>
      <c r="O6" s="6">
        <v>7</v>
      </c>
      <c r="P6" s="6">
        <f t="shared" ref="P6:P13" si="3">P5+O6/2</f>
        <v>12</v>
      </c>
      <c r="Q6" s="6">
        <f t="shared" ref="Q6:Q13" si="4">Q5+O5/2+1</f>
        <v>14</v>
      </c>
      <c r="R6" s="6">
        <f t="shared" si="2"/>
        <v>21</v>
      </c>
      <c r="W6" s="2">
        <v>7</v>
      </c>
      <c r="X6" s="2">
        <v>41</v>
      </c>
      <c r="Y6" s="2">
        <v>41</v>
      </c>
      <c r="Z6" s="2">
        <f>AVERAGE(X6:Y6)+W6/2</f>
        <v>44.5</v>
      </c>
    </row>
    <row r="7" spans="1:26" x14ac:dyDescent="0.3">
      <c r="A7" s="2">
        <v>100004</v>
      </c>
      <c r="B7" s="2" t="s">
        <v>25</v>
      </c>
      <c r="C7" s="2" t="s">
        <v>29</v>
      </c>
      <c r="D7" s="2" t="s">
        <v>54</v>
      </c>
      <c r="E7" s="2">
        <v>4</v>
      </c>
      <c r="F7" s="2">
        <f>IF(表1[[#This Row],[level]]+1=E8,A8,"")</f>
        <v>100005</v>
      </c>
      <c r="H7" s="2">
        <f t="shared" si="0"/>
        <v>19</v>
      </c>
      <c r="I7" s="2">
        <f t="shared" si="1"/>
        <v>26</v>
      </c>
      <c r="J7" s="2">
        <v>1000002</v>
      </c>
      <c r="L7" s="2" t="s">
        <v>70</v>
      </c>
      <c r="O7" s="6">
        <v>7</v>
      </c>
      <c r="P7" s="6">
        <f t="shared" si="3"/>
        <v>15.5</v>
      </c>
      <c r="Q7" s="6">
        <f t="shared" si="4"/>
        <v>18.5</v>
      </c>
      <c r="R7" s="6">
        <f t="shared" si="2"/>
        <v>25.5</v>
      </c>
    </row>
    <row r="8" spans="1:26" x14ac:dyDescent="0.3">
      <c r="A8" s="2">
        <v>100005</v>
      </c>
      <c r="B8" s="2" t="s">
        <v>25</v>
      </c>
      <c r="C8" s="2" t="s">
        <v>29</v>
      </c>
      <c r="D8" s="2" t="s">
        <v>54</v>
      </c>
      <c r="E8" s="2">
        <v>5</v>
      </c>
      <c r="F8" s="2">
        <f>IF(表1[[#This Row],[level]]+1=E9,A9,"")</f>
        <v>100006</v>
      </c>
      <c r="H8" s="2">
        <f t="shared" si="0"/>
        <v>23</v>
      </c>
      <c r="I8" s="2">
        <f t="shared" si="1"/>
        <v>30</v>
      </c>
      <c r="J8" s="2">
        <v>1000002</v>
      </c>
      <c r="L8" s="2" t="s">
        <v>46</v>
      </c>
      <c r="O8" s="6">
        <v>7</v>
      </c>
      <c r="P8" s="6">
        <f t="shared" si="3"/>
        <v>19</v>
      </c>
      <c r="Q8" s="6">
        <f t="shared" si="4"/>
        <v>23</v>
      </c>
      <c r="R8" s="6">
        <f t="shared" si="2"/>
        <v>30</v>
      </c>
    </row>
    <row r="9" spans="1:26" x14ac:dyDescent="0.3">
      <c r="A9" s="2">
        <v>100006</v>
      </c>
      <c r="B9" s="2" t="s">
        <v>25</v>
      </c>
      <c r="C9" s="2" t="s">
        <v>29</v>
      </c>
      <c r="D9" s="2" t="s">
        <v>54</v>
      </c>
      <c r="E9" s="2">
        <v>6</v>
      </c>
      <c r="F9" s="2">
        <f>IF(表1[[#This Row],[level]]+1=E10,A10,"")</f>
        <v>100007</v>
      </c>
      <c r="H9" s="2">
        <f t="shared" si="0"/>
        <v>28</v>
      </c>
      <c r="I9" s="2">
        <f t="shared" si="1"/>
        <v>35</v>
      </c>
      <c r="J9" s="2">
        <v>1000002</v>
      </c>
      <c r="L9" s="2" t="s">
        <v>46</v>
      </c>
      <c r="O9" s="6">
        <v>7</v>
      </c>
      <c r="P9" s="6">
        <f t="shared" si="3"/>
        <v>22.5</v>
      </c>
      <c r="Q9" s="6">
        <f t="shared" si="4"/>
        <v>27.5</v>
      </c>
      <c r="R9" s="6">
        <f t="shared" si="2"/>
        <v>34.5</v>
      </c>
    </row>
    <row r="10" spans="1:26" x14ac:dyDescent="0.3">
      <c r="A10" s="2">
        <v>100007</v>
      </c>
      <c r="B10" s="2" t="s">
        <v>25</v>
      </c>
      <c r="C10" s="2" t="s">
        <v>29</v>
      </c>
      <c r="D10" s="2" t="s">
        <v>54</v>
      </c>
      <c r="E10" s="2">
        <v>7</v>
      </c>
      <c r="F10" s="2">
        <f>IF(表1[[#This Row],[level]]+1=E11,A11,"")</f>
        <v>100008</v>
      </c>
      <c r="H10" s="2">
        <f t="shared" si="0"/>
        <v>32</v>
      </c>
      <c r="I10" s="2">
        <f t="shared" si="1"/>
        <v>39</v>
      </c>
      <c r="J10" s="2">
        <v>1000002</v>
      </c>
      <c r="L10" s="2" t="s">
        <v>46</v>
      </c>
      <c r="O10" s="6">
        <v>7</v>
      </c>
      <c r="P10" s="6">
        <f t="shared" si="3"/>
        <v>26</v>
      </c>
      <c r="Q10" s="6">
        <f t="shared" si="4"/>
        <v>32</v>
      </c>
      <c r="R10" s="6">
        <f t="shared" si="2"/>
        <v>39</v>
      </c>
    </row>
    <row r="11" spans="1:26" x14ac:dyDescent="0.3">
      <c r="A11" s="2">
        <v>100008</v>
      </c>
      <c r="B11" s="2" t="s">
        <v>25</v>
      </c>
      <c r="C11" s="2" t="s">
        <v>29</v>
      </c>
      <c r="D11" s="2" t="s">
        <v>54</v>
      </c>
      <c r="E11" s="2">
        <v>8</v>
      </c>
      <c r="F11" s="2">
        <f>IF(表1[[#This Row],[level]]+1=E12,A12,"")</f>
        <v>100009</v>
      </c>
      <c r="H11" s="2">
        <f t="shared" si="0"/>
        <v>37</v>
      </c>
      <c r="I11" s="2">
        <f t="shared" si="1"/>
        <v>44</v>
      </c>
      <c r="J11" s="2">
        <v>1000002</v>
      </c>
      <c r="L11" s="2" t="s">
        <v>46</v>
      </c>
      <c r="O11" s="6">
        <v>7</v>
      </c>
      <c r="P11" s="6">
        <f t="shared" si="3"/>
        <v>29.5</v>
      </c>
      <c r="Q11" s="6">
        <f t="shared" si="4"/>
        <v>36.5</v>
      </c>
      <c r="R11" s="6">
        <f t="shared" si="2"/>
        <v>43.5</v>
      </c>
    </row>
    <row r="12" spans="1:26" x14ac:dyDescent="0.3">
      <c r="A12" s="2">
        <v>100009</v>
      </c>
      <c r="B12" s="2" t="s">
        <v>25</v>
      </c>
      <c r="C12" s="2" t="s">
        <v>29</v>
      </c>
      <c r="D12" s="2" t="s">
        <v>54</v>
      </c>
      <c r="E12" s="2">
        <v>9</v>
      </c>
      <c r="F12" s="2">
        <f>IF(表1[[#This Row],[level]]+1=E13,A13,"")</f>
        <v>100010</v>
      </c>
      <c r="H12" s="2">
        <f t="shared" si="0"/>
        <v>41</v>
      </c>
      <c r="I12" s="2">
        <f t="shared" si="1"/>
        <v>48</v>
      </c>
      <c r="J12" s="2">
        <v>1000002</v>
      </c>
      <c r="L12" s="2" t="s">
        <v>71</v>
      </c>
      <c r="O12" s="6">
        <v>7</v>
      </c>
      <c r="P12" s="6">
        <f t="shared" si="3"/>
        <v>33</v>
      </c>
      <c r="Q12" s="6">
        <f t="shared" si="4"/>
        <v>41</v>
      </c>
      <c r="R12" s="6">
        <f t="shared" si="2"/>
        <v>48</v>
      </c>
    </row>
    <row r="13" spans="1:26" x14ac:dyDescent="0.3">
      <c r="A13" s="2">
        <v>100010</v>
      </c>
      <c r="B13" s="2" t="s">
        <v>25</v>
      </c>
      <c r="C13" s="2" t="s">
        <v>29</v>
      </c>
      <c r="D13" s="2" t="s">
        <v>54</v>
      </c>
      <c r="E13" s="2">
        <v>10</v>
      </c>
      <c r="F13" s="2" t="str">
        <f>IF(表1[[#This Row],[level]]+1=E14,A14,"")</f>
        <v/>
      </c>
      <c r="H13" s="2">
        <f t="shared" si="0"/>
        <v>46</v>
      </c>
      <c r="I13" s="2">
        <f t="shared" si="1"/>
        <v>53</v>
      </c>
      <c r="J13" s="2">
        <v>1000002</v>
      </c>
      <c r="L13" s="2" t="s">
        <v>46</v>
      </c>
      <c r="O13" s="6">
        <v>7</v>
      </c>
      <c r="P13" s="6">
        <f t="shared" si="3"/>
        <v>36.5</v>
      </c>
      <c r="Q13" s="6">
        <f t="shared" si="4"/>
        <v>45.5</v>
      </c>
      <c r="R13" s="6">
        <f t="shared" si="2"/>
        <v>52.5</v>
      </c>
    </row>
    <row r="14" spans="1:26" x14ac:dyDescent="0.3">
      <c r="A14" s="2">
        <v>100011</v>
      </c>
      <c r="B14" s="2" t="s">
        <v>26</v>
      </c>
      <c r="C14" s="2" t="s">
        <v>30</v>
      </c>
      <c r="D14" s="2" t="s">
        <v>57</v>
      </c>
      <c r="E14" s="2">
        <f>E4</f>
        <v>1</v>
      </c>
      <c r="F14" s="2">
        <f>IF(表1[[#This Row],[level]]+1=E15,A15,"")</f>
        <v>100012</v>
      </c>
      <c r="H14" s="2">
        <f t="shared" si="0"/>
        <v>6</v>
      </c>
      <c r="I14" s="2">
        <f t="shared" si="1"/>
        <v>14</v>
      </c>
      <c r="J14" s="2">
        <v>1000002</v>
      </c>
      <c r="L14" s="2" t="s">
        <v>72</v>
      </c>
      <c r="O14" s="6">
        <v>8</v>
      </c>
      <c r="P14" s="8">
        <v>6</v>
      </c>
      <c r="Q14" s="6">
        <f>P14</f>
        <v>6</v>
      </c>
      <c r="R14" s="6">
        <f>O14+Q14</f>
        <v>14</v>
      </c>
    </row>
    <row r="15" spans="1:26" x14ac:dyDescent="0.3">
      <c r="A15" s="2">
        <v>100012</v>
      </c>
      <c r="B15" s="2" t="s">
        <v>26</v>
      </c>
      <c r="C15" s="2" t="s">
        <v>30</v>
      </c>
      <c r="D15" s="2" t="s">
        <v>57</v>
      </c>
      <c r="E15" s="2">
        <f t="shared" ref="E15:E53" si="5">E5</f>
        <v>2</v>
      </c>
      <c r="F15" s="2">
        <f>IF(表1[[#This Row],[level]]+1=E16,A16,"")</f>
        <v>100013</v>
      </c>
      <c r="H15" s="2">
        <f t="shared" si="0"/>
        <v>11</v>
      </c>
      <c r="I15" s="2">
        <f t="shared" si="1"/>
        <v>19</v>
      </c>
      <c r="J15" s="2">
        <v>1000002</v>
      </c>
      <c r="L15" s="2" t="s">
        <v>72</v>
      </c>
      <c r="O15" s="6">
        <v>8</v>
      </c>
      <c r="P15" s="2">
        <f>P14+O15/2</f>
        <v>10</v>
      </c>
      <c r="Q15" s="6">
        <f>Q14+O14/2+1</f>
        <v>11</v>
      </c>
      <c r="R15" s="6">
        <f t="shared" ref="R15:R23" si="6">O15+Q15</f>
        <v>19</v>
      </c>
    </row>
    <row r="16" spans="1:26" x14ac:dyDescent="0.3">
      <c r="A16" s="2">
        <v>100013</v>
      </c>
      <c r="B16" s="2" t="s">
        <v>26</v>
      </c>
      <c r="C16" s="2" t="s">
        <v>30</v>
      </c>
      <c r="D16" s="2" t="s">
        <v>57</v>
      </c>
      <c r="E16" s="2">
        <f t="shared" si="5"/>
        <v>3</v>
      </c>
      <c r="F16" s="2">
        <f>IF(表1[[#This Row],[level]]+1=E17,A17,"")</f>
        <v>100014</v>
      </c>
      <c r="H16" s="2">
        <f t="shared" si="0"/>
        <v>16</v>
      </c>
      <c r="I16" s="2">
        <f t="shared" si="1"/>
        <v>24</v>
      </c>
      <c r="J16" s="2">
        <v>1000002</v>
      </c>
      <c r="L16" s="2" t="s">
        <v>73</v>
      </c>
      <c r="O16" s="6">
        <v>8</v>
      </c>
      <c r="P16" s="6">
        <f t="shared" ref="P16:P23" si="7">P15+O16/2</f>
        <v>14</v>
      </c>
      <c r="Q16" s="6">
        <f t="shared" ref="Q16:Q23" si="8">Q15+O15/2+1</f>
        <v>16</v>
      </c>
      <c r="R16" s="6">
        <f t="shared" si="6"/>
        <v>24</v>
      </c>
    </row>
    <row r="17" spans="1:22" x14ac:dyDescent="0.3">
      <c r="A17" s="2">
        <v>100014</v>
      </c>
      <c r="B17" s="2" t="s">
        <v>26</v>
      </c>
      <c r="C17" s="2" t="s">
        <v>30</v>
      </c>
      <c r="D17" s="2" t="s">
        <v>57</v>
      </c>
      <c r="E17" s="2">
        <f t="shared" si="5"/>
        <v>4</v>
      </c>
      <c r="F17" s="2">
        <f>IF(表1[[#This Row],[level]]+1=E18,A18,"")</f>
        <v>100015</v>
      </c>
      <c r="H17" s="2">
        <f t="shared" si="0"/>
        <v>21</v>
      </c>
      <c r="I17" s="2">
        <f t="shared" si="1"/>
        <v>29</v>
      </c>
      <c r="J17" s="2">
        <v>1000002</v>
      </c>
      <c r="L17" s="2" t="s">
        <v>72</v>
      </c>
      <c r="O17" s="6">
        <v>8</v>
      </c>
      <c r="P17" s="6">
        <f t="shared" si="7"/>
        <v>18</v>
      </c>
      <c r="Q17" s="6">
        <f t="shared" si="8"/>
        <v>21</v>
      </c>
      <c r="R17" s="6">
        <f t="shared" si="6"/>
        <v>29</v>
      </c>
    </row>
    <row r="18" spans="1:22" x14ac:dyDescent="0.3">
      <c r="A18" s="2">
        <v>100015</v>
      </c>
      <c r="B18" s="2" t="s">
        <v>26</v>
      </c>
      <c r="C18" s="2" t="s">
        <v>30</v>
      </c>
      <c r="D18" s="2" t="s">
        <v>57</v>
      </c>
      <c r="E18" s="2">
        <f t="shared" si="5"/>
        <v>5</v>
      </c>
      <c r="F18" s="2">
        <f>IF(表1[[#This Row],[level]]+1=E19,A19,"")</f>
        <v>100016</v>
      </c>
      <c r="H18" s="2">
        <f t="shared" si="0"/>
        <v>26</v>
      </c>
      <c r="I18" s="2">
        <f t="shared" si="1"/>
        <v>34</v>
      </c>
      <c r="J18" s="2">
        <v>1000002</v>
      </c>
      <c r="L18" s="2" t="s">
        <v>72</v>
      </c>
      <c r="O18" s="6">
        <v>8</v>
      </c>
      <c r="P18" s="6">
        <f t="shared" si="7"/>
        <v>22</v>
      </c>
      <c r="Q18" s="6">
        <f t="shared" si="8"/>
        <v>26</v>
      </c>
      <c r="R18" s="6">
        <f t="shared" si="6"/>
        <v>34</v>
      </c>
      <c r="V18" s="2">
        <f>5+7/2</f>
        <v>8.5</v>
      </c>
    </row>
    <row r="19" spans="1:22" x14ac:dyDescent="0.3">
      <c r="A19" s="2">
        <v>100016</v>
      </c>
      <c r="B19" s="2" t="s">
        <v>26</v>
      </c>
      <c r="C19" s="2" t="s">
        <v>30</v>
      </c>
      <c r="D19" s="2" t="s">
        <v>57</v>
      </c>
      <c r="E19" s="2">
        <f t="shared" si="5"/>
        <v>6</v>
      </c>
      <c r="F19" s="2">
        <f>IF(表1[[#This Row],[level]]+1=E20,A20,"")</f>
        <v>100017</v>
      </c>
      <c r="H19" s="2">
        <f t="shared" si="0"/>
        <v>31</v>
      </c>
      <c r="I19" s="2">
        <f t="shared" si="1"/>
        <v>39</v>
      </c>
      <c r="J19" s="2">
        <v>1000002</v>
      </c>
      <c r="L19" s="2" t="s">
        <v>72</v>
      </c>
      <c r="O19" s="6">
        <v>8</v>
      </c>
      <c r="P19" s="6">
        <f t="shared" si="7"/>
        <v>26</v>
      </c>
      <c r="Q19" s="6">
        <f t="shared" si="8"/>
        <v>31</v>
      </c>
      <c r="R19" s="6">
        <f t="shared" si="6"/>
        <v>39</v>
      </c>
    </row>
    <row r="20" spans="1:22" x14ac:dyDescent="0.3">
      <c r="A20" s="2">
        <v>100017</v>
      </c>
      <c r="B20" s="2" t="s">
        <v>26</v>
      </c>
      <c r="C20" s="2" t="s">
        <v>30</v>
      </c>
      <c r="D20" s="2" t="s">
        <v>57</v>
      </c>
      <c r="E20" s="2">
        <f t="shared" si="5"/>
        <v>7</v>
      </c>
      <c r="F20" s="2">
        <f>IF(表1[[#This Row],[level]]+1=E21,A21,"")</f>
        <v>100018</v>
      </c>
      <c r="H20" s="2">
        <f t="shared" si="0"/>
        <v>36</v>
      </c>
      <c r="I20" s="2">
        <f t="shared" si="1"/>
        <v>44</v>
      </c>
      <c r="J20" s="2">
        <v>1000002</v>
      </c>
      <c r="L20" s="2" t="s">
        <v>72</v>
      </c>
      <c r="O20" s="6">
        <v>8</v>
      </c>
      <c r="P20" s="6">
        <f t="shared" si="7"/>
        <v>30</v>
      </c>
      <c r="Q20" s="6">
        <f t="shared" si="8"/>
        <v>36</v>
      </c>
      <c r="R20" s="6">
        <f t="shared" si="6"/>
        <v>44</v>
      </c>
    </row>
    <row r="21" spans="1:22" x14ac:dyDescent="0.3">
      <c r="A21" s="2">
        <v>100018</v>
      </c>
      <c r="B21" s="2" t="s">
        <v>26</v>
      </c>
      <c r="C21" s="2" t="s">
        <v>30</v>
      </c>
      <c r="D21" s="2" t="s">
        <v>57</v>
      </c>
      <c r="E21" s="2">
        <f t="shared" si="5"/>
        <v>8</v>
      </c>
      <c r="F21" s="2">
        <f>IF(表1[[#This Row],[level]]+1=E22,A22,"")</f>
        <v>100019</v>
      </c>
      <c r="H21" s="2">
        <f t="shared" si="0"/>
        <v>41</v>
      </c>
      <c r="I21" s="2">
        <f t="shared" si="1"/>
        <v>49</v>
      </c>
      <c r="J21" s="2">
        <v>1000002</v>
      </c>
      <c r="L21" s="2" t="s">
        <v>73</v>
      </c>
      <c r="O21" s="6">
        <v>8</v>
      </c>
      <c r="P21" s="6">
        <f t="shared" si="7"/>
        <v>34</v>
      </c>
      <c r="Q21" s="6">
        <f t="shared" si="8"/>
        <v>41</v>
      </c>
      <c r="R21" s="6">
        <f t="shared" si="6"/>
        <v>49</v>
      </c>
    </row>
    <row r="22" spans="1:22" x14ac:dyDescent="0.3">
      <c r="A22" s="2">
        <v>100019</v>
      </c>
      <c r="B22" s="2" t="s">
        <v>26</v>
      </c>
      <c r="C22" s="2" t="s">
        <v>30</v>
      </c>
      <c r="D22" s="2" t="s">
        <v>57</v>
      </c>
      <c r="E22" s="2">
        <f t="shared" si="5"/>
        <v>9</v>
      </c>
      <c r="F22" s="2">
        <f>IF(表1[[#This Row],[level]]+1=E23,A23,"")</f>
        <v>100020</v>
      </c>
      <c r="H22" s="2">
        <f t="shared" si="0"/>
        <v>46</v>
      </c>
      <c r="I22" s="2">
        <f t="shared" si="1"/>
        <v>54</v>
      </c>
      <c r="J22" s="2">
        <v>1000002</v>
      </c>
      <c r="L22" s="2" t="s">
        <v>73</v>
      </c>
      <c r="O22" s="6">
        <v>8</v>
      </c>
      <c r="P22" s="6">
        <f t="shared" si="7"/>
        <v>38</v>
      </c>
      <c r="Q22" s="6">
        <f t="shared" si="8"/>
        <v>46</v>
      </c>
      <c r="R22" s="6">
        <f t="shared" si="6"/>
        <v>54</v>
      </c>
    </row>
    <row r="23" spans="1:22" x14ac:dyDescent="0.3">
      <c r="A23" s="2">
        <v>100020</v>
      </c>
      <c r="B23" s="2" t="s">
        <v>26</v>
      </c>
      <c r="C23" s="2" t="s">
        <v>30</v>
      </c>
      <c r="D23" s="2" t="s">
        <v>57</v>
      </c>
      <c r="E23" s="2">
        <f t="shared" si="5"/>
        <v>10</v>
      </c>
      <c r="F23" s="2" t="str">
        <f>IF(表1[[#This Row],[level]]+1=E24,A24,"")</f>
        <v/>
      </c>
      <c r="H23" s="2">
        <f t="shared" si="0"/>
        <v>51</v>
      </c>
      <c r="I23" s="2">
        <f t="shared" si="1"/>
        <v>59</v>
      </c>
      <c r="J23" s="2">
        <v>1000002</v>
      </c>
      <c r="L23" s="2" t="s">
        <v>73</v>
      </c>
      <c r="O23" s="6">
        <v>8</v>
      </c>
      <c r="P23" s="6">
        <f t="shared" si="7"/>
        <v>42</v>
      </c>
      <c r="Q23" s="6">
        <f t="shared" si="8"/>
        <v>51</v>
      </c>
      <c r="R23" s="6">
        <f t="shared" si="6"/>
        <v>59</v>
      </c>
    </row>
    <row r="24" spans="1:22" x14ac:dyDescent="0.3">
      <c r="A24" s="2">
        <v>100021</v>
      </c>
      <c r="B24" s="2" t="s">
        <v>41</v>
      </c>
      <c r="C24" s="2" t="s">
        <v>31</v>
      </c>
      <c r="D24" s="2" t="s">
        <v>56</v>
      </c>
      <c r="E24" s="2">
        <f t="shared" si="5"/>
        <v>1</v>
      </c>
      <c r="F24" s="2">
        <f>IF(表1[[#This Row],[level]]+1=E25,A25,"")</f>
        <v>100022</v>
      </c>
      <c r="H24" s="2">
        <f t="shared" si="0"/>
        <v>7</v>
      </c>
      <c r="I24" s="2">
        <f t="shared" si="1"/>
        <v>15</v>
      </c>
      <c r="J24" s="2">
        <v>1000002</v>
      </c>
      <c r="L24" s="2" t="s">
        <v>47</v>
      </c>
      <c r="O24" s="6">
        <v>8</v>
      </c>
      <c r="P24" s="8">
        <v>7</v>
      </c>
      <c r="Q24" s="6">
        <f>P24</f>
        <v>7</v>
      </c>
      <c r="R24" s="6">
        <f>O24+Q24</f>
        <v>15</v>
      </c>
    </row>
    <row r="25" spans="1:22" x14ac:dyDescent="0.3">
      <c r="A25" s="2">
        <v>100022</v>
      </c>
      <c r="B25" s="2" t="s">
        <v>27</v>
      </c>
      <c r="C25" s="2" t="s">
        <v>31</v>
      </c>
      <c r="D25" s="2" t="s">
        <v>56</v>
      </c>
      <c r="E25" s="2">
        <f t="shared" si="5"/>
        <v>2</v>
      </c>
      <c r="F25" s="2">
        <f>IF(表1[[#This Row],[level]]+1=E26,A26,"")</f>
        <v>100023</v>
      </c>
      <c r="H25" s="2">
        <f t="shared" si="0"/>
        <v>12</v>
      </c>
      <c r="I25" s="2">
        <f t="shared" si="1"/>
        <v>20</v>
      </c>
      <c r="J25" s="2">
        <v>1000002</v>
      </c>
      <c r="L25" s="2" t="s">
        <v>47</v>
      </c>
      <c r="O25" s="6">
        <v>8</v>
      </c>
      <c r="P25" s="2">
        <f>P24+O25/2</f>
        <v>11</v>
      </c>
      <c r="Q25" s="6">
        <f>Q24+O24/2+1</f>
        <v>12</v>
      </c>
      <c r="R25" s="6">
        <f t="shared" ref="R25:R33" si="9">O25+Q25</f>
        <v>20</v>
      </c>
    </row>
    <row r="26" spans="1:22" x14ac:dyDescent="0.3">
      <c r="A26" s="2">
        <v>100023</v>
      </c>
      <c r="B26" s="2" t="s">
        <v>27</v>
      </c>
      <c r="C26" s="2" t="s">
        <v>31</v>
      </c>
      <c r="D26" s="2" t="s">
        <v>56</v>
      </c>
      <c r="E26" s="2">
        <f t="shared" si="5"/>
        <v>3</v>
      </c>
      <c r="F26" s="2">
        <f>IF(表1[[#This Row],[level]]+1=E27,A27,"")</f>
        <v>100024</v>
      </c>
      <c r="H26" s="2">
        <f t="shared" si="0"/>
        <v>17</v>
      </c>
      <c r="I26" s="2">
        <f t="shared" si="1"/>
        <v>25</v>
      </c>
      <c r="J26" s="2">
        <v>1000002</v>
      </c>
      <c r="L26" s="2" t="s">
        <v>74</v>
      </c>
      <c r="O26" s="6">
        <v>8</v>
      </c>
      <c r="P26" s="6">
        <f t="shared" ref="P26:P33" si="10">P25+O26/2</f>
        <v>15</v>
      </c>
      <c r="Q26" s="6">
        <f t="shared" ref="Q26:Q33" si="11">Q25+O25/2+1</f>
        <v>17</v>
      </c>
      <c r="R26" s="6">
        <f t="shared" si="9"/>
        <v>25</v>
      </c>
    </row>
    <row r="27" spans="1:22" x14ac:dyDescent="0.3">
      <c r="A27" s="2">
        <v>100024</v>
      </c>
      <c r="B27" s="2" t="s">
        <v>27</v>
      </c>
      <c r="C27" s="2" t="s">
        <v>31</v>
      </c>
      <c r="D27" s="2" t="s">
        <v>56</v>
      </c>
      <c r="E27" s="2">
        <f t="shared" si="5"/>
        <v>4</v>
      </c>
      <c r="F27" s="2">
        <f>IF(表1[[#This Row],[level]]+1=E28,A28,"")</f>
        <v>100025</v>
      </c>
      <c r="H27" s="2">
        <f t="shared" si="0"/>
        <v>22</v>
      </c>
      <c r="I27" s="2">
        <f t="shared" si="1"/>
        <v>30</v>
      </c>
      <c r="J27" s="2">
        <v>1000002</v>
      </c>
      <c r="L27" s="2" t="s">
        <v>47</v>
      </c>
      <c r="O27" s="6">
        <v>8</v>
      </c>
      <c r="P27" s="6">
        <f t="shared" si="10"/>
        <v>19</v>
      </c>
      <c r="Q27" s="6">
        <f t="shared" si="11"/>
        <v>22</v>
      </c>
      <c r="R27" s="6">
        <f t="shared" si="9"/>
        <v>30</v>
      </c>
    </row>
    <row r="28" spans="1:22" x14ac:dyDescent="0.3">
      <c r="A28" s="2">
        <v>100025</v>
      </c>
      <c r="B28" s="2" t="s">
        <v>27</v>
      </c>
      <c r="C28" s="2" t="s">
        <v>31</v>
      </c>
      <c r="D28" s="2" t="s">
        <v>56</v>
      </c>
      <c r="E28" s="2">
        <f t="shared" si="5"/>
        <v>5</v>
      </c>
      <c r="F28" s="2">
        <f>IF(表1[[#This Row],[level]]+1=E29,A29,"")</f>
        <v>100026</v>
      </c>
      <c r="H28" s="2">
        <f t="shared" si="0"/>
        <v>27</v>
      </c>
      <c r="I28" s="2">
        <f t="shared" si="1"/>
        <v>35</v>
      </c>
      <c r="J28" s="2">
        <v>1000002</v>
      </c>
      <c r="L28" s="2" t="s">
        <v>47</v>
      </c>
      <c r="O28" s="6">
        <v>8</v>
      </c>
      <c r="P28" s="6">
        <f t="shared" si="10"/>
        <v>23</v>
      </c>
      <c r="Q28" s="6">
        <f t="shared" si="11"/>
        <v>27</v>
      </c>
      <c r="R28" s="6">
        <f t="shared" si="9"/>
        <v>35</v>
      </c>
    </row>
    <row r="29" spans="1:22" x14ac:dyDescent="0.3">
      <c r="A29" s="2">
        <v>100026</v>
      </c>
      <c r="B29" s="2" t="s">
        <v>27</v>
      </c>
      <c r="C29" s="2" t="s">
        <v>31</v>
      </c>
      <c r="D29" s="2" t="s">
        <v>56</v>
      </c>
      <c r="E29" s="2">
        <f t="shared" si="5"/>
        <v>6</v>
      </c>
      <c r="F29" s="2">
        <f>IF(表1[[#This Row],[level]]+1=E30,A30,"")</f>
        <v>100027</v>
      </c>
      <c r="H29" s="2">
        <f t="shared" si="0"/>
        <v>32</v>
      </c>
      <c r="I29" s="2">
        <f t="shared" si="1"/>
        <v>40</v>
      </c>
      <c r="J29" s="2">
        <v>1000002</v>
      </c>
      <c r="L29" s="2" t="s">
        <v>47</v>
      </c>
      <c r="O29" s="6">
        <v>8</v>
      </c>
      <c r="P29" s="6">
        <f t="shared" si="10"/>
        <v>27</v>
      </c>
      <c r="Q29" s="6">
        <f t="shared" si="11"/>
        <v>32</v>
      </c>
      <c r="R29" s="6">
        <f t="shared" si="9"/>
        <v>40</v>
      </c>
    </row>
    <row r="30" spans="1:22" x14ac:dyDescent="0.3">
      <c r="A30" s="2">
        <v>100027</v>
      </c>
      <c r="B30" s="2" t="s">
        <v>27</v>
      </c>
      <c r="C30" s="2" t="s">
        <v>31</v>
      </c>
      <c r="D30" s="2" t="s">
        <v>56</v>
      </c>
      <c r="E30" s="2">
        <f t="shared" si="5"/>
        <v>7</v>
      </c>
      <c r="F30" s="2">
        <f>IF(表1[[#This Row],[level]]+1=E31,A31,"")</f>
        <v>100028</v>
      </c>
      <c r="H30" s="2">
        <f t="shared" si="0"/>
        <v>37</v>
      </c>
      <c r="I30" s="2">
        <f t="shared" si="1"/>
        <v>45</v>
      </c>
      <c r="J30" s="2">
        <v>1000002</v>
      </c>
      <c r="L30" s="2" t="s">
        <v>47</v>
      </c>
      <c r="O30" s="6">
        <v>8</v>
      </c>
      <c r="P30" s="6">
        <f t="shared" si="10"/>
        <v>31</v>
      </c>
      <c r="Q30" s="6">
        <f t="shared" si="11"/>
        <v>37</v>
      </c>
      <c r="R30" s="6">
        <f t="shared" si="9"/>
        <v>45</v>
      </c>
    </row>
    <row r="31" spans="1:22" x14ac:dyDescent="0.3">
      <c r="A31" s="2">
        <v>100028</v>
      </c>
      <c r="B31" s="2" t="s">
        <v>27</v>
      </c>
      <c r="C31" s="2" t="s">
        <v>31</v>
      </c>
      <c r="D31" s="2" t="s">
        <v>56</v>
      </c>
      <c r="E31" s="2">
        <f t="shared" si="5"/>
        <v>8</v>
      </c>
      <c r="F31" s="2">
        <f>IF(表1[[#This Row],[level]]+1=E32,A32,"")</f>
        <v>100029</v>
      </c>
      <c r="H31" s="2">
        <f t="shared" si="0"/>
        <v>42</v>
      </c>
      <c r="I31" s="2">
        <f t="shared" si="1"/>
        <v>50</v>
      </c>
      <c r="J31" s="2">
        <v>1000002</v>
      </c>
      <c r="L31" s="2" t="s">
        <v>47</v>
      </c>
      <c r="O31" s="6">
        <v>8</v>
      </c>
      <c r="P31" s="6">
        <f t="shared" si="10"/>
        <v>35</v>
      </c>
      <c r="Q31" s="6">
        <f t="shared" si="11"/>
        <v>42</v>
      </c>
      <c r="R31" s="6">
        <f t="shared" si="9"/>
        <v>50</v>
      </c>
    </row>
    <row r="32" spans="1:22" x14ac:dyDescent="0.3">
      <c r="A32" s="2">
        <v>100029</v>
      </c>
      <c r="B32" s="2" t="s">
        <v>27</v>
      </c>
      <c r="C32" s="2" t="s">
        <v>31</v>
      </c>
      <c r="D32" s="2" t="s">
        <v>56</v>
      </c>
      <c r="E32" s="2">
        <f t="shared" si="5"/>
        <v>9</v>
      </c>
      <c r="F32" s="2">
        <f>IF(表1[[#This Row],[level]]+1=E33,A33,"")</f>
        <v>100030</v>
      </c>
      <c r="H32" s="2">
        <f t="shared" si="0"/>
        <v>47</v>
      </c>
      <c r="I32" s="2">
        <f t="shared" si="1"/>
        <v>55</v>
      </c>
      <c r="J32" s="2">
        <v>1000002</v>
      </c>
      <c r="L32" s="2" t="s">
        <v>47</v>
      </c>
      <c r="O32" s="6">
        <v>8</v>
      </c>
      <c r="P32" s="6">
        <f t="shared" si="10"/>
        <v>39</v>
      </c>
      <c r="Q32" s="6">
        <f t="shared" si="11"/>
        <v>47</v>
      </c>
      <c r="R32" s="6">
        <f t="shared" si="9"/>
        <v>55</v>
      </c>
    </row>
    <row r="33" spans="1:18" x14ac:dyDescent="0.3">
      <c r="A33" s="2">
        <v>100030</v>
      </c>
      <c r="B33" s="2" t="s">
        <v>27</v>
      </c>
      <c r="C33" s="2" t="s">
        <v>31</v>
      </c>
      <c r="D33" s="2" t="s">
        <v>56</v>
      </c>
      <c r="E33" s="2">
        <f t="shared" si="5"/>
        <v>10</v>
      </c>
      <c r="F33" s="2" t="str">
        <f>IF(表1[[#This Row],[level]]+1=E34,A34,"")</f>
        <v/>
      </c>
      <c r="H33" s="2">
        <f t="shared" si="0"/>
        <v>52</v>
      </c>
      <c r="I33" s="2">
        <f t="shared" si="1"/>
        <v>60</v>
      </c>
      <c r="J33" s="2">
        <v>1000002</v>
      </c>
      <c r="L33" s="2" t="s">
        <v>47</v>
      </c>
      <c r="O33" s="6">
        <v>8</v>
      </c>
      <c r="P33" s="6">
        <f t="shared" si="10"/>
        <v>43</v>
      </c>
      <c r="Q33" s="6">
        <f t="shared" si="11"/>
        <v>52</v>
      </c>
      <c r="R33" s="6">
        <f t="shared" si="9"/>
        <v>60</v>
      </c>
    </row>
    <row r="34" spans="1:18" x14ac:dyDescent="0.3">
      <c r="A34" s="2">
        <v>100031</v>
      </c>
      <c r="B34" s="2" t="s">
        <v>43</v>
      </c>
      <c r="C34" s="2" t="s">
        <v>32</v>
      </c>
      <c r="D34" s="2" t="s">
        <v>65</v>
      </c>
      <c r="E34" s="2">
        <f t="shared" si="5"/>
        <v>1</v>
      </c>
      <c r="F34" s="2">
        <f>IF(表1[[#This Row],[level]]+1=E35,A35,"")</f>
        <v>100032</v>
      </c>
      <c r="H34" s="2">
        <f t="shared" si="0"/>
        <v>5</v>
      </c>
      <c r="I34" s="2">
        <f t="shared" si="1"/>
        <v>10</v>
      </c>
      <c r="J34" s="2">
        <v>1000002</v>
      </c>
      <c r="L34" s="2" t="s">
        <v>48</v>
      </c>
      <c r="O34" s="6">
        <v>5</v>
      </c>
      <c r="P34" s="8">
        <v>5</v>
      </c>
      <c r="Q34" s="6">
        <f>P34</f>
        <v>5</v>
      </c>
      <c r="R34" s="6">
        <f>O34+Q34</f>
        <v>10</v>
      </c>
    </row>
    <row r="35" spans="1:18" x14ac:dyDescent="0.3">
      <c r="A35" s="2">
        <v>100032</v>
      </c>
      <c r="B35" s="2" t="s">
        <v>28</v>
      </c>
      <c r="C35" s="2" t="s">
        <v>32</v>
      </c>
      <c r="D35" s="2" t="s">
        <v>65</v>
      </c>
      <c r="E35" s="2">
        <f t="shared" si="5"/>
        <v>2</v>
      </c>
      <c r="F35" s="2">
        <f>IF(表1[[#This Row],[level]]+1=E36,A36,"")</f>
        <v>100033</v>
      </c>
      <c r="H35" s="2">
        <f t="shared" si="0"/>
        <v>9</v>
      </c>
      <c r="I35" s="2">
        <f t="shared" si="1"/>
        <v>15</v>
      </c>
      <c r="J35" s="2">
        <v>1000002</v>
      </c>
      <c r="L35" s="2" t="s">
        <v>48</v>
      </c>
      <c r="O35" s="6">
        <v>6</v>
      </c>
      <c r="P35" s="2">
        <f>P34+O35/2</f>
        <v>8</v>
      </c>
      <c r="Q35" s="6">
        <f>Q34+O34/2+1</f>
        <v>8.5</v>
      </c>
      <c r="R35" s="6">
        <f t="shared" ref="R35:R43" si="12">O35+Q35</f>
        <v>14.5</v>
      </c>
    </row>
    <row r="36" spans="1:18" x14ac:dyDescent="0.3">
      <c r="A36" s="2">
        <v>100033</v>
      </c>
      <c r="B36" s="2" t="s">
        <v>28</v>
      </c>
      <c r="C36" s="2" t="s">
        <v>32</v>
      </c>
      <c r="D36" s="2" t="s">
        <v>65</v>
      </c>
      <c r="E36" s="2">
        <f t="shared" si="5"/>
        <v>3</v>
      </c>
      <c r="F36" s="2">
        <f>IF(表1[[#This Row],[level]]+1=E37,A37,"")</f>
        <v>100034</v>
      </c>
      <c r="H36" s="2">
        <f t="shared" ref="H36:H53" si="13">ROUND(Q36,0)</f>
        <v>13</v>
      </c>
      <c r="I36" s="2">
        <f t="shared" ref="I36:I53" si="14">ROUND(R36,0)</f>
        <v>19</v>
      </c>
      <c r="J36" s="2">
        <v>1000002</v>
      </c>
      <c r="L36" s="2" t="s">
        <v>48</v>
      </c>
      <c r="O36" s="6">
        <v>6</v>
      </c>
      <c r="P36" s="6">
        <f t="shared" ref="P36:P43" si="15">P35+O36/2</f>
        <v>11</v>
      </c>
      <c r="Q36" s="6">
        <f t="shared" ref="Q36:Q43" si="16">Q35+O35/2+1</f>
        <v>12.5</v>
      </c>
      <c r="R36" s="6">
        <f t="shared" si="12"/>
        <v>18.5</v>
      </c>
    </row>
    <row r="37" spans="1:18" x14ac:dyDescent="0.3">
      <c r="A37" s="2">
        <v>100034</v>
      </c>
      <c r="B37" s="2" t="s">
        <v>28</v>
      </c>
      <c r="C37" s="2" t="s">
        <v>32</v>
      </c>
      <c r="D37" s="2" t="s">
        <v>65</v>
      </c>
      <c r="E37" s="2">
        <f t="shared" si="5"/>
        <v>4</v>
      </c>
      <c r="F37" s="2">
        <f>IF(表1[[#This Row],[level]]+1=E38,A38,"")</f>
        <v>100035</v>
      </c>
      <c r="H37" s="2">
        <f t="shared" si="13"/>
        <v>17</v>
      </c>
      <c r="I37" s="2">
        <f t="shared" si="14"/>
        <v>23</v>
      </c>
      <c r="J37" s="2">
        <v>1000002</v>
      </c>
      <c r="L37" s="2" t="s">
        <v>48</v>
      </c>
      <c r="O37" s="6">
        <v>6</v>
      </c>
      <c r="P37" s="6">
        <f t="shared" si="15"/>
        <v>14</v>
      </c>
      <c r="Q37" s="6">
        <f t="shared" si="16"/>
        <v>16.5</v>
      </c>
      <c r="R37" s="6">
        <f t="shared" si="12"/>
        <v>22.5</v>
      </c>
    </row>
    <row r="38" spans="1:18" x14ac:dyDescent="0.3">
      <c r="A38" s="2">
        <v>100035</v>
      </c>
      <c r="B38" s="2" t="s">
        <v>28</v>
      </c>
      <c r="C38" s="2" t="s">
        <v>32</v>
      </c>
      <c r="D38" s="2" t="s">
        <v>65</v>
      </c>
      <c r="E38" s="2">
        <f t="shared" si="5"/>
        <v>5</v>
      </c>
      <c r="F38" s="2">
        <f>IF(表1[[#This Row],[level]]+1=E39,A39,"")</f>
        <v>100036</v>
      </c>
      <c r="H38" s="2">
        <f t="shared" si="13"/>
        <v>21</v>
      </c>
      <c r="I38" s="2">
        <f t="shared" si="14"/>
        <v>28</v>
      </c>
      <c r="J38" s="2">
        <v>1000002</v>
      </c>
      <c r="L38" s="2" t="s">
        <v>48</v>
      </c>
      <c r="O38" s="6">
        <v>7</v>
      </c>
      <c r="P38" s="6">
        <f t="shared" si="15"/>
        <v>17.5</v>
      </c>
      <c r="Q38" s="6">
        <f t="shared" si="16"/>
        <v>20.5</v>
      </c>
      <c r="R38" s="6">
        <f t="shared" si="12"/>
        <v>27.5</v>
      </c>
    </row>
    <row r="39" spans="1:18" x14ac:dyDescent="0.3">
      <c r="A39" s="2">
        <v>100036</v>
      </c>
      <c r="B39" s="2" t="s">
        <v>28</v>
      </c>
      <c r="C39" s="2" t="s">
        <v>32</v>
      </c>
      <c r="D39" s="2" t="s">
        <v>65</v>
      </c>
      <c r="E39" s="2">
        <f t="shared" si="5"/>
        <v>6</v>
      </c>
      <c r="F39" s="2">
        <f>IF(表1[[#This Row],[level]]+1=E40,A40,"")</f>
        <v>100037</v>
      </c>
      <c r="H39" s="2">
        <f t="shared" si="13"/>
        <v>25</v>
      </c>
      <c r="I39" s="2">
        <f t="shared" si="14"/>
        <v>32</v>
      </c>
      <c r="J39" s="2">
        <v>1000002</v>
      </c>
      <c r="L39" s="2" t="s">
        <v>48</v>
      </c>
      <c r="O39" s="6">
        <v>7</v>
      </c>
      <c r="P39" s="6">
        <f t="shared" si="15"/>
        <v>21</v>
      </c>
      <c r="Q39" s="6">
        <f t="shared" si="16"/>
        <v>25</v>
      </c>
      <c r="R39" s="6">
        <f t="shared" si="12"/>
        <v>32</v>
      </c>
    </row>
    <row r="40" spans="1:18" x14ac:dyDescent="0.3">
      <c r="A40" s="2">
        <v>100037</v>
      </c>
      <c r="B40" s="2" t="s">
        <v>28</v>
      </c>
      <c r="C40" s="2" t="s">
        <v>32</v>
      </c>
      <c r="D40" s="2" t="s">
        <v>65</v>
      </c>
      <c r="E40" s="2">
        <f t="shared" si="5"/>
        <v>7</v>
      </c>
      <c r="F40" s="2">
        <f>IF(表1[[#This Row],[level]]+1=E41,A41,"")</f>
        <v>100038</v>
      </c>
      <c r="H40" s="2">
        <f t="shared" si="13"/>
        <v>30</v>
      </c>
      <c r="I40" s="2">
        <f t="shared" si="14"/>
        <v>37</v>
      </c>
      <c r="J40" s="2">
        <v>1000002</v>
      </c>
      <c r="L40" s="2" t="s">
        <v>75</v>
      </c>
      <c r="O40" s="6">
        <v>7</v>
      </c>
      <c r="P40" s="6">
        <f t="shared" si="15"/>
        <v>24.5</v>
      </c>
      <c r="Q40" s="6">
        <f t="shared" si="16"/>
        <v>29.5</v>
      </c>
      <c r="R40" s="6">
        <f t="shared" si="12"/>
        <v>36.5</v>
      </c>
    </row>
    <row r="41" spans="1:18" x14ac:dyDescent="0.3">
      <c r="A41" s="2">
        <v>100038</v>
      </c>
      <c r="B41" s="2" t="s">
        <v>28</v>
      </c>
      <c r="C41" s="2" t="s">
        <v>32</v>
      </c>
      <c r="D41" s="2" t="s">
        <v>65</v>
      </c>
      <c r="E41" s="2">
        <f t="shared" si="5"/>
        <v>8</v>
      </c>
      <c r="F41" s="2">
        <f>IF(表1[[#This Row],[level]]+1=E42,A42,"")</f>
        <v>100039</v>
      </c>
      <c r="H41" s="2">
        <f t="shared" si="13"/>
        <v>34</v>
      </c>
      <c r="I41" s="2">
        <f t="shared" si="14"/>
        <v>42</v>
      </c>
      <c r="J41" s="2">
        <v>1000002</v>
      </c>
      <c r="L41" s="2" t="s">
        <v>76</v>
      </c>
      <c r="O41" s="6">
        <v>8</v>
      </c>
      <c r="P41" s="6">
        <f t="shared" si="15"/>
        <v>28.5</v>
      </c>
      <c r="Q41" s="6">
        <f t="shared" si="16"/>
        <v>34</v>
      </c>
      <c r="R41" s="6">
        <f t="shared" si="12"/>
        <v>42</v>
      </c>
    </row>
    <row r="42" spans="1:18" x14ac:dyDescent="0.3">
      <c r="A42" s="2">
        <v>100039</v>
      </c>
      <c r="B42" s="2" t="s">
        <v>28</v>
      </c>
      <c r="C42" s="2" t="s">
        <v>32</v>
      </c>
      <c r="D42" s="2" t="s">
        <v>65</v>
      </c>
      <c r="E42" s="2">
        <f t="shared" si="5"/>
        <v>9</v>
      </c>
      <c r="F42" s="2">
        <f>IF(表1[[#This Row],[level]]+1=E43,A43,"")</f>
        <v>100040</v>
      </c>
      <c r="H42" s="2">
        <f t="shared" si="13"/>
        <v>39</v>
      </c>
      <c r="I42" s="2">
        <f t="shared" si="14"/>
        <v>47</v>
      </c>
      <c r="J42" s="2">
        <v>1000002</v>
      </c>
      <c r="L42" s="2" t="s">
        <v>48</v>
      </c>
      <c r="O42" s="6">
        <v>8</v>
      </c>
      <c r="P42" s="6">
        <f t="shared" si="15"/>
        <v>32.5</v>
      </c>
      <c r="Q42" s="6">
        <f t="shared" si="16"/>
        <v>39</v>
      </c>
      <c r="R42" s="6">
        <f t="shared" si="12"/>
        <v>47</v>
      </c>
    </row>
    <row r="43" spans="1:18" x14ac:dyDescent="0.3">
      <c r="A43" s="2">
        <v>100040</v>
      </c>
      <c r="B43" s="2" t="s">
        <v>28</v>
      </c>
      <c r="C43" s="2" t="s">
        <v>32</v>
      </c>
      <c r="D43" s="2" t="s">
        <v>65</v>
      </c>
      <c r="E43" s="2">
        <f t="shared" si="5"/>
        <v>10</v>
      </c>
      <c r="F43" s="2" t="str">
        <f>IF(表1[[#This Row],[level]]+1=E44,A44,"")</f>
        <v/>
      </c>
      <c r="H43" s="2">
        <f t="shared" si="13"/>
        <v>44</v>
      </c>
      <c r="I43" s="2">
        <f t="shared" si="14"/>
        <v>52</v>
      </c>
      <c r="J43" s="2">
        <v>1000002</v>
      </c>
      <c r="L43" s="2" t="s">
        <v>48</v>
      </c>
      <c r="O43" s="6">
        <v>8</v>
      </c>
      <c r="P43" s="6">
        <f t="shared" si="15"/>
        <v>36.5</v>
      </c>
      <c r="Q43" s="6">
        <f t="shared" si="16"/>
        <v>44</v>
      </c>
      <c r="R43" s="6">
        <f t="shared" si="12"/>
        <v>52</v>
      </c>
    </row>
    <row r="44" spans="1:18" x14ac:dyDescent="0.3">
      <c r="A44" s="2">
        <v>100041</v>
      </c>
      <c r="B44" s="2" t="s">
        <v>34</v>
      </c>
      <c r="C44" s="2" t="s">
        <v>33</v>
      </c>
      <c r="D44" s="2" t="s">
        <v>58</v>
      </c>
      <c r="E44" s="2">
        <f t="shared" si="5"/>
        <v>1</v>
      </c>
      <c r="F44" s="2">
        <f>IF(表1[[#This Row],[level]]+1=E45,A45,"")</f>
        <v>100042</v>
      </c>
      <c r="H44" s="2">
        <f t="shared" si="13"/>
        <v>6</v>
      </c>
      <c r="I44" s="2">
        <f t="shared" si="14"/>
        <v>10</v>
      </c>
      <c r="J44" s="2">
        <v>1000002</v>
      </c>
      <c r="L44" s="2" t="s">
        <v>49</v>
      </c>
      <c r="O44" s="6">
        <v>4</v>
      </c>
      <c r="P44" s="8">
        <v>6</v>
      </c>
      <c r="Q44" s="6">
        <f>P44</f>
        <v>6</v>
      </c>
      <c r="R44" s="6">
        <f>O44+Q44</f>
        <v>10</v>
      </c>
    </row>
    <row r="45" spans="1:18" x14ac:dyDescent="0.3">
      <c r="A45" s="2">
        <v>100042</v>
      </c>
      <c r="B45" s="2" t="s">
        <v>34</v>
      </c>
      <c r="C45" s="2" t="s">
        <v>33</v>
      </c>
      <c r="D45" s="2" t="s">
        <v>58</v>
      </c>
      <c r="E45" s="2">
        <f t="shared" si="5"/>
        <v>2</v>
      </c>
      <c r="F45" s="2">
        <f>IF(表1[[#This Row],[level]]+1=E46,A46,"")</f>
        <v>100043</v>
      </c>
      <c r="H45" s="2">
        <f t="shared" si="13"/>
        <v>9</v>
      </c>
      <c r="I45" s="2">
        <f t="shared" si="14"/>
        <v>13</v>
      </c>
      <c r="J45" s="2">
        <v>1000002</v>
      </c>
      <c r="L45" s="2" t="s">
        <v>77</v>
      </c>
      <c r="O45" s="6">
        <v>4</v>
      </c>
      <c r="P45" s="2">
        <f>P44+O45/2</f>
        <v>8</v>
      </c>
      <c r="Q45" s="6">
        <f>Q44+O44/2+1</f>
        <v>9</v>
      </c>
      <c r="R45" s="6">
        <f t="shared" ref="R45:R53" si="17">O45+Q45</f>
        <v>13</v>
      </c>
    </row>
    <row r="46" spans="1:18" x14ac:dyDescent="0.3">
      <c r="A46" s="2">
        <v>100043</v>
      </c>
      <c r="B46" s="2" t="s">
        <v>34</v>
      </c>
      <c r="C46" s="2" t="s">
        <v>33</v>
      </c>
      <c r="D46" s="2" t="s">
        <v>58</v>
      </c>
      <c r="E46" s="2">
        <f t="shared" si="5"/>
        <v>3</v>
      </c>
      <c r="F46" s="2">
        <f>IF(表1[[#This Row],[level]]+1=E47,A47,"")</f>
        <v>100044</v>
      </c>
      <c r="H46" s="2">
        <f t="shared" si="13"/>
        <v>12</v>
      </c>
      <c r="I46" s="2">
        <f t="shared" si="14"/>
        <v>16</v>
      </c>
      <c r="J46" s="2">
        <v>1000002</v>
      </c>
      <c r="L46" s="2" t="s">
        <v>49</v>
      </c>
      <c r="O46" s="6">
        <v>4</v>
      </c>
      <c r="P46" s="6">
        <f t="shared" ref="P46:P53" si="18">P45+O46/2</f>
        <v>10</v>
      </c>
      <c r="Q46" s="6">
        <f t="shared" ref="Q46:Q53" si="19">Q45+O45/2+1</f>
        <v>12</v>
      </c>
      <c r="R46" s="6">
        <f t="shared" si="17"/>
        <v>16</v>
      </c>
    </row>
    <row r="47" spans="1:18" x14ac:dyDescent="0.3">
      <c r="A47" s="2">
        <v>100044</v>
      </c>
      <c r="B47" s="2" t="s">
        <v>34</v>
      </c>
      <c r="C47" s="2" t="s">
        <v>33</v>
      </c>
      <c r="D47" s="2" t="s">
        <v>58</v>
      </c>
      <c r="E47" s="2">
        <f t="shared" si="5"/>
        <v>4</v>
      </c>
      <c r="F47" s="2">
        <f>IF(表1[[#This Row],[level]]+1=E48,A48,"")</f>
        <v>100045</v>
      </c>
      <c r="H47" s="2">
        <f t="shared" si="13"/>
        <v>15</v>
      </c>
      <c r="I47" s="2">
        <f t="shared" si="14"/>
        <v>19</v>
      </c>
      <c r="J47" s="2">
        <v>1000002</v>
      </c>
      <c r="L47" s="2" t="s">
        <v>49</v>
      </c>
      <c r="O47" s="6">
        <v>4</v>
      </c>
      <c r="P47" s="6">
        <f t="shared" si="18"/>
        <v>12</v>
      </c>
      <c r="Q47" s="6">
        <f t="shared" si="19"/>
        <v>15</v>
      </c>
      <c r="R47" s="6">
        <f t="shared" si="17"/>
        <v>19</v>
      </c>
    </row>
    <row r="48" spans="1:18" x14ac:dyDescent="0.3">
      <c r="A48" s="2">
        <v>100045</v>
      </c>
      <c r="B48" s="2" t="s">
        <v>34</v>
      </c>
      <c r="C48" s="2" t="s">
        <v>33</v>
      </c>
      <c r="D48" s="2" t="s">
        <v>58</v>
      </c>
      <c r="E48" s="2">
        <f t="shared" si="5"/>
        <v>5</v>
      </c>
      <c r="F48" s="2">
        <f>IF(表1[[#This Row],[level]]+1=E49,A49,"")</f>
        <v>100046</v>
      </c>
      <c r="H48" s="2">
        <f t="shared" si="13"/>
        <v>18</v>
      </c>
      <c r="I48" s="2">
        <f t="shared" si="14"/>
        <v>22</v>
      </c>
      <c r="J48" s="2">
        <v>1000002</v>
      </c>
      <c r="L48" s="2" t="s">
        <v>49</v>
      </c>
      <c r="O48" s="6">
        <v>4</v>
      </c>
      <c r="P48" s="6">
        <f t="shared" si="18"/>
        <v>14</v>
      </c>
      <c r="Q48" s="6">
        <f t="shared" si="19"/>
        <v>18</v>
      </c>
      <c r="R48" s="6">
        <f t="shared" si="17"/>
        <v>22</v>
      </c>
    </row>
    <row r="49" spans="1:18" x14ac:dyDescent="0.3">
      <c r="A49" s="2">
        <v>100046</v>
      </c>
      <c r="B49" s="2" t="s">
        <v>34</v>
      </c>
      <c r="C49" s="2" t="s">
        <v>33</v>
      </c>
      <c r="D49" s="2" t="s">
        <v>58</v>
      </c>
      <c r="E49" s="2">
        <f t="shared" si="5"/>
        <v>6</v>
      </c>
      <c r="F49" s="2">
        <f>IF(表1[[#This Row],[level]]+1=E50,A50,"")</f>
        <v>100047</v>
      </c>
      <c r="H49" s="2">
        <f t="shared" si="13"/>
        <v>21</v>
      </c>
      <c r="I49" s="2">
        <f t="shared" si="14"/>
        <v>25</v>
      </c>
      <c r="J49" s="2">
        <v>1000002</v>
      </c>
      <c r="L49" s="2" t="s">
        <v>49</v>
      </c>
      <c r="O49" s="6">
        <v>4</v>
      </c>
      <c r="P49" s="6">
        <f t="shared" si="18"/>
        <v>16</v>
      </c>
      <c r="Q49" s="6">
        <f t="shared" si="19"/>
        <v>21</v>
      </c>
      <c r="R49" s="6">
        <f t="shared" si="17"/>
        <v>25</v>
      </c>
    </row>
    <row r="50" spans="1:18" x14ac:dyDescent="0.3">
      <c r="A50" s="2">
        <v>100047</v>
      </c>
      <c r="B50" s="2" t="s">
        <v>34</v>
      </c>
      <c r="C50" s="2" t="s">
        <v>33</v>
      </c>
      <c r="D50" s="2" t="s">
        <v>58</v>
      </c>
      <c r="E50" s="2">
        <f t="shared" si="5"/>
        <v>7</v>
      </c>
      <c r="F50" s="2">
        <f>IF(表1[[#This Row],[level]]+1=E51,A51,"")</f>
        <v>100048</v>
      </c>
      <c r="H50" s="2">
        <f t="shared" si="13"/>
        <v>24</v>
      </c>
      <c r="I50" s="2">
        <f t="shared" si="14"/>
        <v>28</v>
      </c>
      <c r="J50" s="2">
        <v>1000002</v>
      </c>
      <c r="L50" s="2" t="s">
        <v>49</v>
      </c>
      <c r="O50" s="6">
        <v>4</v>
      </c>
      <c r="P50" s="6">
        <f t="shared" si="18"/>
        <v>18</v>
      </c>
      <c r="Q50" s="6">
        <f t="shared" si="19"/>
        <v>24</v>
      </c>
      <c r="R50" s="6">
        <f t="shared" si="17"/>
        <v>28</v>
      </c>
    </row>
    <row r="51" spans="1:18" x14ac:dyDescent="0.3">
      <c r="A51" s="2">
        <v>100048</v>
      </c>
      <c r="B51" s="2" t="s">
        <v>34</v>
      </c>
      <c r="C51" s="2" t="s">
        <v>33</v>
      </c>
      <c r="D51" s="2" t="s">
        <v>58</v>
      </c>
      <c r="E51" s="2">
        <f t="shared" si="5"/>
        <v>8</v>
      </c>
      <c r="F51" s="2">
        <f>IF(表1[[#This Row],[level]]+1=E52,A52,"")</f>
        <v>100049</v>
      </c>
      <c r="H51" s="2">
        <f t="shared" si="13"/>
        <v>27</v>
      </c>
      <c r="I51" s="2">
        <f t="shared" si="14"/>
        <v>31</v>
      </c>
      <c r="J51" s="2">
        <v>1000002</v>
      </c>
      <c r="L51" s="2" t="s">
        <v>49</v>
      </c>
      <c r="O51" s="6">
        <v>4</v>
      </c>
      <c r="P51" s="6">
        <f t="shared" si="18"/>
        <v>20</v>
      </c>
      <c r="Q51" s="6">
        <f t="shared" si="19"/>
        <v>27</v>
      </c>
      <c r="R51" s="6">
        <f t="shared" si="17"/>
        <v>31</v>
      </c>
    </row>
    <row r="52" spans="1:18" x14ac:dyDescent="0.3">
      <c r="A52" s="2">
        <v>100049</v>
      </c>
      <c r="B52" s="2" t="s">
        <v>34</v>
      </c>
      <c r="C52" s="2" t="s">
        <v>33</v>
      </c>
      <c r="D52" s="2" t="s">
        <v>58</v>
      </c>
      <c r="E52" s="2">
        <f t="shared" si="5"/>
        <v>9</v>
      </c>
      <c r="F52" s="2">
        <f>IF(表1[[#This Row],[level]]+1=E53,A53,"")</f>
        <v>100050</v>
      </c>
      <c r="H52" s="2">
        <f t="shared" si="13"/>
        <v>30</v>
      </c>
      <c r="I52" s="2">
        <f t="shared" si="14"/>
        <v>34</v>
      </c>
      <c r="J52" s="2">
        <v>1000002</v>
      </c>
      <c r="L52" s="2" t="s">
        <v>78</v>
      </c>
      <c r="O52" s="6">
        <v>4</v>
      </c>
      <c r="P52" s="6">
        <f t="shared" si="18"/>
        <v>22</v>
      </c>
      <c r="Q52" s="6">
        <f t="shared" si="19"/>
        <v>30</v>
      </c>
      <c r="R52" s="6">
        <f t="shared" si="17"/>
        <v>34</v>
      </c>
    </row>
    <row r="53" spans="1:18" x14ac:dyDescent="0.3">
      <c r="A53" s="2">
        <v>100050</v>
      </c>
      <c r="B53" s="2" t="s">
        <v>34</v>
      </c>
      <c r="C53" s="2" t="s">
        <v>33</v>
      </c>
      <c r="D53" s="2" t="s">
        <v>58</v>
      </c>
      <c r="E53" s="2">
        <f t="shared" si="5"/>
        <v>10</v>
      </c>
      <c r="F53" s="2" t="str">
        <f>IF(表1[[#This Row],[level]]+1=E58,A58,"")</f>
        <v/>
      </c>
      <c r="H53" s="2">
        <f t="shared" si="13"/>
        <v>33</v>
      </c>
      <c r="I53" s="2">
        <f t="shared" si="14"/>
        <v>37</v>
      </c>
      <c r="J53" s="2">
        <v>1000002</v>
      </c>
      <c r="L53" s="2" t="s">
        <v>78</v>
      </c>
      <c r="O53" s="6">
        <v>4</v>
      </c>
      <c r="P53" s="6">
        <f t="shared" si="18"/>
        <v>24</v>
      </c>
      <c r="Q53" s="6">
        <f t="shared" si="19"/>
        <v>33</v>
      </c>
      <c r="R53" s="6">
        <f t="shared" si="17"/>
        <v>37</v>
      </c>
    </row>
    <row r="54" spans="1:18" x14ac:dyDescent="0.3">
      <c r="A54" s="2">
        <v>100051</v>
      </c>
      <c r="B54" s="2" t="s">
        <v>67</v>
      </c>
      <c r="C54" s="2" t="s">
        <v>68</v>
      </c>
      <c r="D54" s="2" t="s">
        <v>69</v>
      </c>
      <c r="E54" s="2">
        <v>1</v>
      </c>
      <c r="F54" s="12" t="str">
        <f>IF(表1[[#This Row],[level]]+1=E58,A58,"")</f>
        <v/>
      </c>
      <c r="H54" s="12">
        <v>1</v>
      </c>
      <c r="I54" s="12">
        <v>1</v>
      </c>
      <c r="J54" s="12">
        <v>1000001</v>
      </c>
      <c r="K54" s="12" t="s">
        <v>86</v>
      </c>
      <c r="L54" s="2" t="s">
        <v>79</v>
      </c>
    </row>
    <row r="55" spans="1:18" x14ac:dyDescent="0.3">
      <c r="A55" s="2">
        <v>100052</v>
      </c>
      <c r="B55" s="2" t="s">
        <v>67</v>
      </c>
      <c r="C55" s="2" t="s">
        <v>68</v>
      </c>
      <c r="D55" s="2" t="s">
        <v>58</v>
      </c>
      <c r="E55" s="2">
        <v>1</v>
      </c>
      <c r="F55" s="12" t="str">
        <f>IF(表1[[#This Row],[level]]+1=E56,A56,"")</f>
        <v/>
      </c>
      <c r="H55" s="12">
        <v>1</v>
      </c>
      <c r="I55" s="12">
        <v>1</v>
      </c>
      <c r="J55" s="12">
        <v>1000002</v>
      </c>
      <c r="K55" s="12" t="s">
        <v>87</v>
      </c>
      <c r="L55" s="2" t="s">
        <v>79</v>
      </c>
    </row>
    <row r="56" spans="1:18" x14ac:dyDescent="0.3">
      <c r="A56" s="2">
        <v>100053</v>
      </c>
      <c r="B56" s="2" t="s">
        <v>67</v>
      </c>
      <c r="C56" s="2" t="s">
        <v>68</v>
      </c>
      <c r="D56" s="2" t="s">
        <v>57</v>
      </c>
      <c r="E56" s="2">
        <v>1</v>
      </c>
      <c r="F56" s="12" t="str">
        <f>IF(表1[[#This Row],[level]]+1=E57,A57,"")</f>
        <v/>
      </c>
      <c r="H56" s="12">
        <v>1</v>
      </c>
      <c r="I56" s="12">
        <v>1</v>
      </c>
      <c r="J56" s="12">
        <v>2000001</v>
      </c>
      <c r="K56" s="12" t="s">
        <v>88</v>
      </c>
      <c r="L56" s="2" t="s">
        <v>79</v>
      </c>
    </row>
    <row r="57" spans="1:18" x14ac:dyDescent="0.3">
      <c r="A57" s="2">
        <v>100054</v>
      </c>
      <c r="B57" s="2" t="s">
        <v>67</v>
      </c>
      <c r="C57" s="2" t="s">
        <v>68</v>
      </c>
      <c r="D57" s="2" t="s">
        <v>54</v>
      </c>
      <c r="E57" s="2">
        <v>1</v>
      </c>
      <c r="F57" s="12" t="str">
        <f>IF(表1[[#This Row],[level]]+1=E58,A58,"")</f>
        <v/>
      </c>
      <c r="H57" s="12">
        <v>1</v>
      </c>
      <c r="I57" s="12">
        <v>1</v>
      </c>
      <c r="J57" s="12">
        <v>2000002</v>
      </c>
      <c r="K57" s="12" t="s">
        <v>89</v>
      </c>
      <c r="L57" s="2" t="s">
        <v>79</v>
      </c>
    </row>
  </sheetData>
  <mergeCells count="4">
    <mergeCell ref="O1:O3"/>
    <mergeCell ref="P1:P3"/>
    <mergeCell ref="Q1:Q3"/>
    <mergeCell ref="R1:R3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枚举!$A$2:$A$3</xm:f>
          </x14:formula1>
          <xm:sqref>G4:G57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3"/>
  <sheetViews>
    <sheetView showGridLines="0" workbookViewId="0">
      <selection activeCell="P10" sqref="P10"/>
    </sheetView>
  </sheetViews>
  <sheetFormatPr defaultRowHeight="16.5" x14ac:dyDescent="0.3"/>
  <cols>
    <col min="1" max="1" width="11.625" style="1" bestFit="1" customWidth="1"/>
    <col min="2" max="16384" width="9" style="1"/>
  </cols>
  <sheetData>
    <row r="1" spans="1:1" x14ac:dyDescent="0.3">
      <c r="A1" s="3" t="s">
        <v>13</v>
      </c>
    </row>
    <row r="2" spans="1:1" x14ac:dyDescent="0.3">
      <c r="A2" s="4" t="s">
        <v>36</v>
      </c>
    </row>
    <row r="3" spans="1:1" x14ac:dyDescent="0.3">
      <c r="A3" s="4" t="s">
        <v>37</v>
      </c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50"/>
  <sheetViews>
    <sheetView showGridLines="0" topLeftCell="A22" workbookViewId="0">
      <selection activeCell="AD36" sqref="AD36:AE36"/>
    </sheetView>
  </sheetViews>
  <sheetFormatPr defaultColWidth="2.5" defaultRowHeight="13.5" x14ac:dyDescent="0.15"/>
  <cols>
    <col min="1" max="25" width="2.5" style="9"/>
    <col min="26" max="26" width="2.625" style="9" customWidth="1"/>
    <col min="27" max="35" width="2.5" style="9"/>
    <col min="36" max="16384" width="2.5" style="10"/>
  </cols>
  <sheetData>
    <row r="1" spans="2:29" x14ac:dyDescent="0.15">
      <c r="B1" s="17" t="s">
        <v>45</v>
      </c>
      <c r="C1" s="17"/>
      <c r="D1" s="17"/>
      <c r="E1" s="17"/>
      <c r="H1" s="17" t="str">
        <f>B1</f>
        <v>SD.DG</v>
      </c>
      <c r="I1" s="17"/>
      <c r="J1" s="17"/>
      <c r="K1" s="17"/>
      <c r="N1" s="17" t="str">
        <f>B1</f>
        <v>SD.DG</v>
      </c>
      <c r="O1" s="17"/>
      <c r="P1" s="17"/>
      <c r="Q1" s="17"/>
      <c r="T1" s="17" t="str">
        <f>B1</f>
        <v>SD.DG</v>
      </c>
      <c r="U1" s="17"/>
      <c r="V1" s="17"/>
      <c r="W1" s="17"/>
      <c r="Z1" s="17" t="str">
        <f>B1</f>
        <v>SD.DG</v>
      </c>
      <c r="AA1" s="17"/>
      <c r="AB1" s="17"/>
      <c r="AC1" s="17"/>
    </row>
    <row r="2" spans="2:29" x14ac:dyDescent="0.15">
      <c r="B2" s="11"/>
      <c r="C2" s="11"/>
      <c r="D2" s="11"/>
      <c r="E2" s="11"/>
      <c r="H2" s="11">
        <v>3</v>
      </c>
      <c r="I2" s="11">
        <v>1</v>
      </c>
      <c r="J2" s="11"/>
      <c r="K2" s="11"/>
      <c r="N2" s="11"/>
      <c r="O2" s="11">
        <v>1</v>
      </c>
      <c r="P2" s="11"/>
      <c r="Q2" s="11"/>
      <c r="T2" s="11"/>
      <c r="U2" s="11"/>
      <c r="V2" s="11"/>
      <c r="W2" s="11"/>
      <c r="Z2" s="11"/>
      <c r="AA2" s="11">
        <v>1</v>
      </c>
      <c r="AB2" s="11"/>
      <c r="AC2" s="11"/>
    </row>
    <row r="3" spans="2:29" x14ac:dyDescent="0.15">
      <c r="B3" s="11"/>
      <c r="C3" s="11">
        <v>1</v>
      </c>
      <c r="D3" s="11">
        <v>2</v>
      </c>
      <c r="E3" s="11">
        <v>1</v>
      </c>
      <c r="H3" s="11">
        <v>1</v>
      </c>
      <c r="I3" s="11">
        <v>2</v>
      </c>
      <c r="J3" s="11">
        <v>1</v>
      </c>
      <c r="K3" s="11"/>
      <c r="N3" s="11"/>
      <c r="O3" s="11">
        <v>2</v>
      </c>
      <c r="P3" s="11">
        <v>1</v>
      </c>
      <c r="Q3" s="11"/>
      <c r="T3" s="11"/>
      <c r="U3" s="11">
        <v>3</v>
      </c>
      <c r="V3" s="11">
        <v>1</v>
      </c>
      <c r="W3" s="11"/>
      <c r="Z3" s="11"/>
      <c r="AA3" s="11">
        <v>2</v>
      </c>
      <c r="AB3" s="11">
        <v>3</v>
      </c>
      <c r="AC3" s="11"/>
    </row>
    <row r="4" spans="2:29" x14ac:dyDescent="0.15">
      <c r="B4" s="11"/>
      <c r="C4" s="11"/>
      <c r="D4" s="11">
        <v>1</v>
      </c>
      <c r="E4" s="11">
        <v>3</v>
      </c>
      <c r="H4" s="11"/>
      <c r="I4" s="11"/>
      <c r="J4" s="11">
        <v>1</v>
      </c>
      <c r="K4" s="11"/>
      <c r="N4" s="11"/>
      <c r="O4" s="11">
        <v>1</v>
      </c>
      <c r="P4" s="11"/>
      <c r="Q4" s="11"/>
      <c r="T4" s="11">
        <v>1</v>
      </c>
      <c r="U4" s="11">
        <v>2</v>
      </c>
      <c r="V4" s="11"/>
      <c r="W4" s="11"/>
      <c r="Z4" s="11"/>
      <c r="AA4" s="11">
        <v>1</v>
      </c>
      <c r="AB4" s="11"/>
      <c r="AC4" s="11"/>
    </row>
    <row r="5" spans="2:29" x14ac:dyDescent="0.15">
      <c r="B5" s="11"/>
      <c r="C5" s="11"/>
      <c r="D5" s="11"/>
      <c r="E5" s="11"/>
      <c r="H5" s="11"/>
      <c r="I5" s="11"/>
      <c r="J5" s="11"/>
      <c r="K5" s="11"/>
      <c r="N5" s="11"/>
      <c r="O5" s="11"/>
      <c r="P5" s="11">
        <v>3</v>
      </c>
      <c r="Q5" s="11"/>
      <c r="T5" s="11"/>
      <c r="U5" s="11"/>
      <c r="V5" s="11"/>
      <c r="W5" s="11"/>
      <c r="Z5" s="11"/>
      <c r="AA5" s="11"/>
      <c r="AB5" s="11"/>
      <c r="AC5" s="11"/>
    </row>
    <row r="10" spans="2:29" x14ac:dyDescent="0.15">
      <c r="B10" s="16" t="s">
        <v>59</v>
      </c>
      <c r="C10" s="17"/>
      <c r="D10" s="17"/>
      <c r="E10" s="17"/>
      <c r="H10" s="17" t="str">
        <f>B10</f>
        <v>GS.DG</v>
      </c>
      <c r="I10" s="17"/>
      <c r="J10" s="17"/>
      <c r="K10" s="17"/>
      <c r="N10" s="17" t="str">
        <f>B10</f>
        <v>GS.DG</v>
      </c>
      <c r="O10" s="17"/>
      <c r="P10" s="17"/>
      <c r="Q10" s="17"/>
      <c r="T10" s="17" t="str">
        <f>B10</f>
        <v>GS.DG</v>
      </c>
      <c r="U10" s="17"/>
      <c r="V10" s="17"/>
      <c r="W10" s="17"/>
    </row>
    <row r="11" spans="2:29" x14ac:dyDescent="0.15">
      <c r="B11" s="11"/>
      <c r="C11" s="11"/>
      <c r="D11" s="11"/>
      <c r="E11" s="11"/>
      <c r="H11" s="11"/>
      <c r="I11" s="11"/>
      <c r="J11" s="11"/>
      <c r="K11" s="11"/>
      <c r="N11" s="11"/>
      <c r="O11" s="11">
        <v>1</v>
      </c>
      <c r="P11" s="11"/>
      <c r="Q11" s="11"/>
      <c r="T11" s="11"/>
      <c r="U11" s="11">
        <v>1</v>
      </c>
      <c r="V11" s="11"/>
      <c r="W11" s="11"/>
    </row>
    <row r="12" spans="2:29" x14ac:dyDescent="0.15">
      <c r="B12" s="11">
        <v>1</v>
      </c>
      <c r="C12" s="11">
        <v>2</v>
      </c>
      <c r="D12" s="11">
        <v>1</v>
      </c>
      <c r="E12" s="11"/>
      <c r="H12" s="11"/>
      <c r="I12" s="11">
        <v>1</v>
      </c>
      <c r="J12" s="11">
        <v>1</v>
      </c>
      <c r="K12" s="11">
        <v>3</v>
      </c>
      <c r="N12" s="11">
        <v>1</v>
      </c>
      <c r="O12" s="11">
        <v>2</v>
      </c>
      <c r="P12" s="11">
        <v>1</v>
      </c>
      <c r="Q12" s="11"/>
      <c r="T12" s="11">
        <v>3</v>
      </c>
      <c r="U12" s="11"/>
      <c r="V12" s="11">
        <v>2</v>
      </c>
      <c r="W12" s="11"/>
    </row>
    <row r="13" spans="2:29" x14ac:dyDescent="0.15">
      <c r="B13" s="11"/>
      <c r="C13" s="11">
        <v>3</v>
      </c>
      <c r="D13" s="11"/>
      <c r="E13" s="11"/>
      <c r="H13" s="11"/>
      <c r="I13" s="11"/>
      <c r="J13" s="11">
        <v>2</v>
      </c>
      <c r="K13" s="11"/>
      <c r="N13" s="11">
        <v>3</v>
      </c>
      <c r="O13" s="11"/>
      <c r="P13" s="11"/>
      <c r="Q13" s="11"/>
      <c r="T13" s="11"/>
      <c r="U13" s="11"/>
      <c r="V13" s="11">
        <v>1</v>
      </c>
      <c r="W13" s="11"/>
    </row>
    <row r="14" spans="2:29" x14ac:dyDescent="0.15">
      <c r="B14" s="11"/>
      <c r="C14" s="11"/>
      <c r="D14" s="11"/>
      <c r="E14" s="11"/>
      <c r="H14" s="11"/>
      <c r="I14" s="11">
        <v>1</v>
      </c>
      <c r="J14" s="11"/>
      <c r="K14" s="11"/>
      <c r="N14" s="11"/>
      <c r="O14" s="11"/>
      <c r="P14" s="11"/>
      <c r="Q14" s="11"/>
      <c r="T14" s="11"/>
      <c r="U14" s="11"/>
      <c r="V14" s="11"/>
      <c r="W14" s="11"/>
    </row>
    <row r="20" spans="2:29" x14ac:dyDescent="0.15">
      <c r="B20" s="16" t="s">
        <v>42</v>
      </c>
      <c r="C20" s="17"/>
      <c r="D20" s="17"/>
      <c r="E20" s="17"/>
      <c r="H20" s="17" t="str">
        <f>B20</f>
        <v>RSN</v>
      </c>
      <c r="I20" s="17"/>
      <c r="J20" s="17"/>
      <c r="K20" s="17"/>
      <c r="N20" s="17" t="str">
        <f>B20</f>
        <v>RSN</v>
      </c>
      <c r="O20" s="17"/>
      <c r="P20" s="17"/>
      <c r="Q20" s="17"/>
      <c r="T20" s="17" t="str">
        <f>B20</f>
        <v>RSN</v>
      </c>
      <c r="U20" s="17"/>
      <c r="V20" s="17"/>
      <c r="W20" s="17"/>
      <c r="Z20" s="17" t="str">
        <f>B20</f>
        <v>RSN</v>
      </c>
      <c r="AA20" s="17"/>
      <c r="AB20" s="17"/>
      <c r="AC20" s="17"/>
    </row>
    <row r="21" spans="2:29" x14ac:dyDescent="0.15">
      <c r="B21" s="11"/>
      <c r="C21" s="11"/>
      <c r="D21" s="11">
        <v>1</v>
      </c>
      <c r="E21" s="11"/>
      <c r="H21" s="11"/>
      <c r="I21" s="11">
        <v>3</v>
      </c>
      <c r="J21" s="11"/>
      <c r="K21" s="11"/>
      <c r="N21" s="11">
        <v>1</v>
      </c>
      <c r="O21" s="11"/>
      <c r="P21" s="11">
        <v>1</v>
      </c>
      <c r="Q21" s="11"/>
      <c r="T21" s="11"/>
      <c r="U21" s="11"/>
      <c r="V21" s="11"/>
      <c r="W21" s="11"/>
      <c r="Z21" s="11"/>
      <c r="AA21" s="11"/>
      <c r="AB21" s="11"/>
      <c r="AC21" s="11"/>
    </row>
    <row r="22" spans="2:29" x14ac:dyDescent="0.15">
      <c r="B22" s="11"/>
      <c r="C22" s="11">
        <v>3</v>
      </c>
      <c r="D22" s="11"/>
      <c r="E22" s="11"/>
      <c r="H22" s="11"/>
      <c r="I22" s="11"/>
      <c r="J22" s="11">
        <v>2</v>
      </c>
      <c r="K22" s="11"/>
      <c r="N22" s="11"/>
      <c r="O22" s="11">
        <v>2</v>
      </c>
      <c r="P22" s="11"/>
      <c r="Q22" s="11"/>
      <c r="T22" s="11">
        <v>1</v>
      </c>
      <c r="U22" s="11">
        <v>2</v>
      </c>
      <c r="V22" s="11">
        <v>3</v>
      </c>
      <c r="W22" s="11"/>
      <c r="Z22" s="11"/>
      <c r="AA22" s="11"/>
      <c r="AB22" s="11"/>
      <c r="AC22" s="11">
        <v>1</v>
      </c>
    </row>
    <row r="23" spans="2:29" x14ac:dyDescent="0.15">
      <c r="B23" s="11"/>
      <c r="C23" s="11"/>
      <c r="D23" s="11">
        <v>2</v>
      </c>
      <c r="E23" s="11"/>
      <c r="H23" s="11"/>
      <c r="I23" s="11">
        <v>1</v>
      </c>
      <c r="J23" s="11"/>
      <c r="K23" s="11"/>
      <c r="N23" s="11"/>
      <c r="O23" s="11">
        <v>3</v>
      </c>
      <c r="P23" s="11"/>
      <c r="Q23" s="11"/>
      <c r="T23" s="11"/>
      <c r="U23" s="11">
        <v>1</v>
      </c>
      <c r="V23" s="11"/>
      <c r="W23" s="11"/>
      <c r="Z23" s="11">
        <v>1</v>
      </c>
      <c r="AA23" s="11"/>
      <c r="AB23" s="11">
        <v>2</v>
      </c>
      <c r="AC23" s="11"/>
    </row>
    <row r="24" spans="2:29" x14ac:dyDescent="0.15">
      <c r="B24" s="11"/>
      <c r="C24" s="11">
        <v>1</v>
      </c>
      <c r="D24" s="11"/>
      <c r="E24" s="11"/>
      <c r="H24" s="11"/>
      <c r="I24" s="11"/>
      <c r="J24" s="11">
        <v>1</v>
      </c>
      <c r="K24" s="11"/>
      <c r="N24" s="11"/>
      <c r="O24" s="11"/>
      <c r="P24" s="11"/>
      <c r="Q24" s="11"/>
      <c r="T24" s="11"/>
      <c r="U24" s="11"/>
      <c r="V24" s="11"/>
      <c r="W24" s="11"/>
      <c r="Z24" s="11"/>
      <c r="AA24" s="11">
        <v>3</v>
      </c>
      <c r="AB24" s="11"/>
      <c r="AC24" s="11"/>
    </row>
    <row r="29" spans="2:29" x14ac:dyDescent="0.15">
      <c r="B29" s="16" t="s">
        <v>55</v>
      </c>
      <c r="C29" s="17"/>
      <c r="D29" s="17"/>
      <c r="E29" s="17"/>
      <c r="H29" s="17" t="str">
        <f>B29</f>
        <v>GHS.50</v>
      </c>
      <c r="I29" s="17"/>
      <c r="J29" s="17"/>
      <c r="K29" s="17"/>
      <c r="N29" s="17" t="str">
        <f>B29</f>
        <v>GHS.50</v>
      </c>
      <c r="O29" s="17"/>
      <c r="P29" s="17"/>
      <c r="Q29" s="17"/>
      <c r="T29" s="17" t="str">
        <f>B29</f>
        <v>GHS.50</v>
      </c>
      <c r="U29" s="17"/>
      <c r="V29" s="17"/>
      <c r="W29" s="17"/>
    </row>
    <row r="30" spans="2:29" x14ac:dyDescent="0.15">
      <c r="B30" s="11"/>
      <c r="C30" s="11"/>
      <c r="D30" s="11"/>
      <c r="E30" s="11"/>
      <c r="H30" s="11"/>
      <c r="I30" s="11"/>
      <c r="J30" s="11"/>
      <c r="K30" s="11"/>
      <c r="N30" s="11"/>
      <c r="O30" s="11"/>
      <c r="P30" s="11"/>
      <c r="Q30" s="11"/>
      <c r="T30" s="11">
        <v>1</v>
      </c>
      <c r="U30" s="11"/>
      <c r="V30" s="11">
        <v>3</v>
      </c>
      <c r="W30" s="11"/>
    </row>
    <row r="31" spans="2:29" x14ac:dyDescent="0.15">
      <c r="B31" s="11"/>
      <c r="C31" s="11">
        <v>3</v>
      </c>
      <c r="D31" s="11"/>
      <c r="E31" s="11">
        <v>1</v>
      </c>
      <c r="H31" s="11"/>
      <c r="I31" s="11">
        <v>3</v>
      </c>
      <c r="J31" s="11"/>
      <c r="K31" s="11">
        <v>1</v>
      </c>
      <c r="N31" s="11">
        <v>1</v>
      </c>
      <c r="O31" s="11"/>
      <c r="P31" s="11">
        <v>1</v>
      </c>
      <c r="Q31" s="11"/>
      <c r="T31" s="11"/>
      <c r="U31" s="11">
        <v>2</v>
      </c>
      <c r="V31" s="11"/>
      <c r="W31" s="11">
        <v>1</v>
      </c>
    </row>
    <row r="32" spans="2:29" x14ac:dyDescent="0.15">
      <c r="B32" s="11">
        <v>1</v>
      </c>
      <c r="C32" s="11"/>
      <c r="D32" s="11">
        <v>2</v>
      </c>
      <c r="E32" s="11"/>
      <c r="H32" s="11"/>
      <c r="I32" s="11"/>
      <c r="J32" s="11">
        <v>2</v>
      </c>
      <c r="K32" s="11"/>
      <c r="N32" s="11"/>
      <c r="O32" s="11">
        <v>2</v>
      </c>
      <c r="P32" s="11"/>
      <c r="Q32" s="11"/>
      <c r="T32" s="11">
        <v>1</v>
      </c>
      <c r="U32" s="11"/>
      <c r="V32" s="11"/>
      <c r="W32" s="11"/>
    </row>
    <row r="33" spans="2:23" x14ac:dyDescent="0.15">
      <c r="B33" s="11"/>
      <c r="C33" s="11"/>
      <c r="D33" s="11"/>
      <c r="E33" s="11"/>
      <c r="H33" s="11"/>
      <c r="I33" s="11"/>
      <c r="J33" s="11"/>
      <c r="K33" s="11">
        <v>1</v>
      </c>
      <c r="N33" s="11">
        <v>3</v>
      </c>
      <c r="O33" s="11"/>
      <c r="P33" s="11">
        <v>1</v>
      </c>
      <c r="Q33" s="11"/>
      <c r="T33" s="11"/>
      <c r="U33" s="11"/>
      <c r="V33" s="11"/>
      <c r="W33" s="11"/>
    </row>
    <row r="37" spans="2:23" x14ac:dyDescent="0.15">
      <c r="B37" s="17" t="s">
        <v>44</v>
      </c>
      <c r="C37" s="17"/>
      <c r="D37" s="17"/>
      <c r="E37" s="17"/>
      <c r="H37" s="17" t="str">
        <f>B37</f>
        <v>DE.P</v>
      </c>
      <c r="I37" s="17"/>
      <c r="J37" s="17"/>
      <c r="K37" s="17"/>
      <c r="N37" s="17" t="str">
        <f>B37</f>
        <v>DE.P</v>
      </c>
      <c r="O37" s="17"/>
      <c r="P37" s="17"/>
      <c r="Q37" s="17"/>
      <c r="T37" s="17" t="str">
        <f>B37</f>
        <v>DE.P</v>
      </c>
      <c r="U37" s="17"/>
      <c r="V37" s="17"/>
      <c r="W37" s="17"/>
    </row>
    <row r="38" spans="2:23" x14ac:dyDescent="0.15">
      <c r="B38" s="11"/>
      <c r="C38" s="11"/>
      <c r="D38" s="11"/>
      <c r="E38" s="11"/>
      <c r="H38" s="11"/>
      <c r="I38" s="11"/>
      <c r="J38" s="11"/>
      <c r="K38" s="11"/>
      <c r="N38" s="11"/>
      <c r="O38" s="11"/>
      <c r="P38" s="11"/>
      <c r="Q38" s="11">
        <v>1</v>
      </c>
      <c r="T38" s="11"/>
      <c r="U38" s="11"/>
      <c r="V38" s="11">
        <v>1</v>
      </c>
      <c r="W38" s="11"/>
    </row>
    <row r="39" spans="2:23" x14ac:dyDescent="0.15">
      <c r="B39" s="11"/>
      <c r="C39" s="11"/>
      <c r="D39" s="11">
        <v>1</v>
      </c>
      <c r="E39" s="11">
        <v>3</v>
      </c>
      <c r="H39" s="11"/>
      <c r="I39" s="11"/>
      <c r="J39" s="11">
        <v>1</v>
      </c>
      <c r="K39" s="11"/>
      <c r="N39" s="11"/>
      <c r="O39" s="11"/>
      <c r="P39" s="11">
        <v>2</v>
      </c>
      <c r="Q39" s="11"/>
      <c r="T39" s="11"/>
      <c r="U39" s="11">
        <v>3</v>
      </c>
      <c r="V39" s="11"/>
      <c r="W39" s="11">
        <v>1</v>
      </c>
    </row>
    <row r="40" spans="2:23" x14ac:dyDescent="0.15">
      <c r="B40" s="11"/>
      <c r="C40" s="11">
        <v>2</v>
      </c>
      <c r="D40" s="11"/>
      <c r="E40" s="11"/>
      <c r="H40" s="11">
        <v>3</v>
      </c>
      <c r="I40" s="11">
        <v>2</v>
      </c>
      <c r="J40" s="11"/>
      <c r="K40" s="11"/>
      <c r="N40" s="11"/>
      <c r="O40" s="11">
        <v>3</v>
      </c>
      <c r="P40" s="11">
        <v>1</v>
      </c>
      <c r="Q40" s="11"/>
      <c r="T40" s="11"/>
      <c r="U40" s="11"/>
      <c r="V40" s="11">
        <v>2</v>
      </c>
      <c r="W40" s="11"/>
    </row>
    <row r="41" spans="2:23" x14ac:dyDescent="0.15">
      <c r="B41" s="11"/>
      <c r="C41" s="11"/>
      <c r="D41" s="11">
        <v>1</v>
      </c>
      <c r="E41" s="11">
        <v>1</v>
      </c>
      <c r="H41" s="11"/>
      <c r="I41" s="11"/>
      <c r="J41" s="11">
        <v>1</v>
      </c>
      <c r="K41" s="11"/>
      <c r="N41" s="11"/>
      <c r="O41" s="11"/>
      <c r="P41" s="11"/>
      <c r="Q41" s="11"/>
      <c r="T41" s="11"/>
      <c r="U41" s="11">
        <v>1</v>
      </c>
      <c r="V41" s="11"/>
      <c r="W41" s="11"/>
    </row>
    <row r="46" spans="2:23" x14ac:dyDescent="0.15">
      <c r="B46" s="16" t="s">
        <v>66</v>
      </c>
      <c r="C46" s="17"/>
      <c r="D46" s="17"/>
      <c r="E46" s="17"/>
      <c r="H46" s="16" t="s">
        <v>66</v>
      </c>
      <c r="I46" s="17"/>
      <c r="J46" s="17"/>
      <c r="K46" s="17"/>
      <c r="N46" s="16" t="s">
        <v>66</v>
      </c>
      <c r="O46" s="17"/>
      <c r="P46" s="17"/>
      <c r="Q46" s="17"/>
      <c r="T46" s="16" t="s">
        <v>66</v>
      </c>
      <c r="U46" s="17"/>
      <c r="V46" s="17"/>
      <c r="W46" s="17"/>
    </row>
    <row r="47" spans="2:23" x14ac:dyDescent="0.15">
      <c r="B47" s="11"/>
      <c r="C47" s="11"/>
      <c r="D47" s="11"/>
      <c r="E47" s="11"/>
      <c r="H47" s="11"/>
      <c r="I47" s="11">
        <v>2</v>
      </c>
      <c r="J47" s="11"/>
      <c r="K47" s="11"/>
      <c r="N47" s="11"/>
      <c r="O47" s="11"/>
      <c r="P47" s="11"/>
      <c r="Q47" s="11"/>
      <c r="T47" s="11"/>
      <c r="U47" s="11"/>
      <c r="V47" s="11"/>
      <c r="W47" s="11"/>
    </row>
    <row r="48" spans="2:23" x14ac:dyDescent="0.15">
      <c r="B48" s="11"/>
      <c r="C48" s="11"/>
      <c r="D48" s="11"/>
      <c r="E48" s="11"/>
      <c r="H48" s="11"/>
      <c r="I48" s="11">
        <v>1</v>
      </c>
      <c r="J48" s="11"/>
      <c r="K48" s="11"/>
      <c r="N48" s="11"/>
      <c r="O48" s="11"/>
      <c r="P48" s="11">
        <v>3</v>
      </c>
      <c r="Q48" s="11"/>
      <c r="T48" s="11"/>
      <c r="U48" s="11"/>
      <c r="V48" s="11"/>
      <c r="W48" s="11"/>
    </row>
    <row r="49" spans="2:23" x14ac:dyDescent="0.15">
      <c r="B49" s="11"/>
      <c r="C49" s="11">
        <v>2</v>
      </c>
      <c r="D49" s="11">
        <v>1</v>
      </c>
      <c r="E49" s="11">
        <v>3</v>
      </c>
      <c r="H49" s="11"/>
      <c r="I49" s="11">
        <v>3</v>
      </c>
      <c r="J49" s="11"/>
      <c r="K49" s="11"/>
      <c r="N49" s="11"/>
      <c r="O49" s="11"/>
      <c r="P49" s="11">
        <v>1</v>
      </c>
      <c r="Q49" s="11"/>
      <c r="T49" s="11"/>
      <c r="U49" s="11">
        <v>3</v>
      </c>
      <c r="V49" s="11">
        <v>1</v>
      </c>
      <c r="W49" s="11">
        <v>2</v>
      </c>
    </row>
    <row r="50" spans="2:23" x14ac:dyDescent="0.15">
      <c r="B50" s="11"/>
      <c r="C50" s="11"/>
      <c r="D50" s="11"/>
      <c r="E50" s="11"/>
      <c r="H50" s="11"/>
      <c r="I50" s="11"/>
      <c r="J50" s="11"/>
      <c r="K50" s="11"/>
      <c r="N50" s="11"/>
      <c r="O50" s="11"/>
      <c r="P50" s="11">
        <v>2</v>
      </c>
      <c r="Q50" s="11"/>
      <c r="T50" s="11"/>
      <c r="U50" s="11"/>
      <c r="V50" s="11"/>
      <c r="W50" s="11"/>
    </row>
  </sheetData>
  <mergeCells count="26">
    <mergeCell ref="Z1:AC1"/>
    <mergeCell ref="B20:E20"/>
    <mergeCell ref="H20:K20"/>
    <mergeCell ref="N20:Q20"/>
    <mergeCell ref="T20:W20"/>
    <mergeCell ref="B10:E10"/>
    <mergeCell ref="H10:K10"/>
    <mergeCell ref="N10:Q10"/>
    <mergeCell ref="T10:W10"/>
    <mergeCell ref="B1:E1"/>
    <mergeCell ref="H1:K1"/>
    <mergeCell ref="N1:Q1"/>
    <mergeCell ref="T1:W1"/>
    <mergeCell ref="Z20:AC20"/>
    <mergeCell ref="B29:E29"/>
    <mergeCell ref="H29:K29"/>
    <mergeCell ref="N29:Q29"/>
    <mergeCell ref="T29:W29"/>
    <mergeCell ref="B46:E46"/>
    <mergeCell ref="H46:K46"/>
    <mergeCell ref="N46:Q46"/>
    <mergeCell ref="T46:W46"/>
    <mergeCell ref="B37:E37"/>
    <mergeCell ref="H37:K37"/>
    <mergeCell ref="N37:Q37"/>
    <mergeCell ref="T37:W37"/>
  </mergeCells>
  <phoneticPr fontId="1" type="noConversion"/>
  <conditionalFormatting sqref="A1:XFD1048576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38</xdr:col>
                <xdr:colOff>38100</xdr:colOff>
                <xdr:row>0</xdr:row>
                <xdr:rowOff>104775</xdr:rowOff>
              </from>
              <to>
                <xdr:col>45</xdr:col>
                <xdr:colOff>171450</xdr:colOff>
                <xdr:row>3</xdr:row>
                <xdr:rowOff>47625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芯片</vt:lpstr>
      <vt:lpstr>枚举</vt:lpstr>
      <vt:lpstr>形状描述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2017-09-09T08:50:59Z</dcterms:modified>
</cp:coreProperties>
</file>