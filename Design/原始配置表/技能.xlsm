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6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枚举参数!$M$1:$M$47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61" authorId="0" shapeId="0" xr:uid="{C4E86AF7-C13F-432E-9B4E-FE76A02B0D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4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 xr:uid="{00000000-0006-0000-0600-000007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 xr:uid="{00000000-0006-0000-06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 xr:uid="{00000000-0006-0000-06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 xr:uid="{00000000-0006-0000-0700-00003D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D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00000000-0006-0000-0700-00004E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<sst xmlns="http://schemas.openxmlformats.org/spreadsheetml/2006/main" count="1888" uniqueCount="1131">
  <si>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</si>
  <si>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</si>
  <si>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</si>
  <si>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</si>
  <si>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</si>
  <si>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</si>
  <si>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</si>
  <si>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</si>
  <si>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</si>
  <si>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</si>
  <si>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</si>
  <si>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</si>
  <si>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</si>
  <si>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</si>
  <si>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</si>
  <si>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</si>
  <si>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</si>
  <si>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</si>
  <si>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</si>
  <si>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</si>
  <si>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</si>
  <si>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</si>
  <si>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</si>
  <si>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</si>
  <si>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</si>
  <si>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</si>
  <si>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</si>
  <si>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</si>
  <si>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</si>
  <si>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</si>
  <si>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</si>
  <si>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</si>
  <si>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</si>
  <si>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</si>
  <si>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</si>
  <si>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</si>
  <si>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</si>
  <si>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</si>
  <si>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</si>
  <si>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</si>
  <si>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</si>
  <si>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</si>
  <si>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</si>
  <si>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</si>
  <si>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</si>
  <si>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</si>
  <si>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</si>
  <si>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</si>
  <si>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</si>
  <si>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</si>
  <si>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</si>
  <si>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</si>
  <si>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</si>
  <si>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</si>
  <si>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</si>
  <si>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</si>
  <si>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</si>
  <si>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</si>
  <si>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</si>
  <si>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</si>
  <si>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</si>
  <si>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</si>
  <si>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</si>
  <si>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</si>
  <si>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</si>
  <si>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</si>
  <si>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</si>
  <si>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</si>
  <si>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</si>
  <si>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</si>
  <si>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</si>
  <si>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</si>
  <si>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</si>
  <si>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</si>
  <si>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</si>
  <si>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</si>
  <si>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</si>
  <si>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</si>
  <si>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</si>
  <si>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</si>
  <si>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</si>
  <si>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</si>
  <si>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</si>
  <si>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</si>
  <si>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</si>
  <si>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</si>
  <si>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</si>
  <si>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</si>
  <si>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</si>
  <si>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</si>
  <si>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</si>
  <si>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</si>
  <si>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</si>
  <si>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</si>
  <si>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</si>
  <si>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</si>
  <si>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</si>
  <si>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</si>
  <si>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</si>
  <si>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</si>
  <si>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</si>
  <si>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</si>
  <si>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</si>
  <si>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</si>
  <si>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</si>
  <si>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</si>
  <si>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</si>
  <si>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</si>
  <si>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</si>
  <si>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</si>
  <si>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</si>
  <si>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</si>
  <si>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</si>
  <si>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</si>
  <si>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</si>
  <si>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</si>
  <si>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</si>
  <si>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</si>
  <si>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</si>
  <si>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</si>
  <si>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</si>
  <si>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</si>
  <si>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</si>
  <si>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</si>
  <si>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</si>
  <si>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</si>
  <si>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</si>
  <si>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</si>
  <si>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</si>
  <si>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</si>
  <si>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</si>
  <si>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</si>
  <si>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</si>
  <si>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</si>
  <si>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</si>
  <si>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</si>
  <si>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</si>
  <si>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</si>
  <si>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</si>
  <si>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</si>
  <si>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</si>
  <si>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</si>
  <si>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</si>
  <si>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</si>
  <si>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</si>
  <si>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</si>
  <si>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</si>
  <si>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</si>
  <si>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</si>
  <si>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</si>
  <si>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</si>
  <si>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</si>
  <si>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</si>
  <si>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</si>
  <si>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</si>
  <si>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</si>
  <si>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</si>
  <si>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</si>
  <si>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</si>
  <si>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</si>
  <si>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</si>
  <si>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</si>
  <si>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</si>
  <si>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</si>
  <si>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</si>
  <si>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</si>
  <si>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</si>
  <si>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</si>
  <si>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</si>
  <si>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</si>
  <si>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</si>
  <si>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</si>
  <si>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</si>
  <si>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</si>
  <si>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</si>
  <si>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</si>
  <si>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</si>
  <si>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</si>
  <si>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</si>
  <si>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</si>
  <si>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</si>
  <si>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</si>
  <si>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</si>
  <si>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</si>
  <si>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</si>
  <si>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</si>
  <si>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</si>
  <si>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</si>
  <si>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</si>
  <si>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</si>
  <si>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</si>
  <si>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</si>
  <si>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</si>
  <si>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</si>
  <si>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</si>
  <si>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</si>
  <si>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</si>
  <si>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</si>
  <si>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</si>
  <si>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</si>
  <si>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</si>
  <si>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</si>
  <si>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</si>
  <si>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</si>
  <si>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</si>
  <si>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</si>
  <si>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</si>
  <si>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</si>
  <si>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</si>
  <si>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</si>
  <si>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</si>
  <si>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</si>
  <si>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</si>
  <si>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</si>
  <si>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</si>
  <si>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</si>
  <si>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</si>
  <si>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</si>
  <si>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</si>
  <si>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</si>
  <si>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</si>
  <si>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</si>
  <si>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</si>
  <si>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</si>
  <si>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</si>
  <si>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</si>
  <si>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</si>
  <si>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</si>
  <si>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</si>
  <si>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</si>
  <si>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</si>
  <si>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</si>
  <si>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</si>
  <si>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</si>
  <si>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</si>
  <si>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</si>
  <si>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</si>
  <si>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</si>
  <si>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</si>
  <si>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</si>
  <si>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</si>
  <si>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</si>
  <si>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</si>
  <si>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</si>
  <si>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</si>
  <si>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</si>
  <si>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</si>
  <si>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</si>
  <si>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</si>
  <si>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</si>
  <si>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</si>
  <si>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</si>
  <si>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</si>
  <si>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</si>
  <si>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</si>
  <si>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</si>
  <si>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</si>
  <si>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</si>
  <si>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</si>
  <si>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</si>
  <si>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</si>
  <si>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</si>
  <si>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</si>
  <si>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</si>
  <si>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</si>
  <si>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</si>
  <si>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</si>
  <si>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</si>
  <si>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</si>
  <si>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</si>
  <si>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</si>
  <si>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</si>
  <si>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</si>
  <si>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</si>
  <si>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</si>
  <si>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</si>
  <si>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</si>
  <si>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</si>
  <si>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</si>
  <si>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</si>
  <si>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</si>
  <si>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</si>
  <si>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</si>
  <si>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</si>
  <si>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</si>
  <si>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</si>
  <si>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</si>
  <si>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</si>
  <si>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</si>
  <si>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</si>
  <si>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</si>
  <si>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</si>
  <si>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</si>
  <si>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</si>
  <si>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</si>
  <si>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</si>
  <si>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</si>
  <si>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</si>
  <si>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</si>
  <si>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</si>
  <si>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</si>
  <si>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</si>
  <si>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</si>
  <si>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</si>
  <si>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</si>
  <si>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</si>
  <si>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</si>
  <si>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</si>
  <si>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</si>
  <si>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</si>
  <si>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</si>
  <si>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</si>
  <si>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</si>
  <si>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</si>
  <si>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</si>
  <si>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</si>
  <si>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</si>
  <si>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</si>
  <si>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</si>
  <si>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</si>
  <si>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</si>
  <si>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</si>
  <si>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</si>
  <si>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</si>
  <si>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</si>
  <si>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</si>
  <si>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</si>
  <si>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</si>
  <si>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</si>
  <si>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</si>
  <si>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</si>
  <si>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</si>
  <si>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</si>
  <si>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</si>
  <si>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</si>
  <si>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</si>
  <si>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</si>
  <si>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</si>
  <si>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</si>
  <si>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</si>
  <si>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</si>
  <si>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</si>
  <si>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</si>
  <si>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</si>
  <si>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</si>
  <si>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</si>
  <si>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</si>
  <si>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</si>
  <si>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</si>
  <si>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</si>
  <si>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</si>
  <si>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</si>
  <si>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</si>
  <si>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</si>
  <si>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</si>
  <si>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</si>
  <si>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</si>
  <si>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</si>
  <si>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</si>
  <si>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</si>
  <si>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</si>
  <si>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</si>
  <si>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</si>
  <si>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</si>
  <si>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</si>
  <si>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</si>
  <si>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</si>
  <si>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</si>
  <si>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</si>
  <si>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</si>
  <si>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</si>
  <si>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</si>
  <si>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</si>
  <si>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</si>
  <si>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</si>
  <si>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</si>
  <si>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</si>
  <si>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</si>
  <si>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</si>
  <si>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</si>
  <si>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</si>
  <si>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</si>
  <si>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</si>
  <si>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</si>
  <si>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</si>
  <si>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</si>
  <si>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</si>
  <si>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</si>
  <si>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</si>
  <si>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</si>
  <si>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</si>
  <si>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</si>
  <si>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</si>
  <si>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</si>
  <si>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</si>
  <si>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</si>
  <si>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</si>
  <si>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</si>
  <si>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</si>
  <si>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</si>
  <si>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</si>
  <si>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</si>
  <si>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</si>
  <si>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</si>
  <si>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</si>
  <si>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</si>
  <si>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</si>
  <si>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</si>
  <si>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</si>
  <si>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</si>
  <si>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</si>
  <si>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</si>
  <si>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</si>
  <si>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</si>
  <si>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</si>
  <si>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</si>
  <si>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</si>
  <si>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</si>
  <si>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</si>
  <si>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</si>
  <si>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</si>
  <si>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</si>
  <si>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</si>
  <si>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</si>
  <si>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</si>
  <si>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</si>
  <si>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</si>
  <si>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</si>
  <si>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</si>
  <si>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</si>
  <si>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</si>
  <si>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</si>
  <si>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</si>
  <si>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</si>
  <si>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</si>
  <si>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</si>
  <si>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</si>
  <si>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</si>
  <si>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</si>
  <si>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</si>
  <si>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</si>
  <si>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</si>
  <si>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</si>
  <si>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</si>
  <si>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</si>
  <si>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</si>
  <si>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</si>
  <si>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</si>
  <si>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</si>
  <si>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</si>
  <si>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</si>
  <si>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</si>
  <si>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</si>
  <si>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</si>
  <si>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</si>
  <si>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</si>
  <si>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</si>
  <si>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</si>
  <si>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</si>
  <si>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</si>
  <si>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</si>
  <si>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</si>
  <si>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</si>
  <si>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</si>
  <si>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</si>
  <si>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</si>
  <si>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</si>
  <si>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</si>
  <si>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</si>
  <si>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</si>
  <si>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</si>
  <si>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</si>
  <si>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</si>
  <si>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</si>
  <si>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</si>
  <si>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</si>
  <si>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</si>
  <si>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</si>
  <si>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</si>
  <si>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</si>
  <si>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</si>
  <si>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</si>
  <si>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</si>
  <si>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</si>
  <si>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</si>
  <si>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</si>
  <si>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</si>
  <si>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</si>
  <si>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</si>
  <si>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</si>
  <si>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</si>
  <si>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</si>
  <si>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</si>
  <si>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</si>
  <si>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</si>
  <si>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</si>
  <si>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</si>
  <si>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</si>
  <si>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</si>
  <si>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</si>
  <si>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</si>
  <si>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</si>
  <si>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</si>
  <si>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</si>
  <si>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</si>
  <si>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</si>
  <si>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</si>
  <si>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</si>
  <si>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</si>
  <si>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</si>
  <si>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</si>
  <si>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</si>
  <si>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</si>
  <si>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</si>
  <si>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</si>
  <si>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</si>
  <si>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</si>
  <si>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</si>
  <si>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</si>
  <si>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</si>
  <si>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</si>
  <si>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</si>
  <si>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</si>
  <si>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</si>
  <si>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</si>
  <si>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</si>
  <si>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</si>
  <si>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</si>
  <si>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</si>
  <si>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</si>
  <si>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</si>
  <si>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</si>
  <si>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</si>
  <si>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</si>
  <si>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</si>
  <si>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</si>
  <si>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</si>
  <si>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</si>
  <si>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</si>
  <si>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</si>
  <si>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</si>
  <si>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</si>
  <si>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</si>
  <si>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</si>
  <si>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</si>
  <si>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</si>
  <si>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</si>
  <si>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</si>
  <si>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</si>
  <si>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</si>
  <si>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</si>
  <si>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</si>
  <si>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</si>
  <si>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</si>
  <si>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</si>
  <si>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</si>
  <si>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</si>
  <si>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</si>
  <si>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</si>
  <si>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</si>
  <si>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</si>
  <si>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</si>
  <si>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</si>
  <si>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</si>
  <si>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</si>
  <si>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</si>
  <si>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</si>
  <si>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</si>
  <si>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</si>
  <si>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</si>
  <si>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</si>
  <si>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</si>
  <si>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</si>
  <si>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</si>
  <si>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</si>
  <si>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</si>
  <si>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</si>
  <si>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</si>
  <si>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</si>
  <si>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</si>
  <si>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</si>
  <si>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</si>
  <si>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</si>
  <si>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</si>
  <si>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</si>
  <si>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</si>
  <si>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</si>
  <si>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</si>
  <si>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</si>
  <si>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</si>
  <si>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</si>
  <si>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</si>
  <si>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</si>
  <si>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</si>
  <si>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</si>
  <si>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</si>
  <si>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</si>
  <si>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</si>
  <si>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</si>
  <si>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</si>
  <si>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</si>
  <si>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</si>
  <si>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</si>
  <si>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</si>
  <si>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</si>
  <si>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</si>
  <si>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</si>
  <si>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</si>
  <si>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</si>
  <si>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</si>
  <si>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</si>
  <si>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</si>
  <si>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</si>
  <si>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</si>
  <si>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</si>
  <si>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</si>
  <si>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</si>
  <si>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</si>
  <si>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</si>
  <si>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</si>
  <si>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</si>
  <si>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</si>
  <si>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</si>
  <si>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</si>
  <si>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</si>
  <si>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</si>
  <si>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</si>
  <si>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</si>
  <si>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</si>
  <si>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</si>
  <si>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</si>
  <si>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</si>
  <si>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</si>
  <si>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</si>
  <si>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</si>
  <si>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</si>
  <si>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</si>
  <si>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</si>
  <si>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</si>
  <si>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</si>
  <si>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</si>
  <si>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</si>
  <si>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</si>
  <si>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</si>
  <si>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</si>
  <si>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</si>
  <si>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</si>
  <si>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</si>
  <si>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</si>
  <si>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</si>
  <si>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</si>
  <si>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</si>
  <si>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</si>
  <si>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</si>
  <si>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</si>
  <si>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</si>
  <si>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</si>
  <si>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</si>
  <si>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</si>
  <si>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</si>
  <si>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</si>
  <si>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</si>
  <si>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</si>
  <si>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</si>
  <si>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</si>
  <si>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</si>
  <si>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</si>
  <si>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</si>
  <si>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</si>
  <si>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</si>
  <si>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</si>
  <si>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</si>
  <si>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</si>
  <si>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</si>
  <si>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</si>
  <si>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</si>
  <si>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</si>
  <si>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</si>
  <si>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</si>
  <si>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</si>
  <si>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</si>
  <si>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</si>
  <si>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</si>
  <si>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</si>
  <si>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</si>
  <si>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</si>
  <si>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</si>
  <si>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</si>
  <si>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</si>
  <si>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</si>
  <si>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</si>
  <si>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</si>
  <si>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</si>
  <si>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</si>
  <si>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</si>
  <si>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</si>
  <si>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</si>
  <si>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</si>
  <si>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</si>
  <si>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</si>
  <si>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</si>
  <si>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</si>
  <si>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</si>
  <si>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</si>
  <si>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</si>
  <si>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</si>
  <si>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</si>
  <si>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</si>
  <si>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</si>
  <si>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</si>
  <si>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</si>
  <si>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</si>
  <si>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</si>
  <si>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</si>
  <si>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</si>
  <si>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</si>
  <si>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</si>
  <si>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</si>
  <si>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</si>
  <si>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</si>
  <si>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</si>
  <si>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</si>
  <si>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</si>
  <si>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</si>
  <si>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</si>
  <si>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</si>
  <si>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</si>
  <si>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</si>
  <si>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</si>
  <si>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</si>
  <si>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</si>
  <si>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</si>
  <si>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</si>
  <si>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</si>
  <si>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</si>
  <si>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</si>
  <si>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</si>
  <si>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</si>
  <si>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</si>
  <si>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</si>
  <si>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</si>
  <si>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</si>
  <si>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</si>
  <si>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</si>
  <si>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</si>
  <si>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</si>
  <si>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</si>
  <si>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</si>
  <si>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</si>
  <si>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</si>
  <si>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</si>
  <si>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</si>
  <si>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</si>
  <si>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</si>
  <si>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</si>
  <si>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</si>
  <si>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</si>
  <si>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</si>
  <si>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</si>
  <si>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</si>
  <si>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</si>
  <si>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</si>
  <si>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</si>
  <si>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</si>
  <si>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</si>
  <si>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</si>
  <si>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</si>
  <si>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</si>
  <si>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</si>
  <si>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</si>
  <si>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</si>
  <si>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</si>
  <si>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</si>
  <si>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</si>
  <si>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</si>
  <si>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</si>
  <si>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</si>
  <si>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</si>
  <si>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</si>
  <si>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</si>
  <si>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</si>
  <si>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</si>
  <si>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</si>
  <si>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</si>
  <si>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</si>
  <si>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</si>
  <si>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</si>
  <si>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</si>
  <si>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</si>
  <si>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</si>
  <si>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</si>
  <si>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</si>
  <si>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</si>
  <si>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</si>
  <si>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</si>
  <si>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</si>
  <si>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</si>
  <si>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</si>
  <si>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</si>
  <si>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</si>
  <si>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</si>
  <si>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</si>
  <si>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</si>
  <si>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</si>
  <si>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</si>
  <si>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</si>
  <si>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</si>
  <si>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</si>
  <si>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</si>
  <si>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</si>
  <si>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</si>
  <si>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</si>
  <si>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</si>
  <si>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</si>
  <si>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</si>
  <si>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</si>
  <si>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</si>
  <si>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</si>
  <si>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</si>
  <si>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</si>
  <si>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</si>
  <si>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</si>
  <si>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</si>
  <si>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</si>
  <si>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</si>
  <si>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</si>
  <si>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</si>
  <si>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</si>
  <si>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</si>
  <si>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</si>
  <si>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</si>
  <si>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</si>
  <si>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</si>
  <si>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</si>
  <si>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</si>
  <si>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</si>
  <si>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</si>
  <si>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</si>
  <si>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</si>
  <si>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</si>
  <si>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</si>
  <si>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</si>
  <si>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</si>
  <si>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</si>
  <si>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</si>
  <si>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</si>
  <si>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</si>
  <si>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</si>
  <si>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</si>
  <si>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</si>
  <si>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</si>
  <si>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</si>
  <si>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</si>
  <si>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</si>
  <si>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</si>
  <si>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</si>
  <si>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</si>
  <si>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</si>
  <si>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</si>
  <si>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</si>
  <si>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</si>
  <si>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</si>
  <si>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</si>
  <si>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</si>
  <si>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</si>
  <si>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</si>
  <si>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</si>
  <si>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</si>
  <si>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</si>
  <si>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</si>
  <si>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</si>
  <si>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</si>
  <si>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</si>
  <si>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</si>
  <si>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</si>
  <si>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</si>
  <si>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</si>
  <si>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</si>
  <si>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</si>
  <si>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</si>
  <si>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</si>
  <si>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</si>
  <si>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</si>
  <si>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</si>
  <si>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</si>
  <si>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</si>
  <si>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</si>
  <si>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</si>
  <si>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</si>
  <si>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</si>
  <si>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</si>
  <si>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</si>
  <si>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</si>
  <si>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</si>
  <si>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</si>
  <si>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</si>
  <si>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</si>
  <si>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</si>
  <si>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</si>
  <si>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</si>
  <si>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</si>
  <si>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</si>
  <si>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</si>
  <si>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</si>
  <si>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</si>
  <si>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</si>
  <si>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</si>
  <si>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</si>
  <si>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</si>
  <si>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</si>
  <si>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</si>
  <si>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</si>
  <si>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</si>
  <si>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</si>
  <si>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</si>
  <si>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</si>
  <si>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</si>
  <si>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</si>
  <si>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</si>
  <si>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</si>
  <si>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</si>
  <si>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</si>
  <si>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</si>
  <si>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</si>
  <si>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</si>
  <si>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</si>
  <si>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</si>
  <si>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</si>
  <si>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</si>
  <si>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</si>
  <si>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</si>
  <si>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</si>
  <si>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</si>
  <si>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</si>
  <si>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</si>
  <si>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</si>
  <si>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</si>
  <si>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</si>
  <si>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</si>
  <si>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</si>
  <si>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</si>
  <si>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</si>
  <si>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</si>
  <si>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</si>
  <si>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</si>
  <si>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</si>
  <si>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</si>
  <si>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</si>
  <si>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</si>
  <si>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</si>
  <si>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</si>
  <si>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</si>
  <si>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</si>
  <si>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</si>
  <si>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</si>
  <si>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</si>
  <si>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</si>
  <si>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</si>
  <si>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</si>
  <si>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</si>
  <si>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</si>
  <si>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</si>
  <si>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</si>
  <si>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</si>
  <si>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</si>
  <si>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</si>
  <si>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</si>
  <si>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</si>
  <si>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</si>
  <si>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</si>
  <si>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</si>
  <si>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</si>
  <si>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</si>
  <si>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</si>
  <si>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</si>
  <si>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</si>
  <si>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</si>
  <si>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</si>
  <si>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</si>
  <si>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</si>
  <si>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</si>
  <si>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</si>
  <si>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</si>
  <si>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</si>
  <si>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</si>
  <si>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</si>
  <si>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</si>
  <si>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</si>
  <si>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</si>
  <si>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</si>
  <si>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</si>
  <si>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</si>
  <si>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</si>
  <si>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</si>
  <si>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</si>
  <si>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</si>
  <si>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</si>
  <si>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</si>
  <si>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</si>
  <si>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</si>
  <si>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</si>
  <si>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</si>
  <si>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</si>
  <si>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</si>
  <si>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</si>
  <si>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</si>
  <si>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</si>
  <si>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</si>
  <si>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</si>
  <si>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</si>
  <si>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</si>
  <si>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</si>
  <si>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</si>
  <si>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</si>
  <si>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</si>
  <si>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</si>
  <si>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</si>
  <si>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</si>
  <si>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</si>
  <si>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</si>
  <si>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</si>
  <si>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</si>
  <si>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</si>
  <si>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</si>
  <si>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</si>
  <si>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</si>
  <si>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</si>
  <si>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</si>
  <si>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</si>
  <si>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</si>
  <si>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</si>
  <si>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</si>
  <si>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</si>
  <si>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</si>
  <si>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</si>
  <si>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</si>
  <si>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</si>
  <si>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</si>
  <si>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</si>
  <si>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</si>
  <si>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</si>
  <si>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</si>
  <si>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</si>
  <si>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</si>
  <si>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</si>
  <si>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</si>
  <si>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</si>
  <si>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</si>
  <si>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</si>
  <si>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</si>
  <si>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</si>
  <si>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</si>
  <si>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</si>
  <si>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</si>
  <si>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</si>
  <si>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</si>
  <si>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</si>
  <si>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</si>
  <si>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</si>
  <si>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</si>
  <si>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</si>
  <si>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</si>
  <si>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</si>
  <si>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</si>
  <si>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</si>
  <si>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</si>
  <si>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</si>
  <si>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</si>
  <si>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</si>
  <si>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</si>
  <si>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</si>
  <si>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</si>
  <si>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</si>
  <si>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</si>
  <si>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</si>
  <si>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</si>
  <si>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</si>
  <si>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</si>
  <si>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</si>
  <si>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</si>
  <si>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</si>
  <si>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</si>
  <si>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</si>
  <si>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</si>
  <si>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</si>
  <si>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</si>
  <si>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</si>
  <si>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</si>
  <si>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</si>
  <si>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</si>
  <si>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</si>
  <si>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</si>
  <si>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</si>
  <si>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</si>
  <si>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</si>
  <si>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</si>
  <si>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</si>
  <si>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</si>
  <si>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</si>
  <si>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</si>
  <si>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</si>
  <si>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</si>
  <si>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</si>
  <si>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</si>
  <si>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</si>
  <si>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</si>
  <si>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</si>
  <si>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</si>
  <si>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</si>
  <si>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</si>
  <si>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</si>
  <si>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</si>
  <si>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</si>
  <si>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</si>
  <si>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</si>
  <si>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</si>
  <si>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</si>
  <si>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</si>
  <si>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</si>
  <si>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</si>
  <si>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</si>
  <si>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</si>
  <si>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Property_8</t>
    <phoneticPr fontId="1" type="noConversion"/>
  </si>
  <si>
    <t>Property_9</t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</si>
  <si>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</si>
  <si>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</si>
  <si>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</si>
  <si>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</si>
  <si>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</si>
  <si>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TimeEffect</t>
    <phoneticPr fontId="1" type="noConversion"/>
  </si>
  <si>
    <t>PermonsterEffect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</si>
</sst>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1" dataDxfId="80">
  <autoFilter ref="A3:C48" xr:uid="{00000000-0009-0000-0100-000002000000}"/>
  <tableColumns count="3">
    <tableColumn id="1" xr3:uid="{00000000-0010-0000-0000-000001000000}" name="id" dataDxfId="79"/>
    <tableColumn id="2" xr3:uid="{00000000-0010-0000-0000-000002000000}" name="skillIds" dataDxfId="78"/>
    <tableColumn id="4" xr3:uid="{00000000-0010-0000-0000-000004000000}" name="characterActivate" dataDxfId="7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1" totalsRowShown="0" headerRowDxfId="74" dataDxfId="73">
  <autoFilter ref="A3:Y51" xr:uid="{00000000-0009-0000-0100-000001000000}"/>
  <sortState ref="A4:Y51">
    <sortCondition ref="A3:A51"/>
  </sortState>
  <tableColumns count="25">
    <tableColumn id="1" xr3:uid="{00000000-0010-0000-0100-000001000000}" name="id" dataDxfId="72"/>
    <tableColumn id="2" xr3:uid="{00000000-0010-0000-0100-000002000000}" name="name" dataDxfId="71"/>
    <tableColumn id="3" xr3:uid="{00000000-0010-0000-0100-000003000000}" name="describe" dataDxfId="70"/>
    <tableColumn id="17" xr3:uid="{00000000-0010-0000-0100-000011000000}" name="icon" dataDxfId="69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68"/>
    <tableColumn id="13" xr3:uid="{00000000-0010-0000-0100-00000D000000}" name="selectArg" dataDxfId="67"/>
    <tableColumn id="5" xr3:uid="{00000000-0010-0000-0100-000005000000}" name="targetType" dataDxfId="66"/>
    <tableColumn id="11" xr3:uid="{00000000-0010-0000-0100-00000B000000}" name="targetLimit" dataDxfId="65"/>
    <tableColumn id="12" xr3:uid="{00000000-0010-0000-0100-00000C000000}" name="multipleType" dataDxfId="64"/>
    <tableColumn id="25" xr3:uid="{00000000-0010-0000-0100-000019000000}" name="multipleArg" dataDxfId="63"/>
    <tableColumn id="23" xr3:uid="{00000000-0010-0000-0100-000017000000}" name="multipleLimit" dataDxfId="62"/>
    <tableColumn id="21" xr3:uid="{00000000-0010-0000-0100-000015000000}" name="effect" dataDxfId="61"/>
    <tableColumn id="6" xr3:uid="{00000000-0010-0000-0100-000006000000}" name="carry" dataDxfId="60"/>
    <tableColumn id="18" xr3:uid="{00000000-0010-0000-0100-000012000000}" name="damageType" dataDxfId="59"/>
    <tableColumn id="24" xr3:uid="{00000000-0010-0000-0100-000018000000}" name="damageArg" dataDxfId="58"/>
    <tableColumn id="9" xr3:uid="{00000000-0010-0000-0100-000009000000}" name="damage" dataDxfId="57"/>
    <tableColumn id="7" xr3:uid="{00000000-0010-0000-0100-000007000000}" name="successRate" dataDxfId="56"/>
    <tableColumn id="19" xr3:uid="{00000000-0010-0000-0100-000013000000}" name="beforeSpecialEffect" dataDxfId="55"/>
    <tableColumn id="27" xr3:uid="{00000000-0010-0000-0100-00001B000000}" name="beforeArgs" dataDxfId="54"/>
    <tableColumn id="26" xr3:uid="{00000000-0010-0000-0100-00001A000000}" name="afterSpecialEffect" dataDxfId="53"/>
    <tableColumn id="20" xr3:uid="{00000000-0010-0000-0100-000014000000}" name="afterArgs" dataDxfId="52"/>
    <tableColumn id="10" xr3:uid="{00000000-0010-0000-0100-00000A000000}" name="stuffCost" dataDxfId="51"/>
    <tableColumn id="15" xr3:uid="{00000000-0010-0000-0100-00000F000000}" name="costTime" dataDxfId="50"/>
    <tableColumn id="16" xr3:uid="{00000000-0010-0000-0100-000010000000}" name="usePower" dataDxfId="49"/>
    <tableColumn id="8" xr3:uid="{00000000-0010-0000-0100-000008000000}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5" dataDxfId="44">
  <autoFilter ref="A3:M8" xr:uid="{00000000-0009-0000-0100-000004000000}"/>
  <tableColumns count="13">
    <tableColumn id="1" xr3:uid="{00000000-0010-0000-0200-000001000000}" name="id" dataDxfId="43"/>
    <tableColumn id="2" xr3:uid="{00000000-0010-0000-0200-000002000000}" name="name" dataDxfId="42"/>
    <tableColumn id="3" xr3:uid="{00000000-0010-0000-0200-000003000000}" name="describe" dataDxfId="41"/>
    <tableColumn id="8" xr3:uid="{00000000-0010-0000-0200-000008000000}" name="icon" dataDxfId="40">
      <calculatedColumnFormula>"Skill_Summon_"&amp;TEXT(O4,"0000")</calculatedColumnFormula>
    </tableColumn>
    <tableColumn id="11" xr3:uid="{00000000-0010-0000-0200-00000B000000}" name="selectType" dataDxfId="39"/>
    <tableColumn id="4" xr3:uid="{00000000-0010-0000-0200-000004000000}" name="selectArg" dataDxfId="38"/>
    <tableColumn id="9" xr3:uid="{00000000-0010-0000-0200-000009000000}" name="targetType" dataDxfId="37"/>
    <tableColumn id="10" xr3:uid="{00000000-0010-0000-0200-00000A000000}" name="carry" dataDxfId="36"/>
    <tableColumn id="6" xr3:uid="{00000000-0010-0000-0200-000006000000}" name="prefab2" dataDxfId="35"/>
    <tableColumn id="5" xr3:uid="{00000000-0010-0000-0200-000005000000}" name="stuffCost" dataDxfId="34"/>
    <tableColumn id="7" xr3:uid="{00000000-0010-0000-0200-000007000000}" name="costTime" dataDxfId="33"/>
    <tableColumn id="12" xr3:uid="{00000000-0010-0000-0200-00000C000000}" name="specialAction" dataDxfId="32"/>
    <tableColumn id="13" xr3:uid="{00000000-0010-0000-0200-00000D000000}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27" dataDxfId="26">
  <autoFilter ref="A3:G76" xr:uid="{00000000-0009-0000-0100-000003000000}"/>
  <sortState ref="A4:G76">
    <sortCondition ref="A3:A76"/>
  </sortState>
  <tableColumns count="7">
    <tableColumn id="1" xr3:uid="{00000000-0010-0000-0300-000001000000}" name="id" dataDxfId="25"/>
    <tableColumn id="2" xr3:uid="{00000000-0010-0000-0300-000002000000}" name="name" dataDxfId="24"/>
    <tableColumn id="3" xr3:uid="{00000000-0010-0000-0300-000003000000}" name="describe" dataDxfId="23"/>
    <tableColumn id="6" xr3:uid="{00000000-0010-0000-0300-000006000000}" name="icon" dataDxfId="22">
      <calculatedColumnFormula>"Skill_Passive_"&amp;TEXT(I4,"0000")</calculatedColumnFormula>
    </tableColumn>
    <tableColumn id="4" xr3:uid="{00000000-0010-0000-0300-000004000000}" name="stateType" dataDxfId="21"/>
    <tableColumn id="5" xr3:uid="{00000000-0010-0000-0300-000005000000}" name="stateArg" dataDxfId="20"/>
    <tableColumn id="7" xr3:uid="{00000000-0010-0000-0300-000007000000}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L102" totalsRowShown="0" headerRowDxfId="15" dataDxfId="13" headerRowBorderDxfId="14">
  <autoFilter ref="A3:L102" xr:uid="{00000000-0009-0000-0100-000005000000}"/>
  <sortState ref="A4:L102">
    <sortCondition ref="K3:K102"/>
  </sortState>
  <tableColumns count="12">
    <tableColumn id="1" xr3:uid="{00000000-0010-0000-0400-000001000000}" name="id" dataDxfId="12"/>
    <tableColumn id="2" xr3:uid="{00000000-0010-0000-0400-000002000000}" name="name" dataDxfId="11"/>
    <tableColumn id="3" xr3:uid="{00000000-0010-0000-0400-000003000000}" name="describe" dataDxfId="10"/>
    <tableColumn id="12" xr3:uid="{00000000-0010-0000-0400-00000C000000}" name="icon" dataDxfId="9">
      <calculatedColumnFormula>IF(表5[[#This Row],[isBuff]],"Bbuff","DeBbuff")&amp;TEXT(N4,"0000")</calculatedColumnFormula>
    </tableColumn>
    <tableColumn id="13" xr3:uid="{00000000-0010-0000-0400-00000D000000}" name="iShow" dataDxfId="8"/>
    <tableColumn id="4" xr3:uid="{00000000-0010-0000-0400-000004000000}" name="isBuff" dataDxfId="7"/>
    <tableColumn id="5" xr3:uid="{00000000-0010-0000-0400-000005000000}" name="max" dataDxfId="6"/>
    <tableColumn id="6" xr3:uid="{00000000-0010-0000-0400-000006000000}" name="time" dataDxfId="5"/>
    <tableColumn id="11" xr3:uid="{00000000-0010-0000-0400-00000B000000}" name="interval" dataDxfId="4"/>
    <tableColumn id="8" xr3:uid="{00000000-0010-0000-0400-000008000000}" name="priority" dataDxfId="3"/>
    <tableColumn id="9" xr3:uid="{00000000-0010-0000-0400-000009000000}" name="stateEffects" dataDxfId="2"/>
    <tableColumn id="10" xr3:uid="{00000000-0010-0000-0400-00000A000000}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27.88671875" style="2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5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6" priority="46"/>
  </conditionalFormatting>
  <conditionalFormatting sqref="A4:A51">
    <cfRule type="duplicateValues" dxfId="75" priority="1"/>
  </conditionalFormatting>
  <dataValidations count="4">
    <dataValidation type="list" allowBlank="1" showInputMessage="1" showErrorMessage="1" sqref="E4:E51" xr:uid="{00000000-0002-0000-0100-000000000000}">
      <formula1>"ALL,RA,RB,One,Direct"</formula1>
    </dataValidation>
    <dataValidation type="list" allowBlank="1" showInputMessage="1" showErrorMessage="1" sqref="I4:I51" xr:uid="{00000000-0002-0000-0100-000001000000}">
      <formula1>"None,Diffuse,Round"</formula1>
    </dataValidation>
    <dataValidation type="list" allowBlank="1" showInputMessage="1" showErrorMessage="1" sqref="G4:G51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1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2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5"/>
  </conditionalFormatting>
  <conditionalFormatting sqref="A3:G3">
    <cfRule type="duplicateValues" dxfId="29" priority="3"/>
  </conditionalFormatting>
  <conditionalFormatting sqref="A4:A76">
    <cfRule type="duplicateValues" dxfId="28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02"/>
  <sheetViews>
    <sheetView showGridLines="0" tabSelected="1" workbookViewId="0">
      <pane xSplit="3" ySplit="3" topLeftCell="D57" activePane="bottomRight" state="frozen"/>
      <selection pane="topRight" activeCell="D1" sqref="D1"/>
      <selection pane="bottomLeft" activeCell="A4" sqref="A4"/>
      <selection pane="bottomRight" activeCell="K90" sqref="K90"/>
    </sheetView>
  </sheetViews>
  <sheetFormatPr defaultColWidth="8.77734375" defaultRowHeight="13.8" x14ac:dyDescent="0.25"/>
  <cols>
    <col min="1" max="1" width="10.77734375" bestFit="1" customWidth="1"/>
    <col min="2" max="2" width="22.44140625" customWidth="1"/>
    <col min="3" max="3" width="71.33203125" bestFit="1" customWidth="1"/>
    <col min="4" max="5" width="19.77734375" customWidth="1"/>
    <col min="6" max="6" width="18.21875" customWidth="1"/>
    <col min="7" max="8" width="9.109375" hidden="1" customWidth="1"/>
    <col min="9" max="9" width="39.21875" hidden="1" customWidth="1"/>
    <col min="10" max="10" width="11.109375" hidden="1" customWidth="1"/>
    <col min="11" max="11" width="29.6640625" bestFit="1" customWidth="1"/>
    <col min="12" max="12" width="40.88671875" bestFit="1" customWidth="1"/>
    <col min="14" max="14" width="14.88671875" bestFit="1" customWidth="1"/>
  </cols>
  <sheetData>
    <row r="1" spans="1:22" s="4" customFormat="1" ht="12" customHeight="1" x14ac:dyDescent="0.25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5.6" x14ac:dyDescent="0.35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6.2" x14ac:dyDescent="0.25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5.6" x14ac:dyDescent="0.25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5.6" x14ac:dyDescent="0.25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5.6" x14ac:dyDescent="0.25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5.6" x14ac:dyDescent="0.25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5.6" x14ac:dyDescent="0.25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5.6" x14ac:dyDescent="0.25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5.6" x14ac:dyDescent="0.25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5.6" x14ac:dyDescent="0.25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5.6" x14ac:dyDescent="0.25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5.6" x14ac:dyDescent="0.25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5.6" x14ac:dyDescent="0.25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5.6" x14ac:dyDescent="0.25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5.6" x14ac:dyDescent="0.25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5.6" x14ac:dyDescent="0.25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5.6" x14ac:dyDescent="0.25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5.6" x14ac:dyDescent="0.25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5.6" x14ac:dyDescent="0.25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5.6" x14ac:dyDescent="0.25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5.6" x14ac:dyDescent="0.25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5.6" x14ac:dyDescent="0.25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5.6" x14ac:dyDescent="0.25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5.6" x14ac:dyDescent="0.25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5.6" x14ac:dyDescent="0.25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5.6" x14ac:dyDescent="0.25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5.6" x14ac:dyDescent="0.25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5.6" x14ac:dyDescent="0.25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5.6" x14ac:dyDescent="0.25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5.6" x14ac:dyDescent="0.25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5.6" x14ac:dyDescent="0.25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5.6" x14ac:dyDescent="0.25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5.6" x14ac:dyDescent="0.25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5.6" x14ac:dyDescent="0.25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5.6" x14ac:dyDescent="0.25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5.6" x14ac:dyDescent="0.25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5.6" x14ac:dyDescent="0.25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5.6" x14ac:dyDescent="0.25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5.6" x14ac:dyDescent="0.25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5.6" x14ac:dyDescent="0.25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5.6" x14ac:dyDescent="0.25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5.6" x14ac:dyDescent="0.25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5.6" x14ac:dyDescent="0.25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5.6" x14ac:dyDescent="0.25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5.6" x14ac:dyDescent="0.25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5.6" x14ac:dyDescent="0.25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5.6" x14ac:dyDescent="0.25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5.6" x14ac:dyDescent="0.25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5.6" x14ac:dyDescent="0.25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5.6" x14ac:dyDescent="0.25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5.6" x14ac:dyDescent="0.25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5.6" x14ac:dyDescent="0.25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5.6" x14ac:dyDescent="0.25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5.6" x14ac:dyDescent="0.25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5.6" x14ac:dyDescent="0.25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5.6" x14ac:dyDescent="0.25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5.6" x14ac:dyDescent="0.25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5.6" x14ac:dyDescent="0.25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5.6" x14ac:dyDescent="0.25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5.6" x14ac:dyDescent="0.25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1129</v>
      </c>
      <c r="L61" s="12" t="s">
        <v>601</v>
      </c>
      <c r="N61" s="28">
        <v>44</v>
      </c>
    </row>
    <row r="62" spans="1:14" ht="15.6" x14ac:dyDescent="0.25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320</v>
      </c>
      <c r="L62" s="12" t="s">
        <v>603</v>
      </c>
      <c r="N62" s="28">
        <v>45</v>
      </c>
    </row>
    <row r="63" spans="1:14" ht="15.6" x14ac:dyDescent="0.25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320</v>
      </c>
      <c r="L63" s="12" t="s">
        <v>615</v>
      </c>
      <c r="N63" s="28">
        <v>46</v>
      </c>
    </row>
    <row r="64" spans="1:14" ht="15.6" x14ac:dyDescent="0.25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1129</v>
      </c>
      <c r="L64" s="12" t="s">
        <v>627</v>
      </c>
      <c r="N64" s="28">
        <v>47</v>
      </c>
    </row>
    <row r="65" spans="1:16" ht="15.6" x14ac:dyDescent="0.25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1129</v>
      </c>
      <c r="L65" s="12" t="s">
        <v>628</v>
      </c>
      <c r="N65" s="28">
        <v>48</v>
      </c>
    </row>
    <row r="66" spans="1:16" ht="15.6" x14ac:dyDescent="0.25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1129</v>
      </c>
      <c r="L66" s="12" t="s">
        <v>629</v>
      </c>
      <c r="N66" s="28">
        <v>49</v>
      </c>
    </row>
    <row r="67" spans="1:16" ht="15.6" x14ac:dyDescent="0.25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1129</v>
      </c>
      <c r="L67" s="12" t="s">
        <v>630</v>
      </c>
      <c r="N67" s="28">
        <v>50</v>
      </c>
    </row>
    <row r="68" spans="1:16" ht="15.6" x14ac:dyDescent="0.25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1129</v>
      </c>
      <c r="L68" s="12" t="s">
        <v>588</v>
      </c>
      <c r="N68" s="28">
        <v>51</v>
      </c>
    </row>
    <row r="69" spans="1:16" ht="15.6" x14ac:dyDescent="0.25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1129</v>
      </c>
      <c r="L69" s="12" t="s">
        <v>589</v>
      </c>
      <c r="N69" s="28">
        <v>52</v>
      </c>
    </row>
    <row r="70" spans="1:16" ht="15.6" x14ac:dyDescent="0.25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1129</v>
      </c>
      <c r="L70" s="12" t="s">
        <v>590</v>
      </c>
      <c r="N70" s="28">
        <v>53</v>
      </c>
    </row>
    <row r="71" spans="1:16" ht="15.6" x14ac:dyDescent="0.25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1129</v>
      </c>
      <c r="L71" s="12" t="s">
        <v>591</v>
      </c>
      <c r="N71" s="28">
        <v>54</v>
      </c>
    </row>
    <row r="72" spans="1:16" ht="15.6" x14ac:dyDescent="0.25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1129</v>
      </c>
      <c r="L72" s="12" t="s">
        <v>592</v>
      </c>
      <c r="N72" s="28">
        <v>55</v>
      </c>
    </row>
    <row r="73" spans="1:16" ht="15.6" x14ac:dyDescent="0.25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23" t="s">
        <v>1130</v>
      </c>
      <c r="L73" s="14" t="s">
        <v>988</v>
      </c>
      <c r="N73" s="28">
        <v>56</v>
      </c>
    </row>
    <row r="74" spans="1:16" ht="15.6" x14ac:dyDescent="0.25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12" t="s">
        <v>1122</v>
      </c>
      <c r="L74" s="14" t="s">
        <v>989</v>
      </c>
      <c r="P74" t="str">
        <f>IF(表5[[#This Row],[stateEffects]]="Halo",O74,"")</f>
        <v/>
      </c>
    </row>
    <row r="75" spans="1:16" ht="15.6" x14ac:dyDescent="0.25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5.6" x14ac:dyDescent="0.25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5.6" x14ac:dyDescent="0.25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5.6" x14ac:dyDescent="0.25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5.6" x14ac:dyDescent="0.25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23" t="s">
        <v>1130</v>
      </c>
      <c r="L79" s="14" t="s">
        <v>1019</v>
      </c>
      <c r="P79" t="str">
        <f>IF(表5[[#This Row],[stateEffects]]="Halo",O79,"")</f>
        <v/>
      </c>
    </row>
    <row r="80" spans="1:16" ht="15.6" x14ac:dyDescent="0.25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23" t="s">
        <v>1130</v>
      </c>
      <c r="L80" s="14" t="s">
        <v>1020</v>
      </c>
      <c r="P80" t="str">
        <f>IF(表5[[#This Row],[stateEffects]]="Halo",O80,"")</f>
        <v/>
      </c>
    </row>
    <row r="81" spans="1:16" ht="15.6" x14ac:dyDescent="0.25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23" t="s">
        <v>1130</v>
      </c>
      <c r="L81" s="14" t="s">
        <v>1021</v>
      </c>
      <c r="P81" t="str">
        <f>IF(表5[[#This Row],[stateEffects]]="Halo",O81,"")</f>
        <v/>
      </c>
    </row>
    <row r="82" spans="1:16" ht="15.6" x14ac:dyDescent="0.25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23" t="s">
        <v>1130</v>
      </c>
      <c r="L82" s="14" t="s">
        <v>1022</v>
      </c>
      <c r="P82" t="str">
        <f>IF(表5[[#This Row],[stateEffects]]="Halo",O82,"")</f>
        <v/>
      </c>
    </row>
    <row r="83" spans="1:16" ht="15.6" x14ac:dyDescent="0.25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1125</v>
      </c>
      <c r="L83" s="14" t="s">
        <v>1023</v>
      </c>
      <c r="P83" t="str">
        <f>IF(表5[[#This Row],[stateEffects]]="Halo",O83,"")</f>
        <v/>
      </c>
    </row>
    <row r="84" spans="1:16" ht="15.6" x14ac:dyDescent="0.25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1125</v>
      </c>
      <c r="L84" s="14" t="s">
        <v>1024</v>
      </c>
      <c r="P84" t="str">
        <f>IF(表5[[#This Row],[stateEffects]]="Halo",O84,"")</f>
        <v/>
      </c>
    </row>
    <row r="85" spans="1:16" ht="15.6" x14ac:dyDescent="0.25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1125</v>
      </c>
      <c r="L85" s="14" t="s">
        <v>1025</v>
      </c>
      <c r="P85" t="str">
        <f>IF(表5[[#This Row],[stateEffects]]="Halo",O85,"")</f>
        <v/>
      </c>
    </row>
    <row r="86" spans="1:16" ht="15.6" x14ac:dyDescent="0.25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1125</v>
      </c>
      <c r="L86" s="14" t="s">
        <v>1026</v>
      </c>
      <c r="P86" t="str">
        <f>IF(表5[[#This Row],[stateEffects]]="Halo",O86,"")</f>
        <v/>
      </c>
    </row>
    <row r="87" spans="1:16" ht="15.6" x14ac:dyDescent="0.25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1127</v>
      </c>
      <c r="L87" s="14" t="s">
        <v>1032</v>
      </c>
      <c r="P87" t="str">
        <f>IF(表5[[#This Row],[stateEffects]]="Halo",O87,"")</f>
        <v/>
      </c>
    </row>
    <row r="88" spans="1:16" ht="15.6" x14ac:dyDescent="0.25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320</v>
      </c>
      <c r="L88" s="14" t="s">
        <v>1041</v>
      </c>
      <c r="P88" t="str">
        <f>IF(表5[[#This Row],[stateEffects]]="Halo",O88,"")</f>
        <v/>
      </c>
    </row>
    <row r="89" spans="1:16" ht="15.6" x14ac:dyDescent="0.25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5.6" x14ac:dyDescent="0.25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5.6" x14ac:dyDescent="0.25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5.6" x14ac:dyDescent="0.25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5.6" x14ac:dyDescent="0.25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5.6" x14ac:dyDescent="0.25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5.6" x14ac:dyDescent="0.25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5.6" x14ac:dyDescent="0.25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5.6" x14ac:dyDescent="0.25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5.6" x14ac:dyDescent="0.25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5.6" x14ac:dyDescent="0.25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5.6" x14ac:dyDescent="0.25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5.6" x14ac:dyDescent="0.25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5.6" x14ac:dyDescent="0.25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8" priority="45"/>
  </conditionalFormatting>
  <conditionalFormatting sqref="A4:A102">
    <cfRule type="duplicateValues" dxfId="17" priority="2"/>
  </conditionalFormatting>
  <conditionalFormatting sqref="A3:L3">
    <cfRule type="duplicateValues" dxfId="16" priority="1"/>
  </conditionalFormatting>
  <dataValidations count="2">
    <dataValidation type="list" allowBlank="1" showInputMessage="1" showErrorMessage="1" sqref="M5:M7" xr:uid="{00000000-0002-0000-0600-000000000000}">
      <formula1>StateEffect</formula1>
    </dataValidation>
    <dataValidation type="list" allowBlank="1" showInputMessage="1" showErrorMessage="1" sqref="E4:F102" xr:uid="{00000000-0002-0000-0600-000001000000}">
      <formula1>"TRUE,FALSE"</formula1>
    </dataValidation>
  </dataValidations>
  <hyperlinks>
    <hyperlink ref="K2" location="StateEffect" display="StateEffect" xr:uid="{00000000-0004-0000-0600-000000000000}"/>
    <hyperlink ref="K3" location="StateEffect" display="StateEffect" xr:uid="{00000000-0004-0000-0600-000001000000}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47"/>
  <sheetViews>
    <sheetView showGridLines="0" topLeftCell="E22" zoomScale="115" zoomScaleNormal="115" zoomScalePageLayoutView="145" workbookViewId="0">
      <selection activeCell="M47" sqref="M47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17.332031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ht="16.2" x14ac:dyDescent="0.25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5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5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5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5">
      <c r="C8" s="23" t="s">
        <v>882</v>
      </c>
      <c r="F8" s="6"/>
      <c r="M8" s="23" t="s">
        <v>402</v>
      </c>
      <c r="Q8" s="23" t="s">
        <v>535</v>
      </c>
    </row>
    <row r="9" spans="1:17" x14ac:dyDescent="0.25">
      <c r="C9" s="23" t="s">
        <v>13</v>
      </c>
      <c r="F9" s="6"/>
      <c r="M9" s="23" t="s">
        <v>307</v>
      </c>
      <c r="Q9" s="23" t="s">
        <v>534</v>
      </c>
    </row>
    <row r="10" spans="1:17" x14ac:dyDescent="0.25">
      <c r="C10" s="23" t="s">
        <v>27</v>
      </c>
      <c r="F10" s="6"/>
      <c r="M10" s="23" t="s">
        <v>471</v>
      </c>
      <c r="Q10" s="23" t="s">
        <v>39</v>
      </c>
    </row>
    <row r="11" spans="1:17" x14ac:dyDescent="0.25">
      <c r="C11" s="23" t="s">
        <v>885</v>
      </c>
      <c r="F11" s="6"/>
      <c r="M11" s="23" t="s">
        <v>306</v>
      </c>
      <c r="Q11" s="23" t="s">
        <v>533</v>
      </c>
    </row>
    <row r="12" spans="1:17" x14ac:dyDescent="0.25">
      <c r="C12" s="23" t="s">
        <v>907</v>
      </c>
      <c r="M12" s="23" t="s">
        <v>486</v>
      </c>
      <c r="Q12" s="23" t="s">
        <v>43</v>
      </c>
    </row>
    <row r="13" spans="1:17" x14ac:dyDescent="0.25">
      <c r="C13" s="23" t="s">
        <v>1075</v>
      </c>
      <c r="M13" s="23" t="s">
        <v>329</v>
      </c>
      <c r="Q13" s="23" t="s">
        <v>532</v>
      </c>
    </row>
    <row r="14" spans="1:17" x14ac:dyDescent="0.25">
      <c r="M14" s="23" t="s">
        <v>364</v>
      </c>
      <c r="Q14" s="23" t="s">
        <v>531</v>
      </c>
    </row>
    <row r="15" spans="1:17" ht="15" customHeight="1" x14ac:dyDescent="0.25">
      <c r="M15" s="23" t="s">
        <v>548</v>
      </c>
      <c r="Q15" s="23" t="s">
        <v>136</v>
      </c>
    </row>
    <row r="16" spans="1:17" x14ac:dyDescent="0.25">
      <c r="M16" s="23" t="s">
        <v>374</v>
      </c>
      <c r="Q16" s="23" t="s">
        <v>530</v>
      </c>
    </row>
    <row r="17" spans="13:13" x14ac:dyDescent="0.25">
      <c r="M17" s="23" t="s">
        <v>363</v>
      </c>
    </row>
    <row r="18" spans="13:13" x14ac:dyDescent="0.25">
      <c r="M18" s="23" t="s">
        <v>133</v>
      </c>
    </row>
    <row r="19" spans="13:13" x14ac:dyDescent="0.25">
      <c r="M19" s="23" t="s">
        <v>158</v>
      </c>
    </row>
    <row r="20" spans="13:13" x14ac:dyDescent="0.25">
      <c r="M20" s="23" t="s">
        <v>164</v>
      </c>
    </row>
    <row r="21" spans="13:13" x14ac:dyDescent="0.25">
      <c r="M21" s="23" t="s">
        <v>389</v>
      </c>
    </row>
    <row r="22" spans="13:13" x14ac:dyDescent="0.25">
      <c r="M22" s="23" t="s">
        <v>399</v>
      </c>
    </row>
    <row r="23" spans="13:13" x14ac:dyDescent="0.25">
      <c r="M23" s="23" t="s">
        <v>184</v>
      </c>
    </row>
    <row r="24" spans="13:13" x14ac:dyDescent="0.25">
      <c r="M24" s="23" t="s">
        <v>547</v>
      </c>
    </row>
    <row r="25" spans="13:13" x14ac:dyDescent="0.25">
      <c r="M25" s="23" t="s">
        <v>303</v>
      </c>
    </row>
    <row r="26" spans="13:13" x14ac:dyDescent="0.25">
      <c r="M26" s="23" t="s">
        <v>155</v>
      </c>
    </row>
    <row r="27" spans="13:13" x14ac:dyDescent="0.25">
      <c r="M27" s="23" t="s">
        <v>338</v>
      </c>
    </row>
    <row r="28" spans="13:13" x14ac:dyDescent="0.25">
      <c r="M28" s="23" t="s">
        <v>339</v>
      </c>
    </row>
    <row r="29" spans="13:13" x14ac:dyDescent="0.25">
      <c r="M29" s="23" t="s">
        <v>301</v>
      </c>
    </row>
    <row r="30" spans="13:13" x14ac:dyDescent="0.25">
      <c r="M30" s="23" t="s">
        <v>180</v>
      </c>
    </row>
    <row r="31" spans="13:13" x14ac:dyDescent="0.25">
      <c r="M31" s="23" t="s">
        <v>203</v>
      </c>
    </row>
    <row r="32" spans="13:13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1114</v>
      </c>
    </row>
    <row r="35" spans="13:13" x14ac:dyDescent="0.25">
      <c r="M35" s="23" t="s">
        <v>1115</v>
      </c>
    </row>
    <row r="36" spans="13:13" x14ac:dyDescent="0.25">
      <c r="M36" s="23" t="s">
        <v>1116</v>
      </c>
    </row>
    <row r="37" spans="13:13" x14ac:dyDescent="0.25">
      <c r="M37" s="23" t="s">
        <v>1117</v>
      </c>
    </row>
    <row r="38" spans="13:13" x14ac:dyDescent="0.25">
      <c r="M38" s="23" t="s">
        <v>1118</v>
      </c>
    </row>
    <row r="39" spans="13:13" x14ac:dyDescent="0.25">
      <c r="M39" s="23" t="s">
        <v>1119</v>
      </c>
    </row>
    <row r="40" spans="13:13" x14ac:dyDescent="0.25">
      <c r="M40" s="23" t="s">
        <v>1120</v>
      </c>
    </row>
    <row r="41" spans="13:13" x14ac:dyDescent="0.25">
      <c r="M41" s="23" t="s">
        <v>1121</v>
      </c>
    </row>
    <row r="42" spans="13:13" x14ac:dyDescent="0.25">
      <c r="M42" s="23" t="s">
        <v>1123</v>
      </c>
    </row>
    <row r="43" spans="13:13" x14ac:dyDescent="0.25">
      <c r="M43" s="23" t="s">
        <v>1124</v>
      </c>
    </row>
    <row r="44" spans="13:13" x14ac:dyDescent="0.25">
      <c r="M44" s="23" t="s">
        <v>1126</v>
      </c>
    </row>
    <row r="45" spans="13:13" x14ac:dyDescent="0.25">
      <c r="M45" s="23" t="s">
        <v>1128</v>
      </c>
    </row>
    <row r="46" spans="13:13" x14ac:dyDescent="0.25">
      <c r="M46" s="23" t="s">
        <v>1129</v>
      </c>
    </row>
    <row r="47" spans="13:13" x14ac:dyDescent="0.25">
      <c r="M47" s="23" t="s">
        <v>1130</v>
      </c>
    </row>
  </sheetData>
  <autoFilter ref="A3:A7" xr:uid="{00000000-0009-0000-0000-000007000000}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2017-11-22T09:50:20Z</dcterms:modified>
</cp:coreProperties>
</file>