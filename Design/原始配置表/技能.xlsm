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externalReferences>
    <externalReference r:id="rId9"/>
  </externalReferences>
  <definedNames>
    <definedName name="EmitAction">枚举参数!#REF!</definedName>
    <definedName name="MultipleTarget">枚举参数!$A$2:$A$15</definedName>
    <definedName name="SpecialAction">枚举参数!$I$2:$I$3</definedName>
    <definedName name="SpecialEffect">枚举参数!$Z$2:$Z$14</definedName>
    <definedName name="StateEffect">枚举参数!$S$2:$S$21</definedName>
    <definedName name="TargetType">枚举参数!$E$2:$E$16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6" l="1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Q21" i="3"/>
  <c r="Q22" i="3"/>
  <c r="Q20" i="3"/>
  <c r="P1" i="6" l="1"/>
  <c r="Q19" i="3"/>
  <c r="Q18" i="3"/>
  <c r="T16" i="3"/>
  <c r="Q17" i="3"/>
  <c r="Q13" i="3"/>
  <c r="Q9" i="3"/>
  <c r="Q6" i="3"/>
  <c r="T15" i="3"/>
  <c r="Q11" i="3"/>
  <c r="Q5" i="3"/>
  <c r="Q10" i="3"/>
  <c r="Q16" i="3"/>
  <c r="Q12" i="3"/>
  <c r="Q8" i="3"/>
  <c r="Q15" i="3"/>
  <c r="Q7" i="3"/>
  <c r="Q14" i="3"/>
  <c r="Q4" i="3"/>
  <c r="K4" i="9" l="1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  <c r="Q3" i="3"/>
  <c r="T14" i="3"/>
  <c r="B13" i="3"/>
  <c r="B10" i="3"/>
  <c r="AE4" i="3"/>
  <c r="AA4" i="3"/>
  <c r="T9" i="3"/>
  <c r="T7" i="3"/>
  <c r="AA8" i="3"/>
  <c r="F15" i="3"/>
  <c r="F3" i="3"/>
  <c r="M3" i="3"/>
  <c r="F5" i="3"/>
  <c r="F6" i="3"/>
  <c r="M5" i="3"/>
  <c r="F4" i="3"/>
  <c r="B2" i="3"/>
  <c r="B14" i="3"/>
  <c r="AA3" i="3"/>
  <c r="AA5" i="3"/>
  <c r="F10" i="3"/>
  <c r="T1" i="3"/>
  <c r="F13" i="3"/>
  <c r="AA14" i="3"/>
  <c r="AA13" i="3"/>
  <c r="AA12" i="3"/>
  <c r="B12" i="3"/>
  <c r="B11" i="3"/>
  <c r="AE2" i="3"/>
  <c r="T6" i="3"/>
  <c r="T11" i="3"/>
  <c r="T12" i="3"/>
  <c r="M7" i="3"/>
  <c r="T2" i="3"/>
  <c r="AA9" i="3"/>
  <c r="B3" i="3"/>
  <c r="F8" i="3"/>
  <c r="F2" i="3"/>
  <c r="B4" i="3"/>
  <c r="B6" i="3"/>
  <c r="F14" i="3"/>
  <c r="B8" i="3"/>
  <c r="AE3" i="3"/>
  <c r="T4" i="3"/>
  <c r="F9" i="3"/>
  <c r="Q2" i="3"/>
  <c r="T10" i="3"/>
  <c r="B7" i="3"/>
  <c r="B9" i="3"/>
  <c r="B15" i="3"/>
  <c r="AA11" i="3"/>
  <c r="T5" i="3"/>
  <c r="T8" i="3"/>
  <c r="T3" i="3"/>
  <c r="M8" i="3"/>
  <c r="M4" i="3"/>
  <c r="AA10" i="3"/>
  <c r="F7" i="3"/>
  <c r="AA7" i="3"/>
  <c r="M2" i="3"/>
  <c r="AA6" i="3"/>
  <c r="F12" i="3"/>
  <c r="F11" i="3"/>
  <c r="AE5" i="3"/>
  <c r="T13" i="3"/>
  <c r="F16" i="3"/>
  <c r="B5" i="3"/>
  <c r="M6" i="3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多目标类型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决定技能的释放方式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1" authorId="0" shapeId="0">
      <text>
        <r>
          <rPr>
            <sz val="9"/>
            <color indexed="81"/>
            <rFont val="宋体"/>
            <family val="3"/>
            <charset val="134"/>
          </rPr>
          <t>这是一个过滤列表，符合这个条件的怪物，将不能被该技能列为可选目标。这里没有直接把怪物拿过来用，因为限制条件可能比怪物类型更复杂，比如生命值低于100的生物型怪物，这时候就可能要多加一种类型</t>
        </r>
      </text>
    </comment>
    <comment ref="P1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</t>
        </r>
      </text>
    </comment>
    <comment ref="W1" authorId="0" shapeId="0">
      <text>
        <r>
          <rPr>
            <sz val="9"/>
            <color indexed="81"/>
            <rFont val="宋体"/>
            <family val="3"/>
            <charset val="134"/>
          </rPr>
          <t>伤害类型（请把之前同名枚举类型删除，在GlobalParameters.cs）</t>
        </r>
      </text>
    </comment>
    <comment ref="Z1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D1" authorId="0" shapeId="0">
      <text>
        <r>
          <rPr>
            <sz val="9"/>
            <color indexed="81"/>
            <rFont val="宋体"/>
            <family val="3"/>
            <charset val="134"/>
          </rPr>
          <t>用做SpecialEffect个别行为的生效条件。以释放技能的目标位置，格子是否满足特定条件为依据。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默认，只会攻击一个目标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不需要选择目标，通常用于随机目标的技能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改变属性，参数是属性表达式</t>
        </r>
      </text>
    </comment>
    <comment ref="W2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D2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随机目标，目标不重复。可以结合targetArg实现随机选取多个目标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玩家对自己释放，不需要指定目标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3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。翻开一个敌人后，如果有任何移动、攻击、翻开格子的行为，该效果都会不成立，即在翻开一个敌人后，没有以上行为，直接对其进行近战攻击，才能享受此被动效果（界面行为除外）。参数是属性表达式。</t>
        </r>
      </text>
    </comment>
    <comment ref="S3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沉默，所有被动技能无效，注意有些被动技能是给自己/队友施加状态，那么这些状态此时也应该消失。玩家也能被沉默。
无参数</t>
        </r>
      </text>
    </comment>
    <comment ref="W3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Z3" authorId="0" shapeId="0">
      <text>
        <r>
          <rPr>
            <b/>
            <sz val="9"/>
            <color indexed="81"/>
            <rFont val="宋体"/>
            <family val="3"/>
            <charset val="134"/>
          </rPr>
          <t>给自己释放状态。参数是状态ID</t>
        </r>
      </text>
    </comment>
    <comment ref="AD3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随机目标，目标可重复。可以结合targetArg实现随机选取多个目标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选择一个射程内的可见怪物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一定概率N%受到的实弹伤害降低M%。参数为N_M</t>
        </r>
      </text>
    </comment>
    <comment ref="S4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W4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Z4" authorId="0" shapeId="0">
      <text>
        <r>
          <rPr>
            <b/>
            <sz val="9"/>
            <color indexed="81"/>
            <rFont val="宋体"/>
            <family val="3"/>
            <charset val="134"/>
          </rPr>
          <t>给目标释放状态。参数是状态ID</t>
        </r>
      </text>
    </comment>
    <comment ref="AD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所有目标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选择一个格子。原则上包含所有的格子，但应该把玩家所在位置的格子排除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一定概率N%受到的激光伤害降低M%。参数为N_M</t>
        </r>
      </text>
    </comment>
    <comment ref="S5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Z5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变形，将目标的样子变成另外一个prefab，通常它会配合属性改变一起使用，被变形后的敌人会丢失所有技能。参数是变成目标prefab的名称</t>
        </r>
      </text>
    </comment>
    <comment ref="AD5" authorId="0" shapeId="0">
      <text>
        <r>
          <rPr>
            <b/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对一条线上的敌人造成伤害，直线的起点是技能释放者，终点与射程有关。这种释放方式的技能，不能作为召唤物绑定技能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选择一个翻开且不含障碍的格子，排除玩家所在的格子</t>
        </r>
      </text>
    </comment>
    <comment ref="P6" authorId="0" shapeId="0">
      <text>
        <r>
          <rPr>
            <sz val="9"/>
            <color indexed="81"/>
            <rFont val="宋体"/>
            <family val="3"/>
            <charset val="134"/>
          </rPr>
          <t>每走1格，近战伤害增加N%。在攻击后（近战&amp;远程都算）效果重置。假如走了5格，增加的伤害应该是5*N，而不是N的5次方。参数是N。</t>
        </r>
      </text>
    </comment>
    <comment ref="S6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Z6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玩家与目标怪物位置互换，互换后，怪物暂时不会封锁格子，但符合“邻接锁定原则”（即玩家靠近后会封锁）。无参数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上下左右扩散模式，1表示扩散半径为1。它会对半径内的其他目标同时造成效果（这里的效果一般指伤害，但如果技能释放目标是格子，那么也对格子有效）。这种扩散模式是基于上下左右的（斜向距离为2）。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选择一个未翻开且不包含障碍的格子（目前这里有BUG）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机械类型的怪物</t>
        </r>
      </text>
    </comment>
    <comment ref="P7" authorId="0" shapeId="0">
      <text>
        <r>
          <rPr>
            <sz val="9"/>
            <color indexed="81"/>
            <rFont val="宋体"/>
            <family val="3"/>
            <charset val="134"/>
          </rPr>
          <t>每1单位时间，实弹伤害增加N%，玩家使用实弹技能后重置，累积最高不超过M%。假如经过了5时间，累加的伤害应该是5*N，而不是N的5次方。参数是N_M</t>
        </r>
      </text>
    </comment>
    <comment ref="S7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临时改变属性，状态消失后，属性要变回来。参数是属性四则表达式</t>
        </r>
      </text>
    </comment>
    <comment ref="Z7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将怪物随机移动到一个已经翻开的空格子，转移后，怪物暂时不会封锁格子，但符合“邻接锁定原则”（即玩家靠近后会封锁）。无参数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选择一个翻开且不含障碍，格子上没有物体，排除玩家所在的格子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生命型怪物</t>
        </r>
      </text>
    </comment>
    <comment ref="P8" authorId="0" shapeId="0">
      <text>
        <r>
          <rPr>
            <sz val="9"/>
            <color indexed="81"/>
            <rFont val="宋体"/>
            <family val="3"/>
            <charset val="134"/>
          </rPr>
          <t>每1单位时间，光线伤害增加N%，玩家使用实弹技能后重置，累积最高不超过M%。假如经过了5时间，累加的伤害应该是5*N，而不是N的5次方。参数是N_M</t>
        </r>
      </text>
    </comment>
    <comment ref="S8" authorId="0" shapeId="0">
      <text>
        <r>
          <rPr>
            <sz val="9"/>
            <color indexed="81"/>
            <rFont val="宋体"/>
            <family val="3"/>
            <charset val="134"/>
          </rPr>
          <t>伤害转移，受到N次伤害，随机转移给其他怪物（DOT不算），如果是怪物有此状态，则转移给玩家。参数即N（次数）。如果达到次数，状态自动消失</t>
        </r>
      </text>
    </comment>
    <comment ref="Z8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奴役一个怪物，使这个怪物帮助自己攻击。玩家依然可以攻击这个怪物，但怪物不会反击，同时，怪物解除格锁定。无参数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选择一个障碍（障碍不存在翻开与未翻开的概念）</t>
        </r>
      </text>
    </comment>
    <comment ref="P9" authorId="0" shapeId="0">
      <text>
        <r>
          <rPr>
            <sz val="9"/>
            <color indexed="81"/>
            <rFont val="宋体"/>
            <family val="3"/>
            <charset val="134"/>
          </rPr>
          <t>对生命值N%以下的敌人，造成的</t>
        </r>
        <r>
          <rPr>
            <b/>
            <sz val="9"/>
            <color indexed="81"/>
            <rFont val="宋体"/>
            <family val="3"/>
            <charset val="134"/>
          </rPr>
          <t>近战伤害</t>
        </r>
        <r>
          <rPr>
            <sz val="9"/>
            <color indexed="81"/>
            <rFont val="宋体"/>
            <family val="3"/>
            <charset val="134"/>
          </rPr>
          <t>额外提高M%。参数是N_M</t>
        </r>
      </text>
    </comment>
    <comment ref="S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伤害吸收，宿主接下来的伤害会被吸收（宿主不受伤害），参数：吸收表达式（比如HP*5）。吸收足够的伤害后，状态消失
</t>
        </r>
      </text>
    </comment>
    <comment ref="Z9" authorId="0" shapeId="0">
      <text>
        <r>
          <rPr>
            <sz val="9"/>
            <color indexed="81"/>
            <rFont val="宋体"/>
            <family val="3"/>
            <charset val="134"/>
          </rPr>
          <t>驱散，随机驱散目标身上N个Debuff。参数为为N，注意N很大的情况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选择一个障碍，
而且该位置没有炮台</t>
        </r>
      </text>
    </comment>
    <comment ref="P10" authorId="0" shapeId="0">
      <text>
        <r>
          <rPr>
            <sz val="9"/>
            <color indexed="81"/>
            <rFont val="宋体"/>
            <family val="3"/>
            <charset val="134"/>
          </rPr>
          <t>对生命值N%以上的敌人，造成的光线伤害额外提高M%。参数是N_M</t>
        </r>
      </text>
    </comment>
    <comment ref="S10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伤害储存，记下下N次受到的伤害，在状态结束时，为自己回复M倍的生命值。注意，宿主还是会收到伤害。参数：N_M</t>
        </r>
      </text>
    </comment>
    <comment ref="Z10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进攻驱散：随机驱散目标身上的N个Buff。参数为N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同上一条，但它不需要玩家选择位置</t>
        </r>
      </text>
    </comment>
    <comment ref="P11" authorId="0" shapeId="0">
      <text>
        <r>
          <rPr>
            <sz val="9"/>
            <color indexed="81"/>
            <rFont val="宋体"/>
            <family val="3"/>
            <charset val="134"/>
          </rPr>
          <t>对距离N以内的目标造成的实弹伤害额外增加M%。参数是N_M</t>
        </r>
      </text>
    </comment>
    <comment ref="S11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除非是场上最后一个怪物，否则不能攻击（远程&amp;近战），怪物only。没有参数</t>
        </r>
      </text>
    </comment>
    <comment ref="Z11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满足条件时，会返还技能一半的消耗，这个效果只对玩家有效。参数即条件，是一个类型为EffectCondition的枚举类型（这里获取到的是字符串，你得自己转一下）
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不需要选目标，表示召唤浮游炮</t>
        </r>
      </text>
    </comment>
    <comment ref="P12" authorId="0" shapeId="0">
      <text>
        <r>
          <rPr>
            <sz val="9"/>
            <color indexed="81"/>
            <rFont val="宋体"/>
            <family val="3"/>
            <charset val="134"/>
          </rPr>
          <t>每杀死一个机械单位，光线系伤害增加N%，最高不超过M%。使用光线系技能后重置。如果杀死5个机械单位，光线伤害提高5*N，而不是N的5次方。参数是N_M</t>
        </r>
      </text>
    </comment>
    <comment ref="S12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免疫指向技能，即有此状态的怪物，不能在玩家手动选择目标时，被筛选出来（随机目标是可以的）。怪物only，没有参数</t>
        </r>
      </text>
    </comment>
    <comment ref="Z12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翻开一个格子后，再翻开附近的格子（含斜向）。参数为翻开附近格子的距离。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在使用EffectCondition做为判定条件时，有显著的区别。
原则上，如果使用了Round或者Diffuse，而此效果参数又不为0，会先根据Round或者Diffuse翻开周围格子后，再在此基础上，又翻开一圈（后翻开的格子不作为“技能释放的目标位置”）。
</t>
        </r>
      </text>
    </comment>
    <comment ref="A13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1表示扩散半径为1。它会对半径内的其他目标同时造成效果（这里的效果一般指伤害，但如果技能释放目标是格子，那么也对格子有效）。这种扩散模式是基于上下左右与斜向的（斜向距离为1）。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尚未被翻开的怪物，不需要玩家选择目标，它通常与
multipleType为random时配合使用，表示随机一个没有被发现的怪物</t>
        </r>
      </text>
    </comment>
    <comment ref="P13" authorId="0" shapeId="0">
      <text>
        <r>
          <rPr>
            <sz val="9"/>
            <color indexed="81"/>
            <rFont val="宋体"/>
            <family val="3"/>
            <charset val="134"/>
          </rPr>
          <t>每杀死一个生物单位，实弹系伤害增加N%，最高不超过M%。使用实弹系技能后重置。如果杀死5个生命单位，实弹伤害提高5*N，而不是N的5次方。参数是N_M</t>
        </r>
      </text>
    </comment>
    <comment ref="S13" authorId="0" shapeId="0">
      <text>
        <r>
          <rPr>
            <sz val="9"/>
            <color indexed="81"/>
            <rFont val="宋体"/>
            <family val="3"/>
            <charset val="134"/>
          </rPr>
          <t>爆炸，对于玩家造成伤害。参数是伤害表达式</t>
        </r>
      </text>
    </comment>
    <comment ref="Z13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将玩家传送到一个格子上，只有玩家技能可以有该特性。参数即条件，是一个类型为EffectCondition的枚举类型（这里获取到的是字符串，你得自己转一下）。
原则上，即便没有参数或者参数成立，目标位置不可站立时（有怪物或者机关）也会传送失败，但如果是物品，那么传送过去会直接拾取物品。
</t>
        </r>
      </text>
    </comment>
    <comment ref="E14" authorId="0" shapeId="0">
      <text>
        <r>
          <rPr>
            <sz val="9"/>
            <color indexed="81"/>
            <rFont val="宋体"/>
            <family val="3"/>
            <charset val="134"/>
          </rPr>
          <t>选择上下左右临近的一个格子来表方向。它通常用于直线AOE攻击</t>
        </r>
      </text>
    </comment>
    <comment ref="P14" authorId="0" shapeId="0">
      <text>
        <r>
          <rPr>
            <sz val="9"/>
            <color indexed="81"/>
            <rFont val="宋体"/>
            <family val="3"/>
            <charset val="134"/>
          </rPr>
          <t>场上每有1个敌人，实弹系伤害额外增加N%。假如有5个敌人，增加的实弹伤害是5*N，而不是N的5次方。参数为N</t>
        </r>
      </text>
    </comment>
    <comment ref="S14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死亡时，会随机杀死N个没有翻开的敌人。参数为N</t>
        </r>
      </text>
    </comment>
    <comment ref="Z14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将目标传送到一个已翻开的格子上，原则上怪物也可以使用这种技能。没有参数</t>
        </r>
      </text>
    </comment>
    <comment ref="E15" authorId="0" shapeId="0">
      <text>
        <r>
          <rPr>
            <sz val="9"/>
            <color indexed="81"/>
            <rFont val="宋体"/>
            <family val="3"/>
            <charset val="134"/>
          </rPr>
          <t>选择一个射程内，可见的机械系敌人</t>
        </r>
      </text>
    </comment>
    <comment ref="P15" authorId="0" shapeId="0">
      <text>
        <r>
          <rPr>
            <sz val="9"/>
            <color indexed="81"/>
            <rFont val="宋体"/>
            <family val="3"/>
            <charset val="134"/>
          </rPr>
          <t>场上每一个翻开的格子，光线伤害额外增加N%。假如有5个翻开的格子，伤害增加5*N，而不是N的5次方。参数是N</t>
        </r>
      </text>
    </comment>
    <comment ref="S15" authorId="0" shapeId="0">
      <text>
        <r>
          <rPr>
            <sz val="9"/>
            <color indexed="81"/>
            <rFont val="宋体"/>
            <family val="3"/>
            <charset val="134"/>
          </rPr>
          <t>如果附近有目标，将受到的光线伤害随机转移给一个目标（目标包含玩家，但不包含偏转发生的单位），怪物也可以有此状态。参数为“附近”所表示的距离</t>
        </r>
      </text>
    </comment>
    <comment ref="E16" authorId="0" shapeId="0">
      <text>
        <r>
          <rPr>
            <sz val="9"/>
            <color indexed="81"/>
            <rFont val="宋体"/>
            <family val="3"/>
            <charset val="134"/>
          </rPr>
          <t>选择一个射程内，可见的生命系敌人</t>
        </r>
      </text>
    </comment>
    <comment ref="P16" authorId="0" shapeId="0">
      <text>
        <r>
          <rPr>
            <sz val="9"/>
            <color indexed="81"/>
            <rFont val="宋体"/>
            <family val="3"/>
            <charset val="134"/>
          </rPr>
          <t>每1单位时间，恢复生命值N%。参数是N</t>
        </r>
      </text>
    </comment>
    <comment ref="S16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所有的远程攻击消耗时间减少N%。仅对玩家有效。参数为N</t>
        </r>
      </text>
    </comment>
    <comment ref="P17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近战攻击每消灭一个生命系敌人，恢复生命值N%。参数是N</t>
        </r>
      </text>
    </comment>
    <comment ref="P18" authorId="0" shapeId="0">
      <text>
        <r>
          <rPr>
            <sz val="9"/>
            <color indexed="81"/>
            <rFont val="宋体"/>
            <family val="3"/>
            <charset val="134"/>
          </rPr>
          <t>近战攻击一定概率N%使敌人昏迷M个单位时间。参数是N_M</t>
        </r>
      </text>
    </comment>
    <comment ref="P19" authorId="0" shapeId="0">
      <text>
        <r>
          <rPr>
            <sz val="9"/>
            <color indexed="81"/>
            <rFont val="宋体"/>
            <family val="3"/>
            <charset val="134"/>
          </rPr>
          <t>近战攻击一定概率N%造成M%伤害。参数是N_M</t>
        </r>
      </text>
    </comment>
    <comment ref="P20" authorId="0" shapeId="0">
      <text>
        <r>
          <rPr>
            <sz val="9"/>
            <color indexed="81"/>
            <rFont val="宋体"/>
            <family val="3"/>
            <charset val="134"/>
          </rPr>
          <t>使用N次对应的召唤技能，重复启用被动技能不能重复召唤。注意这种方式召唤出来的召唤物，其能量/技能冷却都是从0开始，而且忽略召唤技能的时间消耗。参数为N</t>
        </r>
      </text>
    </comment>
    <comment ref="P21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P22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<sst xmlns="http://schemas.openxmlformats.org/spreadsheetml/2006/main" count="617" uniqueCount="473">
  <si>
    <t>编号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</si>
  <si>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</si>
  <si>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</si>
  <si>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</si>
  <si>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</si>
  <si>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</si>
  <si>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</si>
  <si>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</si>
  <si>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</si>
  <si>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目标类型(释放方式)</t>
    <phoneticPr fontId="1" type="noConversion"/>
  </si>
  <si>
    <t>carry</t>
    <phoneticPr fontId="1" type="noConversion"/>
  </si>
  <si>
    <t>TargetType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</si>
  <si>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</si>
  <si>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</si>
  <si>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</si>
  <si>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id</t>
    <phoneticPr fontId="1" type="noConversion"/>
  </si>
  <si>
    <t>测试技能</t>
  </si>
  <si>
    <t>string</t>
    <phoneticPr fontId="1" type="noConversion"/>
  </si>
  <si>
    <t>GUN01</t>
    <phoneticPr fontId="1" type="noConversion"/>
  </si>
  <si>
    <t>costTime</t>
  </si>
  <si>
    <t>prefab</t>
    <phoneticPr fontId="1" type="noConversion"/>
  </si>
  <si>
    <t>炮台位置</t>
    <phoneticPr fontId="1" type="noConversion"/>
  </si>
  <si>
    <t>All</t>
    <phoneticPr fontId="1" type="noConversion"/>
  </si>
  <si>
    <t>Monster</t>
  </si>
  <si>
    <t>Player</t>
    <phoneticPr fontId="1" type="noConversion"/>
  </si>
  <si>
    <t>Monster</t>
    <phoneticPr fontId="1" type="noConversion"/>
  </si>
  <si>
    <t>Block</t>
    <phoneticPr fontId="1" type="noConversion"/>
  </si>
  <si>
    <t>LightBlock</t>
    <phoneticPr fontId="1" type="noConversion"/>
  </si>
  <si>
    <t>DarkBlock</t>
    <phoneticPr fontId="1" type="noConversion"/>
  </si>
  <si>
    <t>EmptyBlock</t>
    <phoneticPr fontId="1" type="noConversion"/>
  </si>
  <si>
    <t>全炮台位置</t>
    <phoneticPr fontId="1" type="noConversion"/>
  </si>
  <si>
    <t>effect_hit</t>
    <phoneticPr fontId="1" type="noConversion"/>
  </si>
  <si>
    <t>Normal</t>
  </si>
  <si>
    <t>炮台位置</t>
  </si>
  <si>
    <t>Normal</t>
    <phoneticPr fontId="1" type="noConversion"/>
  </si>
  <si>
    <t>Random</t>
    <phoneticPr fontId="1" type="noConversion"/>
  </si>
  <si>
    <t>多目标，laser不支持同时攻击多个目标</t>
    <phoneticPr fontId="1" type="noConversion"/>
  </si>
  <si>
    <t>飞行特效，laser不支持多飞行特效</t>
    <phoneticPr fontId="1" type="noConversion"/>
  </si>
  <si>
    <t>Diffuse_2</t>
  </si>
  <si>
    <t>Diffuse_3</t>
  </si>
  <si>
    <t>Diffuse_5</t>
  </si>
  <si>
    <t>Diffuse_6</t>
  </si>
  <si>
    <t>命中特效</t>
    <phoneticPr fontId="1" type="noConversion"/>
  </si>
  <si>
    <t>卫星</t>
  </si>
  <si>
    <t>TargetType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</si>
  <si>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</si>
  <si>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</si>
  <si>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</si>
  <si>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</si>
  <si>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MultipleType</t>
    <phoneticPr fontId="1" type="noConversion"/>
  </si>
  <si>
    <t>卫星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</si>
  <si>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</si>
  <si>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</si>
  <si>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</si>
  <si>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</si>
  <si>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</si>
  <si>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</si>
  <si>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</si>
  <si>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</si>
  <si>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</si>
  <si>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</si>
  <si>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</si>
  <si>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MultipleType</t>
    <phoneticPr fontId="1" type="noConversion"/>
  </si>
  <si>
    <t>HideMonster</t>
    <phoneticPr fontId="1" type="noConversion"/>
  </si>
  <si>
    <t>ObstructBlock</t>
    <phoneticPr fontId="1" type="noConversion"/>
  </si>
  <si>
    <t>targetType</t>
    <phoneticPr fontId="1" type="noConversion"/>
  </si>
  <si>
    <t>Random</t>
  </si>
  <si>
    <t>TargetType</t>
    <phoneticPr fontId="1" type="noConversion"/>
  </si>
  <si>
    <t>targetLimit</t>
    <phoneticPr fontId="1" type="noConversion"/>
  </si>
  <si>
    <t>TargetLimit[|]</t>
    <phoneticPr fontId="1" type="noConversion"/>
  </si>
  <si>
    <t>TargetLimit</t>
    <phoneticPr fontId="1" type="noConversion"/>
  </si>
  <si>
    <t>MonsterQuality_2</t>
  </si>
  <si>
    <t>MonsterQuality_3</t>
  </si>
  <si>
    <t>MonsterQuality_4</t>
  </si>
  <si>
    <t>MonsterQuality_1</t>
    <phoneticPr fontId="1" type="noConversion"/>
  </si>
  <si>
    <t>卫星</t>
    <phoneticPr fontId="1" type="noConversion"/>
  </si>
  <si>
    <t>None</t>
    <phoneticPr fontId="1" type="noConversion"/>
  </si>
  <si>
    <t>multipleType</t>
    <phoneticPr fontId="1" type="noConversion"/>
  </si>
  <si>
    <t>targetArg</t>
    <phoneticPr fontId="1" type="noConversion"/>
  </si>
  <si>
    <t>float[|;]</t>
    <phoneticPr fontId="1" type="noConversion"/>
  </si>
  <si>
    <t>effect_fly</t>
    <phoneticPr fontId="1" type="noConversion"/>
  </si>
  <si>
    <t>射程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</si>
  <si>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</si>
  <si>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</si>
  <si>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</si>
  <si>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ulong</t>
    <phoneticPr fontId="1" type="noConversion"/>
  </si>
  <si>
    <t>技能点编号</t>
    <phoneticPr fontId="1" type="noConversion"/>
  </si>
  <si>
    <t>id</t>
    <phoneticPr fontId="1" type="noConversion"/>
  </si>
  <si>
    <t>ulong</t>
    <phoneticPr fontId="1" type="noConversion"/>
  </si>
  <si>
    <t>ulong[;]</t>
    <phoneticPr fontId="1" type="noConversion"/>
  </si>
  <si>
    <t>1000001;1000001;1000001;1000001</t>
    <phoneticPr fontId="1" type="noConversion"/>
  </si>
  <si>
    <t>1000002;1000002</t>
    <phoneticPr fontId="1" type="noConversion"/>
  </si>
  <si>
    <t>编号</t>
    <phoneticPr fontId="1" type="noConversion"/>
  </si>
  <si>
    <t>ulong</t>
    <phoneticPr fontId="1" type="noConversion"/>
  </si>
  <si>
    <t>id</t>
    <phoneticPr fontId="1" type="noConversion"/>
  </si>
  <si>
    <t>技能名称</t>
    <phoneticPr fontId="1" type="noConversion"/>
  </si>
  <si>
    <t>描述</t>
    <phoneticPr fontId="1" type="noConversion"/>
  </si>
  <si>
    <t>作用类型</t>
    <phoneticPr fontId="1" type="noConversion"/>
  </si>
  <si>
    <t>string</t>
    <phoneticPr fontId="1" type="noConversion"/>
  </si>
  <si>
    <t>name</t>
    <phoneticPr fontId="1" type="noConversion"/>
  </si>
  <si>
    <t>args</t>
    <phoneticPr fontId="1" type="noConversion"/>
  </si>
  <si>
    <t>Cartridge</t>
    <phoneticPr fontId="1" type="noConversion"/>
  </si>
  <si>
    <t>Laser</t>
    <phoneticPr fontId="1" type="noConversion"/>
  </si>
  <si>
    <t>DamageType</t>
    <phoneticPr fontId="1" type="noConversion"/>
  </si>
  <si>
    <t>Physical</t>
    <phoneticPr fontId="1" type="noConversion"/>
  </si>
  <si>
    <t>目标类型(释放方式)</t>
    <phoneticPr fontId="1" type="noConversion"/>
  </si>
  <si>
    <t>targetType</t>
    <phoneticPr fontId="1" type="noConversion"/>
  </si>
  <si>
    <t>MonsterType_organisms</t>
    <phoneticPr fontId="1" type="noConversion"/>
  </si>
  <si>
    <t>Transfiguration</t>
    <phoneticPr fontId="1" type="noConversion"/>
  </si>
  <si>
    <t>PositionExchange</t>
    <phoneticPr fontId="1" type="noConversion"/>
  </si>
  <si>
    <t>Enslave</t>
    <phoneticPr fontId="1" type="noConversion"/>
  </si>
  <si>
    <t>Property</t>
    <phoneticPr fontId="1" type="noConversion"/>
  </si>
  <si>
    <t>持续时间</t>
    <phoneticPr fontId="1" type="noConversion"/>
  </si>
  <si>
    <t>int</t>
    <phoneticPr fontId="1" type="noConversion"/>
  </si>
  <si>
    <t>time</t>
    <phoneticPr fontId="1" type="noConversion"/>
  </si>
  <si>
    <t>名称</t>
    <phoneticPr fontId="1" type="noConversion"/>
  </si>
  <si>
    <t>最大叠加</t>
    <phoneticPr fontId="1" type="noConversion"/>
  </si>
  <si>
    <t>int</t>
    <phoneticPr fontId="1" type="noConversion"/>
  </si>
  <si>
    <t>describe</t>
    <phoneticPr fontId="1" type="noConversion"/>
  </si>
  <si>
    <t>describe</t>
    <phoneticPr fontId="1" type="noConversion"/>
  </si>
  <si>
    <t>bool</t>
    <phoneticPr fontId="1" type="noConversion"/>
  </si>
  <si>
    <t>int</t>
    <phoneticPr fontId="1" type="noConversion"/>
  </si>
  <si>
    <t>max</t>
    <phoneticPr fontId="1" type="noConversion"/>
  </si>
  <si>
    <t>mark</t>
    <phoneticPr fontId="1" type="noConversion"/>
  </si>
  <si>
    <t>StateEffect</t>
    <phoneticPr fontId="1" type="noConversion"/>
  </si>
  <si>
    <t>DamageTransfer</t>
    <phoneticPr fontId="1" type="noConversion"/>
  </si>
  <si>
    <t>DamageAbsorb</t>
    <phoneticPr fontId="1" type="noConversion"/>
  </si>
  <si>
    <t>Last</t>
    <phoneticPr fontId="1" type="noConversion"/>
  </si>
  <si>
    <t>Imm</t>
    <phoneticPr fontId="1" type="noConversion"/>
  </si>
  <si>
    <t>Explode</t>
    <phoneticPr fontId="1" type="noConversion"/>
  </si>
  <si>
    <t>Silent</t>
    <phoneticPr fontId="1" type="noConversion"/>
  </si>
  <si>
    <t>Disperse</t>
    <phoneticPr fontId="1" type="noConversion"/>
  </si>
  <si>
    <t>OffensiveDisperse</t>
    <phoneticPr fontId="1" type="noConversion"/>
  </si>
  <si>
    <t>specialEffectArgs</t>
    <phoneticPr fontId="1" type="noConversion"/>
  </si>
  <si>
    <t>`</t>
    <phoneticPr fontId="1" type="noConversion"/>
  </si>
  <si>
    <t>伤害</t>
    <phoneticPr fontId="1" type="noConversion"/>
  </si>
  <si>
    <t>string[:]</t>
    <phoneticPr fontId="1" type="noConversion"/>
  </si>
  <si>
    <t>SpecialAction</t>
    <phoneticPr fontId="1" type="noConversion"/>
  </si>
  <si>
    <t>行为模式（复制攻击、反击等）</t>
    <phoneticPr fontId="1" type="noConversion"/>
  </si>
  <si>
    <t>NormalAttack</t>
    <phoneticPr fontId="1" type="noConversion"/>
  </si>
  <si>
    <t>CopyAttack</t>
    <phoneticPr fontId="1" type="noConversion"/>
  </si>
  <si>
    <t>speciaArg</t>
    <phoneticPr fontId="1" type="noConversion"/>
  </si>
  <si>
    <t>usePower</t>
    <phoneticPr fontId="1" type="noConversion"/>
  </si>
  <si>
    <t>passiveType</t>
    <phoneticPr fontId="1" type="noConversion"/>
  </si>
  <si>
    <t>参数，根据作用类型解释成不同的作用</t>
    <phoneticPr fontId="1" type="noConversion"/>
  </si>
  <si>
    <t>Buff/Debuff:true为buff</t>
    <phoneticPr fontId="1" type="noConversion"/>
  </si>
  <si>
    <t>isBuff</t>
    <phoneticPr fontId="1" type="noConversion"/>
  </si>
  <si>
    <t>激活技能编号，这是一个一维数组，对应该技能点开启\升级的技能ID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</si>
  <si>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</si>
  <si>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</si>
  <si>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</si>
  <si>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标记：美术表现</t>
    <phoneticPr fontId="1" type="noConversion"/>
  </si>
  <si>
    <t>效果：一个状态可以有多个效果</t>
    <phoneticPr fontId="1" type="noConversion"/>
  </si>
  <si>
    <t>args</t>
    <phoneticPr fontId="1" type="noConversion"/>
  </si>
  <si>
    <t>priority</t>
    <phoneticPr fontId="1" type="noConversion"/>
  </si>
  <si>
    <t>角色需求技能点：要开启/升级该技能需要的技能点数量。该数组的长度，不大于skillids的长度，如果该长度小于skillIds，表示该角色将不能学会该技能的最高等级。注意，该值可以为负。</t>
    <phoneticPr fontId="1" type="noConversion"/>
  </si>
  <si>
    <t>characterActivate</t>
    <phoneticPr fontId="1" type="noConversion"/>
  </si>
  <si>
    <t>skillIds</t>
    <phoneticPr fontId="1" type="noConversion"/>
  </si>
  <si>
    <t>召唤距离：这是放置位置的距离，而不是攻击距离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</si>
  <si>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</si>
  <si>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</si>
  <si>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</si>
  <si>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</si>
  <si>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</si>
  <si>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</si>
  <si>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</si>
  <si>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Laser:((p_mhp-p_nhp)*2/p_mhp+1)*p_laser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</si>
  <si>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</si>
  <si>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</si>
  <si>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</si>
  <si>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</si>
  <si>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Direction</t>
  </si>
  <si>
    <t>Direction</t>
    <phoneticPr fontId="1" type="noConversion"/>
  </si>
  <si>
    <t>Line</t>
  </si>
  <si>
    <t>Line</t>
    <phoneticPr fontId="1" type="noConversion"/>
  </si>
  <si>
    <t>榴弹</t>
    <phoneticPr fontId="1" type="noConversion"/>
  </si>
  <si>
    <t>贯通射线</t>
    <phoneticPr fontId="1" type="noConversion"/>
  </si>
  <si>
    <t>目标参数(第一次分割代表目标个数，仅随机有效，第二次分割代表攻击次数与每次伤害权重)</t>
    <phoneticPr fontId="1" type="noConversion"/>
  </si>
  <si>
    <t>Laser:p_laser</t>
    <phoneticPr fontId="1" type="noConversion"/>
  </si>
  <si>
    <t>Random_2</t>
  </si>
  <si>
    <t>Random_2</t>
    <phoneticPr fontId="1" type="noConversion"/>
  </si>
  <si>
    <t>全弹齐发</t>
    <phoneticPr fontId="1" type="noConversion"/>
  </si>
  <si>
    <t>None</t>
  </si>
  <si>
    <t>None</t>
    <phoneticPr fontId="1" type="noConversion"/>
  </si>
  <si>
    <t>1;1;1|1;1;1|1;1;1</t>
    <phoneticPr fontId="1" type="noConversion"/>
  </si>
  <si>
    <t>散射</t>
    <phoneticPr fontId="1" type="noConversion"/>
  </si>
  <si>
    <t>1;1;1</t>
    <phoneticPr fontId="1" type="noConversion"/>
  </si>
  <si>
    <t>1;1|1;1|1;1|1;1|1;1</t>
    <phoneticPr fontId="1" type="noConversion"/>
  </si>
  <si>
    <t>Laser:p_laser*1.1</t>
    <phoneticPr fontId="1" type="noConversion"/>
  </si>
  <si>
    <t>汽油弹</t>
    <phoneticPr fontId="1" type="noConversion"/>
  </si>
  <si>
    <t>Cartridge:((dis+3)/4)*p_cartridge</t>
    <phoneticPr fontId="1" type="noConversion"/>
  </si>
  <si>
    <t>Cartridge:p_cartridge*0.8</t>
    <phoneticPr fontId="1" type="noConversion"/>
  </si>
  <si>
    <t>Cartridge:p_cartridge*1.3</t>
    <phoneticPr fontId="1" type="noConversion"/>
  </si>
  <si>
    <t>0~3</t>
    <phoneticPr fontId="1" type="noConversion"/>
  </si>
  <si>
    <t>炫光射线</t>
  </si>
  <si>
    <t>1;1</t>
    <phoneticPr fontId="1" type="noConversion"/>
  </si>
  <si>
    <t>Laser:p_laser*0.9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</si>
  <si>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</si>
  <si>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</si>
  <si>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</si>
  <si>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状态优先级：值越大，优先级越高</t>
    <phoneticPr fontId="1" type="noConversion"/>
  </si>
  <si>
    <t>None</t>
    <phoneticPr fontId="1" type="noConversion"/>
  </si>
  <si>
    <t>Freeze</t>
  </si>
  <si>
    <t>Freeze</t>
    <phoneticPr fontId="1" type="noConversion"/>
  </si>
  <si>
    <t>None</t>
    <phoneticPr fontId="1" type="noConversion"/>
  </si>
  <si>
    <t>AddStateToSelf</t>
    <phoneticPr fontId="1" type="noConversion"/>
  </si>
  <si>
    <t>AddStateToTarget</t>
  </si>
  <si>
    <t>AddStateToTarget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</si>
  <si>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</si>
  <si>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</si>
  <si>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</si>
  <si>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</si>
  <si>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对目标造成90%光线伤害，并使其昏迷1个单位时间</t>
    <phoneticPr fontId="1" type="noConversion"/>
  </si>
  <si>
    <t>对目标造成1~3倍光线伤害。生命值越低，伤害越高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</si>
  <si>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</si>
  <si>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</si>
  <si>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PassiveType</t>
    <phoneticPr fontId="1" type="noConversion"/>
  </si>
  <si>
    <t>PositionTransfer</t>
    <phoneticPr fontId="1" type="noConversion"/>
  </si>
  <si>
    <t>DamageStore</t>
    <phoneticPr fontId="1" type="noConversion"/>
  </si>
  <si>
    <t>1~4</t>
    <phoneticPr fontId="1" type="noConversion"/>
  </si>
  <si>
    <t>string[;]</t>
    <phoneticPr fontId="1" type="noConversion"/>
  </si>
  <si>
    <t>精神错乱</t>
    <phoneticPr fontId="1" type="noConversion"/>
  </si>
  <si>
    <t>变形</t>
    <phoneticPr fontId="1" type="noConversion"/>
  </si>
  <si>
    <t>MonsterType_iron</t>
  </si>
  <si>
    <t>MonsterType_iron</t>
    <phoneticPr fontId="1" type="noConversion"/>
  </si>
  <si>
    <t>Monster_iron</t>
  </si>
  <si>
    <t>Monster_iron</t>
    <phoneticPr fontId="1" type="noConversion"/>
  </si>
  <si>
    <t>Monster_organisms</t>
  </si>
  <si>
    <t>Monster_organisms</t>
    <phoneticPr fontId="1" type="noConversion"/>
  </si>
  <si>
    <t>t1=m_nhp;m_nhp=m_melee;m_mhp=m_melee;m_melee=t1</t>
    <phoneticPr fontId="1" type="noConversion"/>
  </si>
  <si>
    <t>Silent</t>
  </si>
  <si>
    <t>0~4</t>
    <phoneticPr fontId="1" type="noConversion"/>
  </si>
  <si>
    <t>float[;]</t>
    <phoneticPr fontId="1" type="noConversion"/>
  </si>
  <si>
    <t>propertyChange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</si>
  <si>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</si>
  <si>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</si>
  <si>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</si>
  <si>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</si>
  <si>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特效成功率：4个元素。“属性改变”与“特殊效果”都属于特效，它针对不同强度的怪物会有不同的成功率</t>
    <phoneticPr fontId="1" type="noConversion"/>
  </si>
  <si>
    <t>能耗：CopyAttack召唤物才会用到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</si>
  <si>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</si>
  <si>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</si>
  <si>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</si>
  <si>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Monster_organisms</t>
    <phoneticPr fontId="1" type="noConversion"/>
  </si>
  <si>
    <t>1;0.9;0.6;0.4</t>
    <phoneticPr fontId="1" type="noConversion"/>
  </si>
  <si>
    <t>Transfiguration</t>
  </si>
  <si>
    <t>暂时没有</t>
    <phoneticPr fontId="1" type="noConversion"/>
  </si>
  <si>
    <t>Enslave</t>
  </si>
  <si>
    <t>Disarm</t>
  </si>
  <si>
    <t>Disarm</t>
    <phoneticPr fontId="1" type="noConversion"/>
  </si>
  <si>
    <t>催眠</t>
    <phoneticPr fontId="1" type="noConversion"/>
  </si>
  <si>
    <t>Sleep</t>
    <phoneticPr fontId="1" type="noConversion"/>
  </si>
  <si>
    <t>0~3</t>
    <phoneticPr fontId="1" type="noConversion"/>
  </si>
  <si>
    <t>属性改变：这是一个四则表达式数组，请依次计算每个表达式。该过程不可逆，所以一般不会修改玩家属性（除当前生命值）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</si>
  <si>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</si>
  <si>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</si>
  <si>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</si>
  <si>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</si>
  <si>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</si>
  <si>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</si>
  <si>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</si>
  <si>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催眠一个目标10个单位时间，目标受到任何伤害会解除催眠。品质越高的怪，越不容易命中</t>
    <phoneticPr fontId="1" type="noConversion"/>
  </si>
  <si>
    <t>沉默一个目标10个单位时间，在此施加内，目标的被动技能失效。品质越高的怪，越不容易命中</t>
    <phoneticPr fontId="1" type="noConversion"/>
  </si>
  <si>
    <t>生命抽取</t>
    <phoneticPr fontId="1" type="noConversion"/>
  </si>
  <si>
    <t>对场上所有生命类怪物造成50%光线伤害，造成伤害的50%恢复自己的生命值</t>
    <phoneticPr fontId="1" type="noConversion"/>
  </si>
  <si>
    <r>
      <t>目标限制：比如某些怪物不能锁定，这是一个一维数组，表示多个限制条件。注意它是一个排除列表，即出现在此表示</t>
    </r>
    <r>
      <rPr>
        <sz val="11"/>
        <color rgb="FFFF0000"/>
        <rFont val="微软雅黑"/>
        <family val="2"/>
        <charset val="134"/>
      </rPr>
      <t>不能</t>
    </r>
    <r>
      <rPr>
        <sz val="11"/>
        <color theme="1"/>
        <rFont val="微软雅黑"/>
        <family val="2"/>
        <charset val="134"/>
      </rPr>
      <t>被技能作为目标</t>
    </r>
    <phoneticPr fontId="1" type="noConversion"/>
  </si>
  <si>
    <t>Monster_organisms</t>
    <phoneticPr fontId="1" type="noConversion"/>
  </si>
  <si>
    <t>All</t>
  </si>
  <si>
    <t>1;1;1</t>
    <phoneticPr fontId="1" type="noConversion"/>
  </si>
  <si>
    <t>0~30</t>
    <phoneticPr fontId="1" type="noConversion"/>
  </si>
  <si>
    <t>p_nhp=p_nhp+skillDamage*0.5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</si>
  <si>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</si>
  <si>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</si>
  <si>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Cartridge:p_cartridge*0.7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</si>
  <si>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</si>
  <si>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</si>
  <si>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</si>
  <si>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</si>
  <si>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</si>
  <si>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</si>
  <si>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</si>
  <si>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</si>
  <si>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</si>
  <si>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AddStateToTarget</t>
    <phoneticPr fontId="1" type="noConversion"/>
  </si>
  <si>
    <t>HalfCostReturn</t>
    <phoneticPr fontId="1" type="noConversion"/>
  </si>
  <si>
    <t>NoMonster</t>
    <phoneticPr fontId="1" type="noConversion"/>
  </si>
  <si>
    <t>None</t>
    <phoneticPr fontId="1" type="noConversion"/>
  </si>
  <si>
    <t>SpecialEffect</t>
    <phoneticPr fontId="1" type="noConversion"/>
  </si>
  <si>
    <t>Round_1</t>
  </si>
  <si>
    <t>Round_1</t>
    <phoneticPr fontId="1" type="noConversion"/>
  </si>
  <si>
    <t>Round_2</t>
  </si>
  <si>
    <t>Round_3</t>
  </si>
  <si>
    <t>EffectCondition</t>
    <phoneticPr fontId="1" type="noConversion"/>
  </si>
  <si>
    <t>OpenBlockWithNear</t>
    <phoneticPr fontId="1" type="noConversion"/>
  </si>
  <si>
    <t>Diffuse_1</t>
    <phoneticPr fontId="1" type="noConversion"/>
  </si>
  <si>
    <t>Diffuse_4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</si>
  <si>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</si>
  <si>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</si>
  <si>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</si>
  <si>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</si>
  <si>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</si>
  <si>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m_nhp=m_nhp/2;m_mhp=m_mhp/2;m_melee=m_melee/2</t>
    <phoneticPr fontId="1" type="noConversion"/>
  </si>
  <si>
    <t>m_nhp=0</t>
    <phoneticPr fontId="1" type="noConversion"/>
  </si>
  <si>
    <t>string[;]</t>
    <phoneticPr fontId="1" type="noConversion"/>
  </si>
  <si>
    <t>SpecialEffect[;]</t>
    <phoneticPr fontId="1" type="noConversion"/>
  </si>
  <si>
    <t>OpenBlockWithNear;HalfCostReturn</t>
    <phoneticPr fontId="1" type="noConversion"/>
  </si>
  <si>
    <t>HasMonster</t>
    <phoneticPr fontId="1" type="noConversion"/>
  </si>
  <si>
    <t>1;HasMonster</t>
    <phoneticPr fontId="1" type="noConversion"/>
  </si>
  <si>
    <t>特殊效果，还有一个字段是它的参数</t>
    <phoneticPr fontId="1" type="noConversion"/>
  </si>
  <si>
    <t>specialEffect</t>
    <phoneticPr fontId="1" type="noConversion"/>
  </si>
  <si>
    <t>效果参数：根据不同效果参数的意义不同。它的维度应该和specialEffect相同</t>
    <phoneticPr fontId="1" type="noConversion"/>
  </si>
  <si>
    <t>Empty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</si>
  <si>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</si>
  <si>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</si>
  <si>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0;Empty</t>
    <phoneticPr fontId="1" type="noConversion"/>
  </si>
  <si>
    <t>死亡标记</t>
  </si>
  <si>
    <t>翻开一个格子，以及它四周的格子。被翻开的位置如果有敌人，则对他们释放死亡标记。
被死亡标记的敌人死亡后，会随机杀死一个没有翻开的敌人。</t>
    <phoneticPr fontId="1" type="noConversion"/>
  </si>
  <si>
    <t>0~4</t>
    <phoneticPr fontId="1" type="noConversion"/>
  </si>
  <si>
    <t>1;1;1;1</t>
    <phoneticPr fontId="1" type="noConversion"/>
  </si>
  <si>
    <t>OpenBlockWithNear;AddStateToTarget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</si>
  <si>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</si>
  <si>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</si>
  <si>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</si>
  <si>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</si>
  <si>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StateEffect[;]</t>
    <phoneticPr fontId="1" type="noConversion"/>
  </si>
  <si>
    <t>参数：stateEffects的参数，其维度应该和stateEffects一样</t>
    <phoneticPr fontId="1" type="noConversion"/>
  </si>
  <si>
    <t>stateEffects</t>
    <phoneticPr fontId="1" type="noConversion"/>
  </si>
  <si>
    <t>1;4000005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</si>
  <si>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</si>
  <si>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</si>
  <si>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OpenBlockWithNear;TransferSelf</t>
    <phoneticPr fontId="1" type="noConversion"/>
  </si>
  <si>
    <t>TransferSelf</t>
    <phoneticPr fontId="1" type="noConversion"/>
  </si>
  <si>
    <t>TransferTarget</t>
    <phoneticPr fontId="1" type="noConversion"/>
  </si>
  <si>
    <t>TransferTarget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</si>
  <si>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</si>
  <si>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</si>
  <si>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</si>
  <si>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string[;]</t>
    <phoneticPr fontId="1" type="noConversion"/>
  </si>
  <si>
    <t>Property</t>
    <phoneticPr fontId="1" type="noConversion"/>
  </si>
  <si>
    <t>LastEnemy</t>
  </si>
  <si>
    <t>先发制人</t>
    <phoneticPr fontId="1" type="noConversion"/>
  </si>
  <si>
    <t>对刚刚翻开的敌人，攻击速度提高30%</t>
    <phoneticPr fontId="1" type="noConversion"/>
  </si>
  <si>
    <t>LastEnemy</t>
    <phoneticPr fontId="1" type="noConversion"/>
  </si>
  <si>
    <t>p_speed=p_speed*1.3</t>
    <phoneticPr fontId="1" type="noConversion"/>
  </si>
  <si>
    <t>CartridgeResist</t>
  </si>
  <si>
    <t>LaserResist</t>
  </si>
  <si>
    <t>LaserResist</t>
    <phoneticPr fontId="1" type="noConversion"/>
  </si>
  <si>
    <t>反应装甲</t>
    <phoneticPr fontId="1" type="noConversion"/>
  </si>
  <si>
    <t>一定几率免疫实弹伤害</t>
    <phoneticPr fontId="1" type="noConversion"/>
  </si>
  <si>
    <t>0.05_1</t>
    <phoneticPr fontId="1" type="noConversion"/>
  </si>
  <si>
    <t>纳米涂层</t>
    <phoneticPr fontId="1" type="noConversion"/>
  </si>
  <si>
    <t>受到光线伤害降低</t>
    <phoneticPr fontId="1" type="noConversion"/>
  </si>
  <si>
    <t>1_0.1</t>
    <phoneticPr fontId="1" type="noConversion"/>
  </si>
  <si>
    <t>LaserDeflection</t>
  </si>
  <si>
    <t>LaserDeflection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</si>
  <si>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</si>
  <si>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</si>
  <si>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</si>
  <si>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接下来的10个单位时间，受到的所有光线伤害会误导给其他敌人，但如果没有存在的敌人，偏转会失败</t>
    <phoneticPr fontId="1" type="noConversion"/>
  </si>
  <si>
    <t>Player</t>
  </si>
  <si>
    <t>0~0</t>
    <phoneticPr fontId="1" type="noConversion"/>
  </si>
  <si>
    <t>AddStateToSelf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</si>
  <si>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</si>
  <si>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</si>
  <si>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</si>
  <si>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999_2</t>
    <phoneticPr fontId="1" type="noConversion"/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</si>
  <si>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</si>
  <si>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</si>
  <si>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</si>
  <si>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</si>
  <si>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</si>
  <si>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</si>
  <si>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</si>
  <si>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</si>
  <si>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</si>
  <si>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</si>
  <si>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</si>
  <si>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接下来的10个单位时间内，你所有的远程攻击消耗时间减半</t>
    <phoneticPr fontId="1" type="noConversion"/>
  </si>
  <si>
    <t>CartridgeResist</t>
    <phoneticPr fontId="1" type="noConversion"/>
  </si>
  <si>
    <t>CartridgeBoost</t>
  </si>
  <si>
    <t>CartridgeBoost</t>
    <phoneticPr fontId="1" type="noConversion"/>
  </si>
  <si>
    <t>LaserBoost</t>
    <phoneticPr fontId="1" type="noConversion"/>
  </si>
  <si>
    <t>实弹增强</t>
    <phoneticPr fontId="1" type="noConversion"/>
  </si>
  <si>
    <t>每1单位时间，实弹伤害增加2%，直到使用实弹系技能</t>
    <phoneticPr fontId="1" type="noConversion"/>
  </si>
  <si>
    <t>0.02_5</t>
    <phoneticPr fontId="1" type="noConversion"/>
  </si>
  <si>
    <t>光线增强</t>
    <phoneticPr fontId="1" type="noConversion"/>
  </si>
  <si>
    <t>每1单位时间，实弹伤害增加2%，直到使用光线系技能</t>
    <phoneticPr fontId="1" type="noConversion"/>
  </si>
  <si>
    <t>Vjua</t>
    <phoneticPr fontId="1" type="noConversion"/>
  </si>
  <si>
    <t>Vjua</t>
    <phoneticPr fontId="1" type="noConversion"/>
  </si>
  <si>
    <t>0.2_0.5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</si>
  <si>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</si>
  <si>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</si>
  <si>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LaserEnhance</t>
    <phoneticPr fontId="1" type="noConversion"/>
  </si>
  <si>
    <t>LaserEnhance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</si>
  <si>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</si>
  <si>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</si>
  <si>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0.8_0.25</t>
    <phoneticPr fontId="1" type="noConversion"/>
  </si>
  <si>
    <t xml:space="preserve">FuelDetonation </t>
    <phoneticPr fontId="1" type="noConversion"/>
  </si>
  <si>
    <t xml:space="preserve">FuelDetonation 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</si>
  <si>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</si>
  <si>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</si>
  <si>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2_0.25</t>
    <phoneticPr fontId="1" type="noConversion"/>
  </si>
  <si>
    <t>MonsterType_iron</t>
    <phoneticPr fontId="1" type="noConversion"/>
  </si>
  <si>
    <t>IronEng</t>
    <phoneticPr fontId="1" type="noConversion"/>
  </si>
  <si>
    <t>OrganismsEng</t>
  </si>
  <si>
    <t>OrganismsEng</t>
    <phoneticPr fontId="1" type="noConversion"/>
  </si>
  <si>
    <t>IronEng</t>
    <phoneticPr fontId="1" type="noConversion"/>
  </si>
  <si>
    <t>每杀死一个机械单位，光线系伤害增加10%，使用光线系攻击后重置</t>
    <phoneticPr fontId="1" type="noConversion"/>
  </si>
  <si>
    <t>0.1_2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</si>
  <si>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</si>
  <si>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</si>
  <si>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</si>
  <si>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</si>
  <si>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 xml:space="preserve">HotPursuit 
</t>
    <phoneticPr fontId="1" type="noConversion"/>
  </si>
  <si>
    <t xml:space="preserve">HotPursuit </t>
    <phoneticPr fontId="1" type="noConversion"/>
  </si>
  <si>
    <t>场上每有1个敌人，实弹系伤害增加10%</t>
    <phoneticPr fontId="1" type="noConversion"/>
  </si>
  <si>
    <t>CleanAir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</si>
  <si>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</si>
  <si>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</si>
  <si>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</si>
  <si>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每1单位时间，恢复生命值0.5%</t>
    <phoneticPr fontId="1" type="noConversion"/>
  </si>
  <si>
    <t>灵魂修复</t>
    <phoneticPr fontId="1" type="noConversion"/>
  </si>
  <si>
    <t>TimeRepair</t>
    <phoneticPr fontId="1" type="noConversion"/>
  </si>
  <si>
    <t>TimeRepair</t>
    <phoneticPr fontId="1" type="noConversion"/>
  </si>
  <si>
    <t xml:space="preserve">SoulRepair </t>
    <phoneticPr fontId="1" type="noConversion"/>
  </si>
  <si>
    <t xml:space="preserve">SoulRepair 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</si>
  <si>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</si>
  <si>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</si>
  <si>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</si>
  <si>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</si>
  <si>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0.05_2</t>
    <phoneticPr fontId="1" type="noConversion"/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</si>
  <si>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</si>
  <si>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</si>
  <si>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</si>
  <si>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</si>
  <si>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</si>
  <si>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</si>
  <si>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</si>
  <si>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</si>
  <si>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</si>
  <si>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</si>
  <si>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</si>
  <si>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</si>
  <si>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</si>
  <si>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Laser:p_laser*0.5</t>
    <phoneticPr fontId="1" type="noConversion"/>
  </si>
  <si>
    <t>Laser:p_laser*0.8+5</t>
    <phoneticPr fontId="1" type="noConversion"/>
  </si>
  <si>
    <t>Cartridge:p_cartridge*1.5</t>
    <phoneticPr fontId="1" type="noConversion"/>
  </si>
  <si>
    <t>Cartridge:p_cartridge*0.6</t>
    <phoneticPr fontId="1" type="noConversion"/>
  </si>
  <si>
    <t>string[;]</t>
    <phoneticPr fontId="1" type="noConversion"/>
  </si>
  <si>
    <t>NormalAttack</t>
    <phoneticPr fontId="1" type="noConversion"/>
  </si>
  <si>
    <t>消耗时间，如果是怪物或者召唤物（NormalAttack）的技能，就表示CD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</si>
  <si>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</si>
  <si>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</si>
  <si>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</si>
  <si>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</si>
  <si>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Cartridge:p_cartridge*1.1</t>
    <phoneticPr fontId="1" type="noConversion"/>
  </si>
  <si>
    <t>消耗时间</t>
    <phoneticPr fontId="1" type="noConversion"/>
  </si>
  <si>
    <t>浮游B1型</t>
    <phoneticPr fontId="1" type="noConversion"/>
  </si>
  <si>
    <t>浮游B2型</t>
    <phoneticPr fontId="1" type="noConversion"/>
  </si>
  <si>
    <t>10;8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</si>
  <si>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</si>
  <si>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</si>
  <si>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25;14</t>
    <phoneticPr fontId="1" type="noConversion"/>
  </si>
  <si>
    <t>预制，浮游炮的外形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</si>
  <si>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</si>
  <si>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</si>
  <si>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</si>
  <si>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</si>
  <si>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</si>
  <si>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</si>
  <si>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</si>
  <si>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</si>
  <si>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 xml:space="preserve">行为参数： 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</si>
</sst>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FF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0" borderId="0" xfId="0" applyFont="1"/>
    <xf numFmtId="0" fontId="3" fillId="0" borderId="1" xfId="0" applyFont="1" applyBorder="1"/>
    <xf numFmtId="0" fontId="3" fillId="0" borderId="1" xfId="0" applyFont="1" applyFill="1" applyBorder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20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wrapText="1"/>
    </xf>
  </cellXfs>
  <cellStyles count="1">
    <cellStyle name="常规" xfId="0" builtinId="0"/>
  </cellStyles>
  <dxfs count="54"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11</xdr:row>
      <xdr:rowOff>47626</xdr:rowOff>
    </xdr:from>
    <xdr:to>
      <xdr:col>1</xdr:col>
      <xdr:colOff>2085975</xdr:colOff>
      <xdr:row>15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1000125" y="2038351"/>
          <a:ext cx="1924050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1</xdr:col>
      <xdr:colOff>4781550</xdr:colOff>
      <xdr:row>7</xdr:row>
      <xdr:rowOff>123825</xdr:rowOff>
    </xdr:from>
    <xdr:to>
      <xdr:col>4</xdr:col>
      <xdr:colOff>219075</xdr:colOff>
      <xdr:row>22</xdr:row>
      <xdr:rowOff>85725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5619750" y="2333625"/>
          <a:ext cx="4038600" cy="26765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104774</xdr:colOff>
      <xdr:row>9</xdr:row>
      <xdr:rowOff>133351</xdr:rowOff>
    </xdr:from>
    <xdr:to>
      <xdr:col>8</xdr:col>
      <xdr:colOff>3000374</xdr:colOff>
      <xdr:row>16</xdr:row>
      <xdr:rowOff>28575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915524" y="3076576"/>
          <a:ext cx="5153025" cy="136207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2400" b="1"/>
            <a:t>NOTICE</a:t>
          </a:r>
        </a:p>
        <a:p>
          <a:endParaRPr lang="en-US" altLang="zh-CN" sz="1100"/>
        </a:p>
        <a:p>
          <a:r>
            <a:rPr lang="en-US" altLang="zh-CN" sz="1100"/>
            <a:t>SpecialAction</a:t>
          </a:r>
          <a:r>
            <a:rPr lang="zh-CN" altLang="en-US" sz="1100"/>
            <a:t>对应多种行为模式，其不同行为，对应行为参数解释为不同内容。</a:t>
          </a:r>
          <a:endParaRPr lang="en-US" altLang="zh-CN" sz="1100"/>
        </a:p>
        <a:p>
          <a:r>
            <a:rPr lang="en-US" altLang="zh-CN" sz="1100" baseline="0"/>
            <a:t>       </a:t>
          </a:r>
          <a:r>
            <a:rPr lang="en-US" altLang="zh-CN" sz="1100"/>
            <a:t>NormalAttack---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</a:t>
          </a:r>
          <a:r>
            <a:rPr lang="zh-CN" altLang="en-US" sz="1100"/>
            <a:t>主动攻击编号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CopyAttack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能量上限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;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恢复速度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几回合恢复至上限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zh-C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21</xdr:row>
      <xdr:rowOff>76201</xdr:rowOff>
    </xdr:from>
    <xdr:to>
      <xdr:col>9</xdr:col>
      <xdr:colOff>3876675</xdr:colOff>
      <xdr:row>27</xdr:row>
      <xdr:rowOff>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22EABCE4-AD5A-4DEF-AD85-74C909276D87}"/>
            </a:ext>
          </a:extLst>
        </xdr:cNvPr>
        <xdr:cNvSpPr txBox="1"/>
      </xdr:nvSpPr>
      <xdr:spPr>
        <a:xfrm>
          <a:off x="8410575" y="4057651"/>
          <a:ext cx="3686175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需要一个参数来表示“当前造成的伤害”，以形成</a:t>
          </a:r>
          <a:r>
            <a:rPr lang="en-US" altLang="zh-CN" sz="1100"/>
            <a:t>DOT</a:t>
          </a:r>
          <a:r>
            <a:rPr lang="zh-CN" altLang="en-US" sz="1100"/>
            <a:t>状态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C5" totalsRowShown="0" headerRowDxfId="9" dataDxfId="8">
  <autoFilter ref="A3:C5"/>
  <tableColumns count="3">
    <tableColumn id="1" name="id" dataDxfId="12"/>
    <tableColumn id="2" name="skillIds" dataDxfId="11"/>
    <tableColumn id="4" name="characterActivate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Q29" totalsRowShown="0" headerRowDxfId="53" dataDxfId="52">
  <autoFilter ref="A3:Q29"/>
  <tableColumns count="17">
    <tableColumn id="1" name="id" dataDxfId="51"/>
    <tableColumn id="2" name="name" dataDxfId="50"/>
    <tableColumn id="3" name="describe" dataDxfId="49"/>
    <tableColumn id="5" name="targetType" dataDxfId="48"/>
    <tableColumn id="11" name="targetLimit" dataDxfId="47"/>
    <tableColumn id="12" name="multipleType" dataDxfId="46"/>
    <tableColumn id="13" name="targetArg" dataDxfId="45"/>
    <tableColumn id="4" name="effect_fly" dataDxfId="44"/>
    <tableColumn id="14" name="effect_hit" dataDxfId="43"/>
    <tableColumn id="6" name="carry" dataDxfId="42"/>
    <tableColumn id="9" name="damage" dataDxfId="41"/>
    <tableColumn id="7" name="successRate" dataDxfId="40"/>
    <tableColumn id="10" name="propertyChange" dataDxfId="39"/>
    <tableColumn id="17" name="specialEffect" dataDxfId="38"/>
    <tableColumn id="18" name="specialEffectArgs" dataDxfId="37"/>
    <tableColumn id="15" name="costTime" dataDxfId="36"/>
    <tableColumn id="16" name="usePower" dataDxfId="3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I8" totalsRowShown="0" headerRowDxfId="34" dataDxfId="33">
  <autoFilter ref="A3:I8"/>
  <tableColumns count="9">
    <tableColumn id="1" name="id" dataDxfId="32"/>
    <tableColumn id="2" name="name" dataDxfId="31"/>
    <tableColumn id="3" name="describe" dataDxfId="30"/>
    <tableColumn id="4" name="targetType" dataDxfId="29"/>
    <tableColumn id="10" name="carry" dataDxfId="28"/>
    <tableColumn id="6" name="prefab" dataDxfId="27"/>
    <tableColumn id="7" name="costTime" dataDxfId="7"/>
    <tableColumn id="12" name="specialAction" dataDxfId="26"/>
    <tableColumn id="13" name="speciaArg" dataDxfId="2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E24" totalsRowShown="0" headerRowDxfId="1" dataDxfId="0">
  <autoFilter ref="A3:E24"/>
  <tableColumns count="5">
    <tableColumn id="1" name="id" dataDxfId="6"/>
    <tableColumn id="2" name="name" dataDxfId="5"/>
    <tableColumn id="3" name="describe" dataDxfId="4"/>
    <tableColumn id="4" name="passiveType" dataDxfId="3"/>
    <tableColumn id="5" name="args" dataDxfId="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J11" totalsRowShown="0" headerRowDxfId="24" dataDxfId="23">
  <autoFilter ref="A3:J11"/>
  <tableColumns count="10">
    <tableColumn id="1" name="id" dataDxfId="22"/>
    <tableColumn id="2" name="name" dataDxfId="21"/>
    <tableColumn id="3" name="describe" dataDxfId="20"/>
    <tableColumn id="4" name="isBuff" dataDxfId="19"/>
    <tableColumn id="5" name="max" dataDxfId="18"/>
    <tableColumn id="6" name="time" dataDxfId="17"/>
    <tableColumn id="7" name="mark" dataDxfId="16"/>
    <tableColumn id="8" name="priority" dataDxfId="15"/>
    <tableColumn id="9" name="stateEffects" dataDxfId="14"/>
    <tableColumn id="10" name="args" dataDxfId="1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showGridLines="0" zoomScaleNormal="100" workbookViewId="0">
      <selection activeCell="B32" sqref="B32"/>
    </sheetView>
  </sheetViews>
  <sheetFormatPr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3" s="6" customFormat="1" ht="79.5" customHeight="1" x14ac:dyDescent="0.2">
      <c r="A1" s="7" t="s">
        <v>86</v>
      </c>
      <c r="B1" s="7" t="s">
        <v>147</v>
      </c>
      <c r="C1" s="7" t="s">
        <v>155</v>
      </c>
    </row>
    <row r="2" spans="1:3" ht="16.5" x14ac:dyDescent="0.2">
      <c r="A2" s="11" t="s">
        <v>88</v>
      </c>
      <c r="B2" s="11" t="s">
        <v>89</v>
      </c>
      <c r="C2" s="11" t="s">
        <v>148</v>
      </c>
    </row>
    <row r="3" spans="1:3" ht="16.5" x14ac:dyDescent="0.2">
      <c r="A3" s="13" t="s">
        <v>87</v>
      </c>
      <c r="B3" s="13" t="s">
        <v>157</v>
      </c>
      <c r="C3" s="13" t="s">
        <v>156</v>
      </c>
    </row>
    <row r="4" spans="1:3" ht="16.5" x14ac:dyDescent="0.2">
      <c r="A4" s="13">
        <v>101</v>
      </c>
      <c r="B4" s="13" t="s">
        <v>90</v>
      </c>
      <c r="C4" s="13" t="s">
        <v>150</v>
      </c>
    </row>
    <row r="5" spans="1:3" ht="16.5" x14ac:dyDescent="0.2">
      <c r="A5" s="13">
        <v>102</v>
      </c>
      <c r="B5" s="13" t="s">
        <v>91</v>
      </c>
      <c r="C5" s="13" t="s">
        <v>149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9"/>
  <sheetViews>
    <sheetView showGridLines="0" tabSelected="1" workbookViewId="0">
      <pane xSplit="2" ySplit="3" topLeftCell="L4" activePane="bottomRight" state="frozen"/>
      <selection pane="topRight" activeCell="C1" sqref="C1"/>
      <selection pane="bottomLeft" activeCell="A4" sqref="A4"/>
      <selection pane="bottomRight" activeCell="M8" sqref="M8"/>
    </sheetView>
  </sheetViews>
  <sheetFormatPr defaultRowHeight="16.5" x14ac:dyDescent="0.3"/>
  <cols>
    <col min="1" max="2" width="9.625" style="4" bestFit="1" customWidth="1"/>
    <col min="3" max="3" width="56.875" style="4" bestFit="1" customWidth="1"/>
    <col min="4" max="4" width="18.375" style="4" bestFit="1" customWidth="1"/>
    <col min="5" max="5" width="33.875" style="4" bestFit="1" customWidth="1"/>
    <col min="6" max="6" width="35.875" style="4" bestFit="1" customWidth="1"/>
    <col min="7" max="7" width="42.625" style="4" customWidth="1"/>
    <col min="8" max="8" width="44.25" style="4" bestFit="1" customWidth="1"/>
    <col min="9" max="9" width="18.375" style="4" customWidth="1"/>
    <col min="10" max="10" width="9.125" style="4" bestFit="1" customWidth="1"/>
    <col min="11" max="12" width="43.125" style="4" customWidth="1"/>
    <col min="13" max="13" width="61.25" style="4" bestFit="1" customWidth="1"/>
    <col min="14" max="14" width="37.25" style="4" bestFit="1" customWidth="1"/>
    <col min="15" max="15" width="25.75" style="4" bestFit="1" customWidth="1"/>
    <col min="16" max="16" width="23.75" style="4" customWidth="1"/>
    <col min="17" max="17" width="13.125" style="4" bestFit="1" customWidth="1"/>
    <col min="18" max="16384" width="9" style="4"/>
  </cols>
  <sheetData>
    <row r="1" spans="1:17" s="9" customFormat="1" ht="64.5" customHeight="1" x14ac:dyDescent="0.2">
      <c r="A1" s="7" t="s">
        <v>0</v>
      </c>
      <c r="B1" s="7" t="s">
        <v>3</v>
      </c>
      <c r="C1" s="7" t="s">
        <v>8</v>
      </c>
      <c r="D1" s="7" t="s">
        <v>9</v>
      </c>
      <c r="E1" s="7" t="s">
        <v>265</v>
      </c>
      <c r="F1" s="7" t="s">
        <v>36</v>
      </c>
      <c r="G1" s="7" t="s">
        <v>177</v>
      </c>
      <c r="H1" s="7" t="s">
        <v>37</v>
      </c>
      <c r="I1" s="7" t="s">
        <v>42</v>
      </c>
      <c r="J1" s="7" t="s">
        <v>81</v>
      </c>
      <c r="K1" s="7" t="s">
        <v>135</v>
      </c>
      <c r="L1" s="7" t="s">
        <v>238</v>
      </c>
      <c r="M1" s="7" t="s">
        <v>253</v>
      </c>
      <c r="N1" s="7" t="s">
        <v>308</v>
      </c>
      <c r="O1" s="7" t="s">
        <v>310</v>
      </c>
      <c r="P1" s="8" t="s">
        <v>450</v>
      </c>
      <c r="Q1" s="7" t="s">
        <v>239</v>
      </c>
    </row>
    <row r="2" spans="1:17" x14ac:dyDescent="0.3">
      <c r="A2" s="11" t="s">
        <v>1</v>
      </c>
      <c r="B2" s="11" t="s">
        <v>4</v>
      </c>
      <c r="C2" s="11" t="s">
        <v>7</v>
      </c>
      <c r="D2" s="11" t="s">
        <v>67</v>
      </c>
      <c r="E2" s="11" t="s">
        <v>69</v>
      </c>
      <c r="F2" s="11" t="s">
        <v>49</v>
      </c>
      <c r="G2" s="11" t="s">
        <v>79</v>
      </c>
      <c r="H2" s="11" t="s">
        <v>12</v>
      </c>
      <c r="I2" s="11" t="s">
        <v>12</v>
      </c>
      <c r="J2" s="11" t="s">
        <v>57</v>
      </c>
      <c r="K2" s="11" t="s">
        <v>136</v>
      </c>
      <c r="L2" s="11" t="s">
        <v>232</v>
      </c>
      <c r="M2" s="11" t="s">
        <v>220</v>
      </c>
      <c r="N2" s="11" t="s">
        <v>304</v>
      </c>
      <c r="O2" s="11" t="s">
        <v>303</v>
      </c>
      <c r="P2" s="15" t="s">
        <v>84</v>
      </c>
      <c r="Q2" s="11" t="s">
        <v>56</v>
      </c>
    </row>
    <row r="3" spans="1:17" x14ac:dyDescent="0.3">
      <c r="A3" s="13" t="s">
        <v>2</v>
      </c>
      <c r="B3" s="13" t="s">
        <v>48</v>
      </c>
      <c r="C3" s="13" t="s">
        <v>6</v>
      </c>
      <c r="D3" s="13" t="s">
        <v>65</v>
      </c>
      <c r="E3" s="13" t="s">
        <v>68</v>
      </c>
      <c r="F3" s="13" t="s">
        <v>77</v>
      </c>
      <c r="G3" s="13" t="s">
        <v>78</v>
      </c>
      <c r="H3" s="13" t="s">
        <v>80</v>
      </c>
      <c r="I3" s="13" t="s">
        <v>31</v>
      </c>
      <c r="J3" s="13" t="s">
        <v>10</v>
      </c>
      <c r="K3" s="13" t="s">
        <v>82</v>
      </c>
      <c r="L3" s="13" t="s">
        <v>234</v>
      </c>
      <c r="M3" s="13" t="s">
        <v>233</v>
      </c>
      <c r="N3" s="13" t="s">
        <v>309</v>
      </c>
      <c r="O3" s="13" t="s">
        <v>133</v>
      </c>
      <c r="P3" s="13" t="s">
        <v>83</v>
      </c>
      <c r="Q3" s="13" t="s">
        <v>142</v>
      </c>
    </row>
    <row r="4" spans="1:17" x14ac:dyDescent="0.3">
      <c r="A4" s="13">
        <v>1000001</v>
      </c>
      <c r="B4" s="13" t="s">
        <v>160</v>
      </c>
      <c r="C4" s="13" t="s">
        <v>213</v>
      </c>
      <c r="D4" s="13" t="s">
        <v>23</v>
      </c>
      <c r="E4" s="13"/>
      <c r="F4" s="13" t="s">
        <v>32</v>
      </c>
      <c r="G4" s="13" t="s">
        <v>161</v>
      </c>
      <c r="H4" s="13" t="s">
        <v>54</v>
      </c>
      <c r="I4" s="13" t="s">
        <v>13</v>
      </c>
      <c r="J4" s="13" t="s">
        <v>169</v>
      </c>
      <c r="K4" s="13" t="s">
        <v>166</v>
      </c>
      <c r="L4" s="13" t="s">
        <v>235</v>
      </c>
      <c r="M4" s="13"/>
      <c r="N4" s="13"/>
      <c r="O4" s="13"/>
      <c r="P4" s="13">
        <v>0.8</v>
      </c>
      <c r="Q4" s="13">
        <v>5</v>
      </c>
    </row>
    <row r="5" spans="1:17" x14ac:dyDescent="0.3">
      <c r="A5" s="13">
        <v>1000002</v>
      </c>
      <c r="B5" s="13" t="s">
        <v>175</v>
      </c>
      <c r="C5" s="13" t="s">
        <v>214</v>
      </c>
      <c r="D5" s="13" t="s">
        <v>23</v>
      </c>
      <c r="E5" s="13"/>
      <c r="F5" s="13" t="s">
        <v>32</v>
      </c>
      <c r="G5" s="13">
        <v>1</v>
      </c>
      <c r="H5" s="13" t="s">
        <v>53</v>
      </c>
      <c r="I5" s="13" t="s">
        <v>13</v>
      </c>
      <c r="J5" s="13" t="s">
        <v>170</v>
      </c>
      <c r="K5" s="13" t="s">
        <v>190</v>
      </c>
      <c r="L5" s="13" t="s">
        <v>235</v>
      </c>
      <c r="M5" s="13"/>
      <c r="N5" s="13"/>
      <c r="O5" s="13"/>
      <c r="P5" s="13">
        <v>0.8</v>
      </c>
      <c r="Q5" s="13">
        <v>5</v>
      </c>
    </row>
    <row r="6" spans="1:17" x14ac:dyDescent="0.3">
      <c r="A6" s="13">
        <v>1000003</v>
      </c>
      <c r="B6" s="13" t="s">
        <v>176</v>
      </c>
      <c r="C6" s="13" t="s">
        <v>208</v>
      </c>
      <c r="D6" s="13" t="s">
        <v>171</v>
      </c>
      <c r="E6" s="13"/>
      <c r="F6" s="13" t="s">
        <v>173</v>
      </c>
      <c r="G6" s="13" t="s">
        <v>186</v>
      </c>
      <c r="H6" s="13" t="s">
        <v>54</v>
      </c>
      <c r="I6" s="13" t="s">
        <v>13</v>
      </c>
      <c r="J6" s="13" t="s">
        <v>61</v>
      </c>
      <c r="K6" s="13" t="s">
        <v>188</v>
      </c>
      <c r="L6" s="13" t="s">
        <v>235</v>
      </c>
      <c r="M6" s="13"/>
      <c r="N6" s="13"/>
      <c r="O6" s="13"/>
      <c r="P6" s="13">
        <v>1.5</v>
      </c>
      <c r="Q6" s="13">
        <v>10</v>
      </c>
    </row>
    <row r="7" spans="1:17" x14ac:dyDescent="0.3">
      <c r="A7" s="13">
        <v>1000004</v>
      </c>
      <c r="B7" s="13" t="s">
        <v>181</v>
      </c>
      <c r="C7" s="13" t="s">
        <v>210</v>
      </c>
      <c r="D7" s="13" t="s">
        <v>182</v>
      </c>
      <c r="E7" s="13"/>
      <c r="F7" s="13" t="s">
        <v>179</v>
      </c>
      <c r="G7" s="13" t="s">
        <v>184</v>
      </c>
      <c r="H7" s="13" t="s">
        <v>53</v>
      </c>
      <c r="I7" s="13" t="s">
        <v>13</v>
      </c>
      <c r="J7" s="13" t="s">
        <v>61</v>
      </c>
      <c r="K7" s="13" t="s">
        <v>191</v>
      </c>
      <c r="L7" s="13" t="s">
        <v>235</v>
      </c>
      <c r="M7" s="13"/>
      <c r="N7" s="13"/>
      <c r="O7" s="13"/>
      <c r="P7" s="13">
        <v>1.5</v>
      </c>
      <c r="Q7" s="13">
        <v>13</v>
      </c>
    </row>
    <row r="8" spans="1:17" x14ac:dyDescent="0.3">
      <c r="A8" s="13">
        <v>1000005</v>
      </c>
      <c r="B8" s="13" t="s">
        <v>185</v>
      </c>
      <c r="C8" s="13" t="s">
        <v>209</v>
      </c>
      <c r="D8" s="13" t="s">
        <v>182</v>
      </c>
      <c r="E8" s="13"/>
      <c r="F8" s="13" t="s">
        <v>66</v>
      </c>
      <c r="G8" s="13" t="s">
        <v>187</v>
      </c>
      <c r="H8" s="13" t="s">
        <v>54</v>
      </c>
      <c r="I8" s="13" t="s">
        <v>13</v>
      </c>
      <c r="J8" s="13" t="s">
        <v>61</v>
      </c>
      <c r="K8" s="13" t="s">
        <v>178</v>
      </c>
      <c r="L8" s="13" t="s">
        <v>235</v>
      </c>
      <c r="M8" s="13"/>
      <c r="N8" s="13"/>
      <c r="O8" s="13"/>
      <c r="P8" s="13">
        <v>1.7</v>
      </c>
      <c r="Q8" s="13">
        <v>15</v>
      </c>
    </row>
    <row r="9" spans="1:17" x14ac:dyDescent="0.3">
      <c r="A9" s="13">
        <v>1000006</v>
      </c>
      <c r="B9" s="13" t="s">
        <v>189</v>
      </c>
      <c r="C9" s="13" t="s">
        <v>211</v>
      </c>
      <c r="D9" s="13" t="s">
        <v>23</v>
      </c>
      <c r="E9" s="13"/>
      <c r="F9" s="13" t="s">
        <v>38</v>
      </c>
      <c r="G9" s="13">
        <v>1</v>
      </c>
      <c r="H9" s="13" t="s">
        <v>53</v>
      </c>
      <c r="I9" s="13" t="s">
        <v>13</v>
      </c>
      <c r="J9" s="13" t="s">
        <v>193</v>
      </c>
      <c r="K9" s="13" t="s">
        <v>192</v>
      </c>
      <c r="L9" s="13" t="s">
        <v>235</v>
      </c>
      <c r="M9" s="13"/>
      <c r="N9" s="13"/>
      <c r="O9" s="13"/>
      <c r="P9" s="13">
        <v>1.2</v>
      </c>
      <c r="Q9" s="13">
        <v>12</v>
      </c>
    </row>
    <row r="10" spans="1:17" x14ac:dyDescent="0.3">
      <c r="A10" s="13">
        <v>1000007</v>
      </c>
      <c r="B10" s="13" t="s">
        <v>194</v>
      </c>
      <c r="C10" s="13" t="s">
        <v>212</v>
      </c>
      <c r="D10" s="13" t="s">
        <v>23</v>
      </c>
      <c r="E10" s="13"/>
      <c r="F10" s="13" t="s">
        <v>32</v>
      </c>
      <c r="G10" s="16" t="s">
        <v>195</v>
      </c>
      <c r="H10" s="13" t="s">
        <v>54</v>
      </c>
      <c r="I10" s="13" t="s">
        <v>13</v>
      </c>
      <c r="J10" s="13" t="s">
        <v>197</v>
      </c>
      <c r="K10" s="13" t="s">
        <v>196</v>
      </c>
      <c r="L10" s="13" t="s">
        <v>235</v>
      </c>
      <c r="M10" s="13"/>
      <c r="N10" s="13" t="s">
        <v>206</v>
      </c>
      <c r="O10" s="13">
        <v>4000001</v>
      </c>
      <c r="P10" s="13">
        <v>1.5</v>
      </c>
      <c r="Q10" s="13">
        <v>7</v>
      </c>
    </row>
    <row r="11" spans="1:17" x14ac:dyDescent="0.3">
      <c r="A11" s="13">
        <v>1000008</v>
      </c>
      <c r="B11" s="13" t="s">
        <v>221</v>
      </c>
      <c r="C11" s="13" t="s">
        <v>237</v>
      </c>
      <c r="D11" s="13" t="s">
        <v>23</v>
      </c>
      <c r="E11" s="13"/>
      <c r="F11" s="13" t="s">
        <v>32</v>
      </c>
      <c r="G11" s="13"/>
      <c r="H11" s="13"/>
      <c r="I11" s="13" t="s">
        <v>13</v>
      </c>
      <c r="J11" s="13" t="s">
        <v>219</v>
      </c>
      <c r="K11" s="13"/>
      <c r="L11" s="13" t="s">
        <v>236</v>
      </c>
      <c r="M11" s="13" t="s">
        <v>229</v>
      </c>
      <c r="N11" s="13"/>
      <c r="O11" s="13"/>
      <c r="P11" s="13">
        <v>0.5</v>
      </c>
      <c r="Q11" s="13">
        <v>9999</v>
      </c>
    </row>
    <row r="12" spans="1:17" x14ac:dyDescent="0.3">
      <c r="A12" s="13">
        <v>1000009</v>
      </c>
      <c r="B12" s="13" t="s">
        <v>222</v>
      </c>
      <c r="C12" s="13" t="s">
        <v>241</v>
      </c>
      <c r="D12" s="13" t="s">
        <v>227</v>
      </c>
      <c r="E12" s="13" t="s">
        <v>224</v>
      </c>
      <c r="F12" s="13" t="s">
        <v>32</v>
      </c>
      <c r="G12" s="13"/>
      <c r="H12" s="13"/>
      <c r="I12" s="13" t="s">
        <v>13</v>
      </c>
      <c r="J12" s="13" t="s">
        <v>231</v>
      </c>
      <c r="K12" s="13"/>
      <c r="L12" s="13" t="s">
        <v>236</v>
      </c>
      <c r="M12" s="13" t="s">
        <v>301</v>
      </c>
      <c r="N12" s="13" t="s">
        <v>245</v>
      </c>
      <c r="O12" s="17" t="s">
        <v>246</v>
      </c>
      <c r="P12" s="13">
        <v>0.4</v>
      </c>
      <c r="Q12" s="13">
        <v>9999</v>
      </c>
    </row>
    <row r="13" spans="1:17" x14ac:dyDescent="0.3">
      <c r="A13" s="13">
        <v>1000010</v>
      </c>
      <c r="B13" s="13" t="s">
        <v>240</v>
      </c>
      <c r="C13" s="13" t="s">
        <v>242</v>
      </c>
      <c r="D13" s="13" t="s">
        <v>225</v>
      </c>
      <c r="E13" s="13" t="s">
        <v>266</v>
      </c>
      <c r="F13" s="13" t="s">
        <v>32</v>
      </c>
      <c r="G13" s="13"/>
      <c r="H13" s="13"/>
      <c r="I13" s="13" t="s">
        <v>13</v>
      </c>
      <c r="J13" s="13" t="s">
        <v>231</v>
      </c>
      <c r="K13" s="13"/>
      <c r="L13" s="13" t="s">
        <v>244</v>
      </c>
      <c r="M13" s="13"/>
      <c r="N13" s="13" t="s">
        <v>247</v>
      </c>
      <c r="O13" s="13"/>
      <c r="P13" s="13">
        <v>0.4</v>
      </c>
      <c r="Q13" s="13">
        <v>9999</v>
      </c>
    </row>
    <row r="14" spans="1:17" x14ac:dyDescent="0.3">
      <c r="A14" s="13">
        <v>1000011</v>
      </c>
      <c r="B14" s="13" t="s">
        <v>250</v>
      </c>
      <c r="C14" s="13" t="s">
        <v>261</v>
      </c>
      <c r="D14" s="13" t="s">
        <v>23</v>
      </c>
      <c r="E14" s="13"/>
      <c r="F14" s="13" t="s">
        <v>32</v>
      </c>
      <c r="G14" s="13"/>
      <c r="H14" s="13"/>
      <c r="I14" s="13" t="s">
        <v>13</v>
      </c>
      <c r="J14" s="13" t="s">
        <v>252</v>
      </c>
      <c r="K14" s="13"/>
      <c r="L14" s="13" t="s">
        <v>259</v>
      </c>
      <c r="M14" s="13"/>
      <c r="N14" s="13" t="s">
        <v>206</v>
      </c>
      <c r="O14" s="13">
        <v>4000002</v>
      </c>
      <c r="P14" s="13">
        <v>0.2</v>
      </c>
      <c r="Q14" s="13">
        <v>9999</v>
      </c>
    </row>
    <row r="15" spans="1:17" x14ac:dyDescent="0.3">
      <c r="A15" s="13">
        <v>1000012</v>
      </c>
      <c r="B15" s="13" t="s">
        <v>255</v>
      </c>
      <c r="C15" s="13" t="s">
        <v>262</v>
      </c>
      <c r="D15" s="13" t="s">
        <v>23</v>
      </c>
      <c r="E15" s="13"/>
      <c r="F15" s="13" t="s">
        <v>32</v>
      </c>
      <c r="G15" s="13"/>
      <c r="H15" s="13"/>
      <c r="I15" s="13" t="s">
        <v>13</v>
      </c>
      <c r="J15" s="13" t="s">
        <v>258</v>
      </c>
      <c r="K15" s="13"/>
      <c r="L15" s="13" t="s">
        <v>260</v>
      </c>
      <c r="M15" s="13"/>
      <c r="N15" s="13" t="s">
        <v>206</v>
      </c>
      <c r="O15" s="13">
        <v>4000003</v>
      </c>
      <c r="P15" s="13">
        <v>0.3</v>
      </c>
      <c r="Q15" s="13">
        <v>9999</v>
      </c>
    </row>
    <row r="16" spans="1:17" x14ac:dyDescent="0.3">
      <c r="A16" s="13">
        <v>1000013</v>
      </c>
      <c r="B16" s="13" t="s">
        <v>277</v>
      </c>
      <c r="C16" s="13" t="s">
        <v>278</v>
      </c>
      <c r="D16" s="13" t="s">
        <v>182</v>
      </c>
      <c r="E16" s="13"/>
      <c r="F16" s="13" t="s">
        <v>267</v>
      </c>
      <c r="G16" s="13"/>
      <c r="H16" s="13"/>
      <c r="I16" s="13" t="s">
        <v>13</v>
      </c>
      <c r="J16" s="13" t="s">
        <v>269</v>
      </c>
      <c r="K16" s="13"/>
      <c r="L16" s="13" t="s">
        <v>279</v>
      </c>
      <c r="M16" s="13"/>
      <c r="N16" s="13" t="s">
        <v>206</v>
      </c>
      <c r="O16" s="13">
        <v>4000002</v>
      </c>
      <c r="P16" s="13">
        <v>1.5</v>
      </c>
      <c r="Q16" s="13">
        <v>9999</v>
      </c>
    </row>
    <row r="17" spans="1:17" x14ac:dyDescent="0.3">
      <c r="A17" s="13">
        <v>1000014</v>
      </c>
      <c r="B17" s="13" t="s">
        <v>263</v>
      </c>
      <c r="C17" s="13" t="s">
        <v>264</v>
      </c>
      <c r="D17" s="13" t="s">
        <v>182</v>
      </c>
      <c r="E17" s="13" t="s">
        <v>223</v>
      </c>
      <c r="F17" s="13" t="s">
        <v>267</v>
      </c>
      <c r="G17" s="13" t="s">
        <v>268</v>
      </c>
      <c r="H17" s="13" t="s">
        <v>54</v>
      </c>
      <c r="I17" s="13" t="s">
        <v>13</v>
      </c>
      <c r="J17" s="13" t="s">
        <v>269</v>
      </c>
      <c r="K17" s="13" t="s">
        <v>444</v>
      </c>
      <c r="L17" s="13" t="s">
        <v>235</v>
      </c>
      <c r="M17" s="13" t="s">
        <v>270</v>
      </c>
      <c r="N17" s="13"/>
      <c r="O17" s="13"/>
      <c r="P17" s="13">
        <v>2</v>
      </c>
      <c r="Q17" s="13">
        <v>20</v>
      </c>
    </row>
    <row r="18" spans="1:17" x14ac:dyDescent="0.3">
      <c r="A18" s="13">
        <v>1000015</v>
      </c>
      <c r="B18" s="13" t="s">
        <v>271</v>
      </c>
      <c r="C18" s="13" t="s">
        <v>272</v>
      </c>
      <c r="D18" s="13" t="s">
        <v>182</v>
      </c>
      <c r="E18" s="13" t="s">
        <v>243</v>
      </c>
      <c r="F18" s="13" t="s">
        <v>267</v>
      </c>
      <c r="G18" s="13">
        <v>1</v>
      </c>
      <c r="H18" s="13"/>
      <c r="I18" s="13" t="s">
        <v>13</v>
      </c>
      <c r="J18" s="13" t="s">
        <v>269</v>
      </c>
      <c r="K18" s="13" t="s">
        <v>273</v>
      </c>
      <c r="L18" s="13" t="s">
        <v>274</v>
      </c>
      <c r="M18" s="13"/>
      <c r="N18" s="13" t="s">
        <v>206</v>
      </c>
      <c r="O18" s="13">
        <v>4000004</v>
      </c>
      <c r="P18" s="13">
        <v>1.8</v>
      </c>
      <c r="Q18" s="13">
        <v>15</v>
      </c>
    </row>
    <row r="19" spans="1:17" x14ac:dyDescent="0.3">
      <c r="A19" s="13">
        <v>1000016</v>
      </c>
      <c r="B19" s="13" t="s">
        <v>280</v>
      </c>
      <c r="C19" s="13" t="s">
        <v>281</v>
      </c>
      <c r="D19" s="13" t="s">
        <v>23</v>
      </c>
      <c r="E19" s="13"/>
      <c r="F19" s="13" t="s">
        <v>32</v>
      </c>
      <c r="G19" s="13">
        <v>1</v>
      </c>
      <c r="H19" s="13" t="s">
        <v>53</v>
      </c>
      <c r="I19" s="13" t="s">
        <v>13</v>
      </c>
      <c r="J19" s="13" t="s">
        <v>252</v>
      </c>
      <c r="K19" s="13" t="s">
        <v>446</v>
      </c>
      <c r="L19" s="13" t="s">
        <v>282</v>
      </c>
      <c r="M19" s="13"/>
      <c r="N19" s="13" t="s">
        <v>283</v>
      </c>
      <c r="O19" s="13">
        <v>4000004</v>
      </c>
      <c r="P19" s="13">
        <v>1</v>
      </c>
      <c r="Q19" s="13">
        <v>7</v>
      </c>
    </row>
    <row r="20" spans="1:17" x14ac:dyDescent="0.3">
      <c r="A20" s="13">
        <v>1000017</v>
      </c>
      <c r="B20" s="13" t="s">
        <v>296</v>
      </c>
      <c r="C20" s="13" t="s">
        <v>297</v>
      </c>
      <c r="D20" s="13" t="s">
        <v>298</v>
      </c>
      <c r="E20" s="13"/>
      <c r="F20" s="13" t="s">
        <v>32</v>
      </c>
      <c r="G20" s="13"/>
      <c r="H20" s="13"/>
      <c r="I20" s="13" t="s">
        <v>13</v>
      </c>
      <c r="J20" s="13" t="s">
        <v>299</v>
      </c>
      <c r="K20" s="13"/>
      <c r="L20" s="13" t="s">
        <v>300</v>
      </c>
      <c r="M20" s="13" t="s">
        <v>302</v>
      </c>
      <c r="N20" s="13" t="s">
        <v>305</v>
      </c>
      <c r="O20" s="13" t="s">
        <v>307</v>
      </c>
      <c r="P20" s="13">
        <v>0.3</v>
      </c>
      <c r="Q20" s="13">
        <v>9999</v>
      </c>
    </row>
    <row r="21" spans="1:17" x14ac:dyDescent="0.3">
      <c r="A21" s="13">
        <v>1000018</v>
      </c>
      <c r="B21" s="13" t="s">
        <v>335</v>
      </c>
      <c r="C21" s="13" t="s">
        <v>312</v>
      </c>
      <c r="D21" s="13" t="s">
        <v>298</v>
      </c>
      <c r="E21" s="13"/>
      <c r="F21" s="13" t="s">
        <v>32</v>
      </c>
      <c r="G21" s="13"/>
      <c r="H21" s="13"/>
      <c r="I21" s="13" t="s">
        <v>13</v>
      </c>
      <c r="J21" s="13" t="s">
        <v>313</v>
      </c>
      <c r="K21" s="13"/>
      <c r="L21" s="13" t="s">
        <v>300</v>
      </c>
      <c r="M21" s="13"/>
      <c r="N21" s="13" t="s">
        <v>330</v>
      </c>
      <c r="O21" s="13" t="s">
        <v>314</v>
      </c>
      <c r="P21" s="13">
        <v>0.3</v>
      </c>
      <c r="Q21" s="13">
        <v>9999</v>
      </c>
    </row>
    <row r="22" spans="1:17" ht="49.5" x14ac:dyDescent="0.3">
      <c r="A22" s="13">
        <v>1000019</v>
      </c>
      <c r="B22" s="13" t="s">
        <v>315</v>
      </c>
      <c r="C22" s="9" t="s">
        <v>316</v>
      </c>
      <c r="D22" s="13" t="s">
        <v>298</v>
      </c>
      <c r="E22" s="13"/>
      <c r="F22" s="13" t="s">
        <v>288</v>
      </c>
      <c r="G22" s="13"/>
      <c r="H22" s="13"/>
      <c r="I22" s="13" t="s">
        <v>13</v>
      </c>
      <c r="J22" s="13" t="s">
        <v>317</v>
      </c>
      <c r="K22" s="13"/>
      <c r="L22" s="13" t="s">
        <v>318</v>
      </c>
      <c r="M22" s="13"/>
      <c r="N22" s="13" t="s">
        <v>319</v>
      </c>
      <c r="O22" s="13" t="s">
        <v>327</v>
      </c>
      <c r="P22" s="13">
        <v>0.5</v>
      </c>
      <c r="Q22" s="13">
        <v>9999</v>
      </c>
    </row>
    <row r="23" spans="1:17" x14ac:dyDescent="0.3">
      <c r="A23" s="13">
        <v>1000020</v>
      </c>
      <c r="B23" s="13" t="s">
        <v>334</v>
      </c>
      <c r="C23" s="13" t="s">
        <v>328</v>
      </c>
      <c r="D23" s="13" t="s">
        <v>23</v>
      </c>
      <c r="E23" s="13"/>
      <c r="F23" s="13" t="s">
        <v>32</v>
      </c>
      <c r="G23" s="13"/>
      <c r="H23" s="13"/>
      <c r="I23" s="13" t="s">
        <v>13</v>
      </c>
      <c r="J23" s="13" t="s">
        <v>329</v>
      </c>
      <c r="K23" s="13"/>
      <c r="L23" s="13" t="s">
        <v>318</v>
      </c>
      <c r="M23" s="13"/>
      <c r="N23" s="13" t="s">
        <v>333</v>
      </c>
      <c r="O23" s="13"/>
      <c r="P23" s="13">
        <v>0.5</v>
      </c>
      <c r="Q23" s="13">
        <v>9999</v>
      </c>
    </row>
    <row r="24" spans="1:17" x14ac:dyDescent="0.3">
      <c r="A24" s="13">
        <v>1000021</v>
      </c>
      <c r="B24" s="13" t="s">
        <v>357</v>
      </c>
      <c r="C24" s="13" t="s">
        <v>358</v>
      </c>
      <c r="D24" s="13" t="s">
        <v>359</v>
      </c>
      <c r="E24" s="13"/>
      <c r="F24" s="13" t="s">
        <v>32</v>
      </c>
      <c r="G24" s="13"/>
      <c r="H24" s="13"/>
      <c r="I24" s="13" t="s">
        <v>13</v>
      </c>
      <c r="J24" s="13" t="s">
        <v>360</v>
      </c>
      <c r="K24" s="13"/>
      <c r="L24" s="13"/>
      <c r="M24" s="13"/>
      <c r="N24" s="13" t="s">
        <v>361</v>
      </c>
      <c r="O24" s="13">
        <v>4000006</v>
      </c>
      <c r="P24" s="13">
        <v>0</v>
      </c>
      <c r="Q24" s="13">
        <v>9999</v>
      </c>
    </row>
    <row r="25" spans="1:17" x14ac:dyDescent="0.3">
      <c r="A25" s="13">
        <v>1000022</v>
      </c>
      <c r="B25" s="13" t="s">
        <v>367</v>
      </c>
      <c r="C25" s="13" t="s">
        <v>364</v>
      </c>
      <c r="D25" s="13" t="s">
        <v>359</v>
      </c>
      <c r="E25" s="13"/>
      <c r="F25" s="13" t="s">
        <v>32</v>
      </c>
      <c r="G25" s="13"/>
      <c r="H25" s="13"/>
      <c r="I25" s="13" t="s">
        <v>13</v>
      </c>
      <c r="J25" s="13" t="s">
        <v>368</v>
      </c>
      <c r="K25" s="13"/>
      <c r="L25" s="13"/>
      <c r="M25" s="13"/>
      <c r="N25" s="13" t="s">
        <v>361</v>
      </c>
      <c r="O25" s="13">
        <v>4000007</v>
      </c>
      <c r="P25" s="13">
        <v>0</v>
      </c>
      <c r="Q25" s="13">
        <v>9999</v>
      </c>
    </row>
    <row r="26" spans="1:17" x14ac:dyDescent="0.3">
      <c r="A26" s="13">
        <v>1000023</v>
      </c>
      <c r="B26" s="13" t="s">
        <v>376</v>
      </c>
      <c r="C26" s="13" t="s">
        <v>377</v>
      </c>
      <c r="D26" s="13" t="s">
        <v>359</v>
      </c>
      <c r="E26" s="13"/>
      <c r="F26" s="13" t="s">
        <v>32</v>
      </c>
      <c r="G26" s="13"/>
      <c r="H26" s="13"/>
      <c r="I26" s="13" t="s">
        <v>13</v>
      </c>
      <c r="J26" s="13" t="s">
        <v>368</v>
      </c>
      <c r="K26" s="13"/>
      <c r="L26" s="13"/>
      <c r="M26" s="13"/>
      <c r="N26" s="13" t="s">
        <v>361</v>
      </c>
      <c r="O26" s="13">
        <v>4000008</v>
      </c>
      <c r="P26" s="13">
        <v>0</v>
      </c>
      <c r="Q26" s="13">
        <v>9999</v>
      </c>
    </row>
    <row r="27" spans="1:17" x14ac:dyDescent="0.3">
      <c r="A27" s="13">
        <v>1010001</v>
      </c>
      <c r="B27" s="13" t="s">
        <v>452</v>
      </c>
      <c r="C27" s="13" t="s">
        <v>453</v>
      </c>
      <c r="D27" s="13" t="s">
        <v>23</v>
      </c>
      <c r="E27" s="13"/>
      <c r="F27" s="13" t="s">
        <v>32</v>
      </c>
      <c r="G27" s="13"/>
      <c r="H27" s="13" t="s">
        <v>53</v>
      </c>
      <c r="I27" s="13" t="s">
        <v>13</v>
      </c>
      <c r="J27" s="13" t="s">
        <v>454</v>
      </c>
      <c r="K27" s="13" t="s">
        <v>455</v>
      </c>
      <c r="L27" s="13" t="s">
        <v>318</v>
      </c>
      <c r="M27" s="13"/>
      <c r="N27" s="13"/>
      <c r="O27" s="13"/>
      <c r="P27" s="13">
        <v>3</v>
      </c>
      <c r="Q27" s="13">
        <v>9999</v>
      </c>
    </row>
    <row r="28" spans="1:17" x14ac:dyDescent="0.3">
      <c r="A28" s="13">
        <v>1010002</v>
      </c>
      <c r="B28" s="1" t="s">
        <v>437</v>
      </c>
      <c r="C28" s="1" t="s">
        <v>439</v>
      </c>
      <c r="D28" s="13" t="s">
        <v>23</v>
      </c>
      <c r="E28" s="13"/>
      <c r="F28" s="13" t="s">
        <v>32</v>
      </c>
      <c r="G28" s="13"/>
      <c r="H28" s="13" t="s">
        <v>54</v>
      </c>
      <c r="I28" s="13" t="s">
        <v>13</v>
      </c>
      <c r="J28" s="13" t="s">
        <v>442</v>
      </c>
      <c r="K28" s="13" t="s">
        <v>445</v>
      </c>
      <c r="L28" s="13" t="s">
        <v>318</v>
      </c>
      <c r="M28" s="13"/>
      <c r="N28" s="13"/>
      <c r="O28" s="13"/>
      <c r="P28" s="13">
        <v>3</v>
      </c>
      <c r="Q28" s="13">
        <v>9999</v>
      </c>
    </row>
    <row r="29" spans="1:17" x14ac:dyDescent="0.3">
      <c r="A29" s="13">
        <v>1010003</v>
      </c>
      <c r="B29" s="1" t="s">
        <v>438</v>
      </c>
      <c r="C29" s="1" t="s">
        <v>440</v>
      </c>
      <c r="D29" s="13" t="s">
        <v>23</v>
      </c>
      <c r="E29" s="13"/>
      <c r="F29" s="13" t="s">
        <v>66</v>
      </c>
      <c r="G29" s="13" t="s">
        <v>441</v>
      </c>
      <c r="H29" s="13" t="s">
        <v>53</v>
      </c>
      <c r="I29" s="13" t="s">
        <v>13</v>
      </c>
      <c r="J29" s="13" t="s">
        <v>443</v>
      </c>
      <c r="K29" s="13" t="s">
        <v>447</v>
      </c>
      <c r="L29" s="13" t="s">
        <v>318</v>
      </c>
      <c r="M29" s="13"/>
      <c r="N29" s="13"/>
      <c r="O29" s="13"/>
      <c r="P29" s="13">
        <v>4</v>
      </c>
      <c r="Q29" s="13">
        <v>9999</v>
      </c>
    </row>
  </sheetData>
  <phoneticPr fontId="1" type="noConversion"/>
  <dataValidations count="3">
    <dataValidation type="list" allowBlank="1" showInputMessage="1" showErrorMessage="1" sqref="N4:N19">
      <formula1>SpecialEffect</formula1>
    </dataValidation>
    <dataValidation type="list" allowBlank="1" showInputMessage="1" showErrorMessage="1" sqref="F4:F29">
      <formula1>MultipleTarget</formula1>
    </dataValidation>
    <dataValidation type="list" allowBlank="1" showInputMessage="1" showErrorMessage="1" sqref="D4:D29">
      <formula1>TargetType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13" t="s">
        <v>164</v>
      </c>
      <c r="B3" s="13" t="s">
        <v>162</v>
      </c>
      <c r="C3" s="13" t="s">
        <v>163</v>
      </c>
      <c r="D3" s="13"/>
      <c r="E3" s="13"/>
      <c r="F3" s="13"/>
      <c r="G3" s="13"/>
      <c r="H3" s="13"/>
      <c r="I3" s="13" t="s">
        <v>167</v>
      </c>
      <c r="J3" s="13" t="s">
        <v>168</v>
      </c>
      <c r="K3" s="13"/>
      <c r="L3" s="13"/>
    </row>
    <row r="4" spans="1:12" ht="16.5" x14ac:dyDescent="0.2">
      <c r="A4" s="13">
        <v>10</v>
      </c>
      <c r="B4" s="13">
        <v>100</v>
      </c>
      <c r="C4" s="13">
        <v>100</v>
      </c>
      <c r="D4" s="13"/>
      <c r="E4" s="13">
        <f>((C4-B4)*2/C4+1)*A4</f>
        <v>10</v>
      </c>
      <c r="F4" s="13" t="s">
        <v>165</v>
      </c>
      <c r="G4" s="13"/>
      <c r="H4" s="13"/>
      <c r="I4" s="13">
        <v>1</v>
      </c>
      <c r="J4" s="13">
        <v>5</v>
      </c>
      <c r="K4" s="13">
        <f>((I4-J4+8)/4)*A4</f>
        <v>10</v>
      </c>
      <c r="L4" s="13" t="s">
        <v>215</v>
      </c>
    </row>
    <row r="5" spans="1:12" ht="16.5" x14ac:dyDescent="0.2">
      <c r="A5" s="13">
        <v>10</v>
      </c>
      <c r="B5" s="13">
        <v>90</v>
      </c>
      <c r="C5" s="13">
        <v>100</v>
      </c>
      <c r="D5" s="13"/>
      <c r="E5" s="13">
        <f t="shared" ref="E5:E18" si="0">((C5-B5)*2/C5+1)*A5</f>
        <v>12</v>
      </c>
      <c r="F5" s="13"/>
      <c r="G5" s="13"/>
      <c r="H5" s="13"/>
      <c r="I5" s="13">
        <v>2</v>
      </c>
      <c r="J5" s="13">
        <v>5</v>
      </c>
      <c r="K5" s="13">
        <f t="shared" ref="K5:K8" si="1">((I5-J5+8)/4)*A5</f>
        <v>12.5</v>
      </c>
      <c r="L5" s="13"/>
    </row>
    <row r="6" spans="1:12" ht="16.5" x14ac:dyDescent="0.2">
      <c r="A6" s="13">
        <v>10</v>
      </c>
      <c r="B6" s="13">
        <v>80</v>
      </c>
      <c r="C6" s="13">
        <v>100</v>
      </c>
      <c r="D6" s="13"/>
      <c r="E6" s="13">
        <f t="shared" si="0"/>
        <v>14</v>
      </c>
      <c r="F6" s="13"/>
      <c r="G6" s="13"/>
      <c r="H6" s="13"/>
      <c r="I6" s="13">
        <v>3</v>
      </c>
      <c r="J6" s="13">
        <v>5</v>
      </c>
      <c r="K6" s="13">
        <f t="shared" si="1"/>
        <v>15</v>
      </c>
      <c r="L6" s="13"/>
    </row>
    <row r="7" spans="1:12" ht="16.5" x14ac:dyDescent="0.2">
      <c r="A7" s="13">
        <v>10</v>
      </c>
      <c r="B7" s="13">
        <v>70</v>
      </c>
      <c r="C7" s="13">
        <v>100</v>
      </c>
      <c r="D7" s="13"/>
      <c r="E7" s="13">
        <f t="shared" si="0"/>
        <v>16</v>
      </c>
      <c r="F7" s="13"/>
      <c r="G7" s="13"/>
      <c r="H7" s="13"/>
      <c r="I7" s="13">
        <v>4</v>
      </c>
      <c r="J7" s="13">
        <v>5</v>
      </c>
      <c r="K7" s="13">
        <f t="shared" si="1"/>
        <v>17.5</v>
      </c>
      <c r="L7" s="13"/>
    </row>
    <row r="8" spans="1:12" ht="16.5" x14ac:dyDescent="0.2">
      <c r="A8" s="13">
        <v>10</v>
      </c>
      <c r="B8" s="13">
        <v>60</v>
      </c>
      <c r="C8" s="13">
        <v>100</v>
      </c>
      <c r="D8" s="13"/>
      <c r="E8" s="13">
        <f t="shared" si="0"/>
        <v>18</v>
      </c>
      <c r="F8" s="13"/>
      <c r="G8" s="13"/>
      <c r="H8" s="13"/>
      <c r="I8" s="13">
        <v>5</v>
      </c>
      <c r="J8" s="13">
        <v>5</v>
      </c>
      <c r="K8" s="13">
        <f t="shared" si="1"/>
        <v>20</v>
      </c>
      <c r="L8" s="13"/>
    </row>
    <row r="9" spans="1:12" ht="16.5" x14ac:dyDescent="0.2">
      <c r="A9" s="13">
        <v>10</v>
      </c>
      <c r="B9" s="13">
        <v>50</v>
      </c>
      <c r="C9" s="13">
        <v>100</v>
      </c>
      <c r="D9" s="13"/>
      <c r="E9" s="13">
        <f t="shared" si="0"/>
        <v>20</v>
      </c>
      <c r="F9" s="13"/>
      <c r="G9" s="13"/>
      <c r="H9" s="13"/>
      <c r="I9" s="13"/>
      <c r="J9" s="13"/>
      <c r="K9" s="13"/>
      <c r="L9" s="13"/>
    </row>
    <row r="10" spans="1:12" ht="16.5" x14ac:dyDescent="0.2">
      <c r="A10" s="13">
        <v>10</v>
      </c>
      <c r="B10" s="13">
        <v>40</v>
      </c>
      <c r="C10" s="13">
        <v>100</v>
      </c>
      <c r="D10" s="13"/>
      <c r="E10" s="13">
        <f t="shared" si="0"/>
        <v>22</v>
      </c>
      <c r="F10" s="13"/>
      <c r="G10" s="13"/>
      <c r="H10" s="13"/>
      <c r="I10" s="13"/>
      <c r="J10" s="13"/>
      <c r="K10" s="13"/>
      <c r="L10" s="13"/>
    </row>
    <row r="11" spans="1:12" ht="16.5" x14ac:dyDescent="0.2">
      <c r="A11" s="13">
        <v>10</v>
      </c>
      <c r="B11" s="13">
        <v>30</v>
      </c>
      <c r="C11" s="13">
        <v>100</v>
      </c>
      <c r="D11" s="13"/>
      <c r="E11" s="13">
        <f t="shared" si="0"/>
        <v>24</v>
      </c>
      <c r="F11" s="13"/>
      <c r="G11" s="13"/>
      <c r="H11" s="13"/>
      <c r="I11" s="13"/>
      <c r="J11" s="13"/>
      <c r="K11" s="13"/>
      <c r="L11" s="13"/>
    </row>
    <row r="12" spans="1:12" ht="16.5" x14ac:dyDescent="0.2">
      <c r="A12" s="13">
        <v>10</v>
      </c>
      <c r="B12" s="13">
        <v>20</v>
      </c>
      <c r="C12" s="13">
        <v>100</v>
      </c>
      <c r="D12" s="13"/>
      <c r="E12" s="13">
        <f t="shared" si="0"/>
        <v>26</v>
      </c>
      <c r="F12" s="13"/>
      <c r="G12" s="13"/>
      <c r="H12" s="13"/>
      <c r="I12" s="13"/>
      <c r="J12" s="13"/>
      <c r="K12" s="13"/>
      <c r="L12" s="13"/>
    </row>
    <row r="13" spans="1:12" ht="16.5" x14ac:dyDescent="0.2">
      <c r="A13" s="13">
        <v>10</v>
      </c>
      <c r="B13" s="13">
        <v>10</v>
      </c>
      <c r="C13" s="13">
        <v>100</v>
      </c>
      <c r="D13" s="13"/>
      <c r="E13" s="13">
        <f t="shared" si="0"/>
        <v>28</v>
      </c>
      <c r="F13" s="13"/>
      <c r="G13" s="13"/>
      <c r="H13" s="13"/>
      <c r="I13" s="13"/>
      <c r="J13" s="13"/>
      <c r="K13" s="13"/>
      <c r="L13" s="13"/>
    </row>
    <row r="14" spans="1:12" ht="16.5" x14ac:dyDescent="0.2">
      <c r="A14" s="13">
        <v>10</v>
      </c>
      <c r="B14" s="13">
        <v>0</v>
      </c>
      <c r="C14" s="13">
        <v>100</v>
      </c>
      <c r="D14" s="13"/>
      <c r="E14" s="13">
        <f t="shared" si="0"/>
        <v>30</v>
      </c>
      <c r="F14" s="13"/>
      <c r="G14" s="13"/>
      <c r="H14" s="13"/>
      <c r="I14" s="13"/>
      <c r="J14" s="13"/>
      <c r="K14" s="13"/>
      <c r="L14" s="13"/>
    </row>
    <row r="15" spans="1:12" ht="16.5" x14ac:dyDescent="0.2">
      <c r="A15" s="13">
        <v>10</v>
      </c>
      <c r="B15" s="13"/>
      <c r="C15" s="13">
        <v>100</v>
      </c>
      <c r="D15" s="13"/>
      <c r="E15" s="13">
        <f t="shared" si="0"/>
        <v>30</v>
      </c>
      <c r="F15" s="13"/>
      <c r="G15" s="13"/>
      <c r="H15" s="13"/>
      <c r="I15" s="13"/>
      <c r="J15" s="13"/>
      <c r="K15" s="13"/>
      <c r="L15" s="13"/>
    </row>
    <row r="16" spans="1:12" ht="16.5" x14ac:dyDescent="0.2">
      <c r="A16" s="13">
        <v>10</v>
      </c>
      <c r="B16" s="13"/>
      <c r="C16" s="13">
        <v>100</v>
      </c>
      <c r="D16" s="13"/>
      <c r="E16" s="13">
        <f t="shared" si="0"/>
        <v>30</v>
      </c>
      <c r="F16" s="13"/>
      <c r="G16" s="13"/>
      <c r="H16" s="13"/>
      <c r="I16" s="13"/>
      <c r="J16" s="13"/>
      <c r="K16" s="13"/>
      <c r="L16" s="13"/>
    </row>
    <row r="17" spans="1:12" ht="16.5" x14ac:dyDescent="0.2">
      <c r="A17" s="13">
        <v>10</v>
      </c>
      <c r="B17" s="13"/>
      <c r="C17" s="13">
        <v>100</v>
      </c>
      <c r="D17" s="13"/>
      <c r="E17" s="13">
        <f t="shared" si="0"/>
        <v>30</v>
      </c>
      <c r="F17" s="13"/>
      <c r="G17" s="13"/>
      <c r="H17" s="13"/>
      <c r="I17" s="13"/>
      <c r="J17" s="13"/>
      <c r="K17" s="13"/>
      <c r="L17" s="13"/>
    </row>
    <row r="18" spans="1:12" ht="16.5" x14ac:dyDescent="0.2">
      <c r="A18" s="13">
        <v>10</v>
      </c>
      <c r="B18" s="13"/>
      <c r="C18" s="13">
        <v>100</v>
      </c>
      <c r="D18" s="13"/>
      <c r="E18" s="13">
        <f t="shared" si="0"/>
        <v>30</v>
      </c>
      <c r="F18" s="13"/>
      <c r="G18" s="13"/>
      <c r="H18" s="13"/>
      <c r="I18" s="13"/>
      <c r="J18" s="13"/>
      <c r="K18" s="13"/>
      <c r="L18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4"/>
  <sheetViews>
    <sheetView showGridLines="0" zoomScaleNormal="100" workbookViewId="0">
      <selection activeCell="G17" sqref="G17"/>
    </sheetView>
  </sheetViews>
  <sheetFormatPr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4" width="18.375" style="1" bestFit="1" customWidth="1"/>
    <col min="5" max="5" width="18.375" style="1" customWidth="1"/>
    <col min="6" max="6" width="11" style="1" customWidth="1"/>
    <col min="7" max="7" width="17.125" style="1" customWidth="1"/>
    <col min="8" max="8" width="29.625" style="1" bestFit="1" customWidth="1"/>
    <col min="9" max="9" width="44.375" style="1" customWidth="1"/>
    <col min="10" max="16384" width="9" style="1"/>
  </cols>
  <sheetData>
    <row r="1" spans="1:9" s="9" customFormat="1" ht="99.75" customHeight="1" x14ac:dyDescent="0.2">
      <c r="A1" s="7" t="s">
        <v>0</v>
      </c>
      <c r="B1" s="7" t="s">
        <v>3</v>
      </c>
      <c r="C1" s="7" t="s">
        <v>8</v>
      </c>
      <c r="D1" s="7" t="s">
        <v>105</v>
      </c>
      <c r="E1" s="7" t="s">
        <v>158</v>
      </c>
      <c r="F1" s="8" t="s">
        <v>463</v>
      </c>
      <c r="G1" s="8" t="s">
        <v>456</v>
      </c>
      <c r="H1" s="8" t="s">
        <v>138</v>
      </c>
      <c r="I1" s="8" t="s">
        <v>472</v>
      </c>
    </row>
    <row r="2" spans="1:9" x14ac:dyDescent="0.3">
      <c r="A2" s="2" t="s">
        <v>1</v>
      </c>
      <c r="B2" s="2" t="s">
        <v>4</v>
      </c>
      <c r="C2" s="2" t="s">
        <v>4</v>
      </c>
      <c r="D2" s="2" t="s">
        <v>11</v>
      </c>
      <c r="E2" s="2" t="s">
        <v>58</v>
      </c>
      <c r="F2" s="3" t="s">
        <v>17</v>
      </c>
      <c r="G2" s="3" t="s">
        <v>14</v>
      </c>
      <c r="H2" s="3" t="s">
        <v>137</v>
      </c>
      <c r="I2" s="3" t="s">
        <v>448</v>
      </c>
    </row>
    <row r="3" spans="1:9" x14ac:dyDescent="0.3">
      <c r="A3" s="1" t="s">
        <v>15</v>
      </c>
      <c r="B3" s="1" t="s">
        <v>5</v>
      </c>
      <c r="C3" s="1" t="s">
        <v>47</v>
      </c>
      <c r="D3" s="1" t="s">
        <v>106</v>
      </c>
      <c r="E3" s="1" t="s">
        <v>159</v>
      </c>
      <c r="F3" s="1" t="s">
        <v>20</v>
      </c>
      <c r="G3" s="1" t="s">
        <v>19</v>
      </c>
      <c r="H3" s="1" t="s">
        <v>451</v>
      </c>
      <c r="I3" s="1" t="s">
        <v>141</v>
      </c>
    </row>
    <row r="4" spans="1:9" x14ac:dyDescent="0.3">
      <c r="A4" s="1">
        <v>2000001</v>
      </c>
      <c r="B4" s="1" t="s">
        <v>55</v>
      </c>
      <c r="C4" s="1" t="s">
        <v>16</v>
      </c>
      <c r="D4" s="1" t="s">
        <v>33</v>
      </c>
      <c r="E4" s="1" t="s">
        <v>59</v>
      </c>
      <c r="F4" s="1" t="s">
        <v>18</v>
      </c>
      <c r="G4" s="1">
        <v>0.5</v>
      </c>
      <c r="H4" s="1" t="s">
        <v>46</v>
      </c>
      <c r="I4" s="13">
        <v>1010001</v>
      </c>
    </row>
    <row r="5" spans="1:9" x14ac:dyDescent="0.3">
      <c r="A5" s="1">
        <v>2000002</v>
      </c>
      <c r="B5" s="1" t="s">
        <v>437</v>
      </c>
      <c r="C5" s="1" t="s">
        <v>439</v>
      </c>
      <c r="D5" s="1" t="s">
        <v>50</v>
      </c>
      <c r="E5" s="1" t="s">
        <v>60</v>
      </c>
      <c r="F5" s="1" t="s">
        <v>51</v>
      </c>
      <c r="G5" s="1">
        <v>0</v>
      </c>
      <c r="H5" s="1" t="s">
        <v>449</v>
      </c>
      <c r="I5" s="13">
        <v>1010002</v>
      </c>
    </row>
    <row r="6" spans="1:9" x14ac:dyDescent="0.3">
      <c r="A6" s="1">
        <v>2000003</v>
      </c>
      <c r="B6" s="1" t="s">
        <v>438</v>
      </c>
      <c r="C6" s="1" t="s">
        <v>440</v>
      </c>
      <c r="D6" s="1" t="s">
        <v>50</v>
      </c>
      <c r="E6" s="1" t="s">
        <v>60</v>
      </c>
      <c r="F6" s="1" t="s">
        <v>51</v>
      </c>
      <c r="G6" s="1">
        <v>0</v>
      </c>
      <c r="H6" s="1" t="s">
        <v>449</v>
      </c>
      <c r="I6" s="13">
        <v>1010003</v>
      </c>
    </row>
    <row r="7" spans="1:9" x14ac:dyDescent="0.3">
      <c r="A7" s="1">
        <v>2000004</v>
      </c>
      <c r="B7" s="1" t="s">
        <v>457</v>
      </c>
      <c r="C7" s="1" t="s">
        <v>461</v>
      </c>
      <c r="D7" s="1" t="s">
        <v>43</v>
      </c>
      <c r="E7" s="1" t="s">
        <v>60</v>
      </c>
      <c r="F7" s="1" t="s">
        <v>52</v>
      </c>
      <c r="G7" s="1">
        <v>0</v>
      </c>
      <c r="H7" s="1" t="s">
        <v>436</v>
      </c>
      <c r="I7" s="4" t="s">
        <v>462</v>
      </c>
    </row>
    <row r="8" spans="1:9" x14ac:dyDescent="0.3">
      <c r="A8" s="1">
        <v>2000005</v>
      </c>
      <c r="B8" s="1" t="s">
        <v>458</v>
      </c>
      <c r="C8" s="1" t="s">
        <v>460</v>
      </c>
      <c r="D8" s="1" t="s">
        <v>43</v>
      </c>
      <c r="E8" s="1" t="s">
        <v>60</v>
      </c>
      <c r="F8" s="1" t="s">
        <v>52</v>
      </c>
      <c r="G8" s="1">
        <v>0</v>
      </c>
      <c r="H8" s="1" t="s">
        <v>436</v>
      </c>
      <c r="I8" s="4" t="s">
        <v>459</v>
      </c>
    </row>
    <row r="14" spans="1:9" x14ac:dyDescent="0.3">
      <c r="F14" s="1" t="s">
        <v>134</v>
      </c>
    </row>
  </sheetData>
  <phoneticPr fontId="1" type="noConversion"/>
  <dataValidations count="2">
    <dataValidation type="list" allowBlank="1" showInputMessage="1" showErrorMessage="1" sqref="D4:D8">
      <formula1>TargetType</formula1>
    </dataValidation>
    <dataValidation type="list" allowBlank="1" showInputMessage="1" showErrorMessage="1" sqref="H4:H8">
      <formula1>SpecialAction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4"/>
  <sheetViews>
    <sheetView showGridLines="0" workbookViewId="0">
      <selection activeCell="I13" sqref="I13"/>
    </sheetView>
  </sheetViews>
  <sheetFormatPr defaultRowHeight="14.25" x14ac:dyDescent="0.2"/>
  <cols>
    <col min="1" max="1" width="9.625" style="5" bestFit="1" customWidth="1"/>
    <col min="2" max="2" width="11.875" style="5" customWidth="1"/>
    <col min="3" max="3" width="58.875" style="5" bestFit="1" customWidth="1"/>
    <col min="4" max="4" width="16.25" style="5" customWidth="1"/>
    <col min="5" max="5" width="23.5" style="5" bestFit="1" customWidth="1"/>
    <col min="6" max="15" width="9" style="5"/>
    <col min="16" max="16" width="32.125" style="5" customWidth="1"/>
    <col min="17" max="16384" width="9" style="5"/>
  </cols>
  <sheetData>
    <row r="1" spans="1:16" s="6" customFormat="1" ht="60" customHeight="1" x14ac:dyDescent="0.2">
      <c r="A1" s="7" t="s">
        <v>92</v>
      </c>
      <c r="B1" s="7" t="s">
        <v>95</v>
      </c>
      <c r="C1" s="7" t="s">
        <v>96</v>
      </c>
      <c r="D1" s="7" t="s">
        <v>97</v>
      </c>
      <c r="E1" s="7" t="s">
        <v>144</v>
      </c>
      <c r="F1" s="9"/>
      <c r="G1" s="9"/>
      <c r="H1" s="9"/>
      <c r="I1" s="9"/>
      <c r="J1" s="9"/>
      <c r="K1" s="9"/>
      <c r="L1" s="9"/>
      <c r="M1" s="9"/>
      <c r="N1" s="9"/>
      <c r="O1" s="9"/>
      <c r="P1" s="9" t="str">
        <f>枚举参数!P1</f>
        <v>PassiveType</v>
      </c>
    </row>
    <row r="2" spans="1:16" ht="16.5" x14ac:dyDescent="0.2">
      <c r="A2" s="11" t="s">
        <v>93</v>
      </c>
      <c r="B2" s="11" t="s">
        <v>98</v>
      </c>
      <c r="C2" s="11" t="s">
        <v>98</v>
      </c>
      <c r="D2" s="11" t="s">
        <v>336</v>
      </c>
      <c r="E2" s="11" t="s">
        <v>337</v>
      </c>
      <c r="F2" s="13"/>
      <c r="G2" s="13"/>
      <c r="H2" s="13"/>
      <c r="I2" s="13"/>
      <c r="J2" s="13"/>
      <c r="K2" s="13"/>
      <c r="L2" s="13"/>
      <c r="M2" s="13"/>
      <c r="N2" s="13"/>
      <c r="O2" s="13"/>
      <c r="P2" s="9" t="str">
        <f>枚举参数!P2</f>
        <v>Property</v>
      </c>
    </row>
    <row r="3" spans="1:16" ht="16.5" x14ac:dyDescent="0.2">
      <c r="A3" s="13" t="s">
        <v>94</v>
      </c>
      <c r="B3" s="13" t="s">
        <v>99</v>
      </c>
      <c r="C3" s="13" t="s">
        <v>118</v>
      </c>
      <c r="D3" s="13" t="s">
        <v>143</v>
      </c>
      <c r="E3" s="13" t="s">
        <v>100</v>
      </c>
      <c r="F3" s="13"/>
      <c r="G3" s="13"/>
      <c r="H3" s="13"/>
      <c r="I3" s="13"/>
      <c r="J3" s="13"/>
      <c r="K3" s="13"/>
      <c r="L3" s="13"/>
      <c r="M3" s="13"/>
      <c r="N3" s="13"/>
      <c r="O3" s="13"/>
      <c r="P3" s="9" t="str">
        <f>枚举参数!P3</f>
        <v>LastEnemy</v>
      </c>
    </row>
    <row r="4" spans="1:16" ht="16.5" x14ac:dyDescent="0.2">
      <c r="A4" s="13">
        <v>3000001</v>
      </c>
      <c r="B4" s="13" t="s">
        <v>340</v>
      </c>
      <c r="C4" s="13" t="s">
        <v>341</v>
      </c>
      <c r="D4" s="13" t="s">
        <v>339</v>
      </c>
      <c r="E4" s="13" t="s">
        <v>343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9" t="str">
        <f>枚举参数!P4</f>
        <v>CartridgeResist</v>
      </c>
    </row>
    <row r="5" spans="1:16" ht="16.5" x14ac:dyDescent="0.2">
      <c r="A5" s="13">
        <v>3000002</v>
      </c>
      <c r="B5" s="13" t="s">
        <v>347</v>
      </c>
      <c r="C5" s="13" t="s">
        <v>348</v>
      </c>
      <c r="D5" s="13" t="s">
        <v>344</v>
      </c>
      <c r="E5" s="13" t="s">
        <v>349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9" t="str">
        <f>枚举参数!P5</f>
        <v>LaserResist</v>
      </c>
    </row>
    <row r="6" spans="1:16" ht="16.5" x14ac:dyDescent="0.2">
      <c r="A6" s="13">
        <v>3000003</v>
      </c>
      <c r="B6" s="13" t="s">
        <v>350</v>
      </c>
      <c r="C6" s="13" t="s">
        <v>351</v>
      </c>
      <c r="D6" s="13" t="s">
        <v>345</v>
      </c>
      <c r="E6" s="13" t="s">
        <v>352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9" t="str">
        <f>枚举参数!P6</f>
        <v>Assault</v>
      </c>
    </row>
    <row r="7" spans="1:16" ht="16.5" x14ac:dyDescent="0.2">
      <c r="A7" s="13">
        <v>3000004</v>
      </c>
      <c r="B7" s="13" t="s">
        <v>370</v>
      </c>
      <c r="C7" s="13" t="s">
        <v>371</v>
      </c>
      <c r="D7" s="13" t="s">
        <v>369</v>
      </c>
      <c r="E7" s="13">
        <v>0.05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9" t="str">
        <f>枚举参数!P7</f>
        <v>CartridgeBoost</v>
      </c>
    </row>
    <row r="8" spans="1:16" ht="16.5" x14ac:dyDescent="0.2">
      <c r="A8" s="13">
        <v>3000005</v>
      </c>
      <c r="B8" s="13" t="s">
        <v>382</v>
      </c>
      <c r="C8" s="13" t="s">
        <v>383</v>
      </c>
      <c r="D8" s="13" t="s">
        <v>379</v>
      </c>
      <c r="E8" s="13" t="s">
        <v>384</v>
      </c>
      <c r="F8" s="13"/>
      <c r="G8" s="13"/>
      <c r="H8" s="13"/>
      <c r="I8" s="13"/>
      <c r="J8" s="13"/>
      <c r="K8" s="13"/>
      <c r="L8" s="13"/>
      <c r="M8" s="13"/>
      <c r="N8" s="13"/>
      <c r="O8" s="13"/>
      <c r="P8" s="9" t="str">
        <f>枚举参数!P8</f>
        <v>LaserBoost</v>
      </c>
    </row>
    <row r="9" spans="1:16" ht="16.5" x14ac:dyDescent="0.2">
      <c r="A9" s="13">
        <v>3000006</v>
      </c>
      <c r="B9" s="13" t="s">
        <v>385</v>
      </c>
      <c r="C9" s="13" t="s">
        <v>386</v>
      </c>
      <c r="D9" s="13" t="s">
        <v>381</v>
      </c>
      <c r="E9" s="13" t="s">
        <v>384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9" t="str">
        <f>枚举参数!P9</f>
        <v>Vjua</v>
      </c>
    </row>
    <row r="10" spans="1:16" ht="16.5" x14ac:dyDescent="0.2">
      <c r="A10" s="13">
        <v>3000007</v>
      </c>
      <c r="B10" s="13" t="s">
        <v>390</v>
      </c>
      <c r="C10" s="13" t="s">
        <v>391</v>
      </c>
      <c r="D10" s="13" t="s">
        <v>388</v>
      </c>
      <c r="E10" s="13" t="s">
        <v>389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9" t="str">
        <f>枚举参数!P10</f>
        <v>LaserEnhance</v>
      </c>
    </row>
    <row r="11" spans="1:16" ht="16.5" x14ac:dyDescent="0.2">
      <c r="A11" s="13">
        <v>3000008</v>
      </c>
      <c r="B11" s="13" t="s">
        <v>394</v>
      </c>
      <c r="C11" s="13" t="s">
        <v>395</v>
      </c>
      <c r="D11" s="13" t="s">
        <v>393</v>
      </c>
      <c r="E11" s="13" t="s">
        <v>396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9" t="str">
        <f>枚举参数!P11</f>
        <v xml:space="preserve">FuelDetonation </v>
      </c>
    </row>
    <row r="12" spans="1:16" ht="16.5" x14ac:dyDescent="0.2">
      <c r="A12" s="13">
        <v>3000009</v>
      </c>
      <c r="B12" s="13" t="s">
        <v>400</v>
      </c>
      <c r="C12" s="13" t="s">
        <v>399</v>
      </c>
      <c r="D12" s="13" t="s">
        <v>397</v>
      </c>
      <c r="E12" s="13" t="s">
        <v>401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9" t="str">
        <f>枚举参数!P12</f>
        <v>IronEng</v>
      </c>
    </row>
    <row r="13" spans="1:16" ht="16.5" x14ac:dyDescent="0.2">
      <c r="A13" s="13">
        <v>3000010</v>
      </c>
      <c r="B13" s="13" t="s">
        <v>409</v>
      </c>
      <c r="C13" s="13" t="s">
        <v>407</v>
      </c>
      <c r="D13" s="13" t="s">
        <v>406</v>
      </c>
      <c r="E13" s="13" t="s">
        <v>408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9" t="str">
        <f>枚举参数!P13</f>
        <v>OrganismsEng</v>
      </c>
    </row>
    <row r="14" spans="1:16" ht="33" x14ac:dyDescent="0.2">
      <c r="A14" s="13">
        <v>3000011</v>
      </c>
      <c r="B14" s="13" t="s">
        <v>410</v>
      </c>
      <c r="C14" s="13" t="s">
        <v>411</v>
      </c>
      <c r="D14" s="13" t="s">
        <v>404</v>
      </c>
      <c r="E14" s="13" t="s">
        <v>408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9" t="str">
        <f>枚举参数!P14</f>
        <v xml:space="preserve">HotPursuit 
</v>
      </c>
    </row>
    <row r="15" spans="1:16" ht="16.5" x14ac:dyDescent="0.2">
      <c r="A15" s="13">
        <v>3000012</v>
      </c>
      <c r="B15" s="13" t="s">
        <v>412</v>
      </c>
      <c r="C15" s="13" t="s">
        <v>415</v>
      </c>
      <c r="D15" s="13" t="s">
        <v>414</v>
      </c>
      <c r="E15" s="13">
        <v>0.1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9" t="str">
        <f>枚举参数!P15</f>
        <v>CleanAir</v>
      </c>
    </row>
    <row r="16" spans="1:16" ht="16.5" x14ac:dyDescent="0.2">
      <c r="A16" s="13">
        <v>3000013</v>
      </c>
      <c r="B16" s="13" t="s">
        <v>417</v>
      </c>
      <c r="C16" s="13" t="s">
        <v>418</v>
      </c>
      <c r="D16" s="13" t="s">
        <v>416</v>
      </c>
      <c r="E16" s="13">
        <v>0.02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9" t="str">
        <f>枚举参数!P16</f>
        <v>TimeRepair</v>
      </c>
    </row>
    <row r="17" spans="1:16" ht="16.5" x14ac:dyDescent="0.2">
      <c r="A17" s="13">
        <v>3000014</v>
      </c>
      <c r="B17" s="13" t="s">
        <v>419</v>
      </c>
      <c r="C17" s="13" t="s">
        <v>420</v>
      </c>
      <c r="D17" s="13" t="s">
        <v>423</v>
      </c>
      <c r="E17" s="13">
        <v>5.0000000000000001E-3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9" t="str">
        <f>枚举参数!P17</f>
        <v xml:space="preserve">SoulRepair </v>
      </c>
    </row>
    <row r="18" spans="1:16" ht="16.5" x14ac:dyDescent="0.2">
      <c r="A18" s="13">
        <v>3000015</v>
      </c>
      <c r="B18" s="13" t="s">
        <v>421</v>
      </c>
      <c r="C18" s="13" t="s">
        <v>426</v>
      </c>
      <c r="D18" s="13" t="s">
        <v>425</v>
      </c>
      <c r="E18" s="13">
        <v>0.02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9" t="str">
        <f>枚举参数!P18</f>
        <v>Bang</v>
      </c>
    </row>
    <row r="19" spans="1:16" ht="16.5" x14ac:dyDescent="0.2">
      <c r="A19" s="13">
        <v>3000016</v>
      </c>
      <c r="B19" s="13" t="s">
        <v>431</v>
      </c>
      <c r="C19" s="13" t="s">
        <v>429</v>
      </c>
      <c r="D19" s="13" t="s">
        <v>428</v>
      </c>
      <c r="E19" s="13" t="s">
        <v>430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9" t="str">
        <f>枚举参数!P19</f>
        <v>Critical</v>
      </c>
    </row>
    <row r="20" spans="1:16" ht="16.5" x14ac:dyDescent="0.2">
      <c r="A20" s="13">
        <v>3000017</v>
      </c>
      <c r="B20" s="13" t="s">
        <v>432</v>
      </c>
      <c r="C20" s="13" t="s">
        <v>435</v>
      </c>
      <c r="D20" s="13" t="s">
        <v>434</v>
      </c>
      <c r="E20" s="13" t="s">
        <v>408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9" t="str">
        <f>枚举参数!P20</f>
        <v>Summon</v>
      </c>
    </row>
    <row r="21" spans="1:16" ht="16.5" x14ac:dyDescent="0.3">
      <c r="A21" s="13">
        <v>3000018</v>
      </c>
      <c r="B21" s="1" t="s">
        <v>437</v>
      </c>
      <c r="C21" s="13" t="s">
        <v>466</v>
      </c>
      <c r="D21" s="9" t="s">
        <v>464</v>
      </c>
      <c r="E21" s="13">
        <v>1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9" t="str">
        <f>枚举参数!P21</f>
        <v>WarningRadar</v>
      </c>
    </row>
    <row r="22" spans="1:16" ht="16.5" x14ac:dyDescent="0.3">
      <c r="A22" s="13">
        <v>3000019</v>
      </c>
      <c r="B22" s="1" t="s">
        <v>438</v>
      </c>
      <c r="C22" s="13" t="s">
        <v>467</v>
      </c>
      <c r="D22" s="9" t="s">
        <v>464</v>
      </c>
      <c r="E22" s="13">
        <v>1</v>
      </c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9" t="str">
        <f>枚举参数!P22</f>
        <v>TreasureRadar</v>
      </c>
    </row>
    <row r="23" spans="1:16" ht="16.5" x14ac:dyDescent="0.3">
      <c r="A23" s="13">
        <v>3000020</v>
      </c>
      <c r="B23" s="1" t="s">
        <v>457</v>
      </c>
      <c r="C23" s="13" t="s">
        <v>468</v>
      </c>
      <c r="D23" s="9" t="s">
        <v>464</v>
      </c>
      <c r="E23" s="13">
        <v>1</v>
      </c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9">
        <f>枚举参数!P23</f>
        <v>0</v>
      </c>
    </row>
    <row r="24" spans="1:16" ht="16.5" x14ac:dyDescent="0.3">
      <c r="A24" s="13">
        <v>3000021</v>
      </c>
      <c r="B24" s="1" t="s">
        <v>458</v>
      </c>
      <c r="C24" s="13" t="s">
        <v>469</v>
      </c>
      <c r="D24" s="9" t="s">
        <v>464</v>
      </c>
      <c r="E24" s="13">
        <v>1</v>
      </c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9">
        <f>枚举参数!P24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1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2" sqref="C22"/>
    </sheetView>
  </sheetViews>
  <sheetFormatPr defaultRowHeight="14.25" x14ac:dyDescent="0.2"/>
  <cols>
    <col min="1" max="1" width="9.625" bestFit="1" customWidth="1"/>
    <col min="2" max="2" width="8.25" bestFit="1" customWidth="1"/>
    <col min="3" max="3" width="71.5" bestFit="1" customWidth="1"/>
    <col min="4" max="4" width="20.375" bestFit="1" customWidth="1"/>
    <col min="5" max="6" width="9.125" bestFit="1" customWidth="1"/>
    <col min="7" max="7" width="15.125" bestFit="1" customWidth="1"/>
    <col min="8" max="8" width="11.125" bestFit="1" customWidth="1"/>
    <col min="9" max="9" width="29.625" bestFit="1" customWidth="1"/>
    <col min="10" max="10" width="74.75" customWidth="1"/>
  </cols>
  <sheetData>
    <row r="1" spans="1:10" s="6" customFormat="1" ht="68.25" customHeight="1" x14ac:dyDescent="0.2">
      <c r="A1" s="7" t="s">
        <v>0</v>
      </c>
      <c r="B1" s="7" t="s">
        <v>115</v>
      </c>
      <c r="C1" s="7" t="s">
        <v>8</v>
      </c>
      <c r="D1" s="7" t="s">
        <v>145</v>
      </c>
      <c r="E1" s="7" t="s">
        <v>116</v>
      </c>
      <c r="F1" s="7" t="s">
        <v>112</v>
      </c>
      <c r="G1" s="7" t="s">
        <v>151</v>
      </c>
      <c r="H1" s="7" t="s">
        <v>200</v>
      </c>
      <c r="I1" s="7" t="s">
        <v>152</v>
      </c>
      <c r="J1" s="7" t="s">
        <v>325</v>
      </c>
    </row>
    <row r="2" spans="1:10" ht="16.5" x14ac:dyDescent="0.2">
      <c r="A2" s="11" t="s">
        <v>85</v>
      </c>
      <c r="B2" s="11" t="s">
        <v>98</v>
      </c>
      <c r="C2" s="11" t="s">
        <v>98</v>
      </c>
      <c r="D2" s="11" t="s">
        <v>120</v>
      </c>
      <c r="E2" s="11" t="s">
        <v>121</v>
      </c>
      <c r="F2" s="11" t="s">
        <v>113</v>
      </c>
      <c r="G2" s="11" t="s">
        <v>4</v>
      </c>
      <c r="H2" s="11" t="s">
        <v>117</v>
      </c>
      <c r="I2" s="11" t="s">
        <v>324</v>
      </c>
      <c r="J2" s="11" t="s">
        <v>303</v>
      </c>
    </row>
    <row r="3" spans="1:10" ht="16.5" x14ac:dyDescent="0.2">
      <c r="A3" s="13" t="s">
        <v>94</v>
      </c>
      <c r="B3" s="13" t="s">
        <v>5</v>
      </c>
      <c r="C3" s="13" t="s">
        <v>119</v>
      </c>
      <c r="D3" s="13" t="s">
        <v>146</v>
      </c>
      <c r="E3" s="13" t="s">
        <v>122</v>
      </c>
      <c r="F3" s="13" t="s">
        <v>114</v>
      </c>
      <c r="G3" s="13" t="s">
        <v>123</v>
      </c>
      <c r="H3" s="13" t="s">
        <v>154</v>
      </c>
      <c r="I3" s="13" t="s">
        <v>326</v>
      </c>
      <c r="J3" s="13" t="s">
        <v>153</v>
      </c>
    </row>
    <row r="4" spans="1:10" ht="16.5" x14ac:dyDescent="0.2">
      <c r="A4" s="13">
        <v>4000001</v>
      </c>
      <c r="B4" s="13" t="s">
        <v>198</v>
      </c>
      <c r="C4" s="13" t="s">
        <v>199</v>
      </c>
      <c r="D4" s="13" t="b">
        <v>0</v>
      </c>
      <c r="E4" s="13">
        <v>1</v>
      </c>
      <c r="F4" s="13">
        <v>1</v>
      </c>
      <c r="G4" s="13"/>
      <c r="H4" s="13">
        <v>1</v>
      </c>
      <c r="I4" s="13" t="s">
        <v>202</v>
      </c>
      <c r="J4" s="13"/>
    </row>
    <row r="5" spans="1:10" ht="16.5" x14ac:dyDescent="0.2">
      <c r="A5" s="13">
        <v>4000002</v>
      </c>
      <c r="B5" s="13" t="s">
        <v>250</v>
      </c>
      <c r="C5" s="13" t="s">
        <v>254</v>
      </c>
      <c r="D5" s="13" t="b">
        <v>0</v>
      </c>
      <c r="E5" s="13">
        <v>1</v>
      </c>
      <c r="F5" s="13">
        <v>10</v>
      </c>
      <c r="G5" s="13"/>
      <c r="H5" s="13">
        <v>1</v>
      </c>
      <c r="I5" s="13" t="s">
        <v>230</v>
      </c>
      <c r="J5" s="13"/>
    </row>
    <row r="6" spans="1:10" ht="16.5" x14ac:dyDescent="0.2">
      <c r="A6" s="13">
        <v>4000003</v>
      </c>
      <c r="B6" s="13" t="s">
        <v>256</v>
      </c>
      <c r="C6" s="13" t="s">
        <v>257</v>
      </c>
      <c r="D6" s="13" t="b">
        <v>0</v>
      </c>
      <c r="E6" s="13">
        <v>1</v>
      </c>
      <c r="F6" s="13">
        <v>10</v>
      </c>
      <c r="G6" s="13"/>
      <c r="H6" s="13">
        <v>1</v>
      </c>
      <c r="I6" s="13" t="s">
        <v>230</v>
      </c>
      <c r="J6" s="13"/>
    </row>
    <row r="7" spans="1:10" ht="16.5" x14ac:dyDescent="0.2">
      <c r="A7" s="13">
        <v>4000004</v>
      </c>
      <c r="B7" s="13" t="s">
        <v>275</v>
      </c>
      <c r="C7" s="13" t="s">
        <v>276</v>
      </c>
      <c r="D7" s="13" t="b">
        <v>0</v>
      </c>
      <c r="E7" s="13">
        <v>1</v>
      </c>
      <c r="F7" s="13">
        <v>10</v>
      </c>
      <c r="G7" s="13"/>
      <c r="H7" s="13">
        <v>1</v>
      </c>
      <c r="I7" s="13" t="s">
        <v>248</v>
      </c>
      <c r="J7" s="13"/>
    </row>
    <row r="8" spans="1:10" ht="16.5" x14ac:dyDescent="0.2">
      <c r="A8" s="13">
        <v>4000005</v>
      </c>
      <c r="B8" s="13" t="s">
        <v>320</v>
      </c>
      <c r="C8" s="13" t="s">
        <v>321</v>
      </c>
      <c r="D8" s="13" t="b">
        <v>0</v>
      </c>
      <c r="E8" s="13">
        <v>1</v>
      </c>
      <c r="F8" s="13">
        <v>99</v>
      </c>
      <c r="G8" s="13"/>
      <c r="H8" s="13">
        <v>1</v>
      </c>
      <c r="I8" s="13" t="s">
        <v>322</v>
      </c>
      <c r="J8" s="13">
        <v>1</v>
      </c>
    </row>
    <row r="9" spans="1:10" ht="16.5" x14ac:dyDescent="0.2">
      <c r="A9" s="13">
        <v>4000006</v>
      </c>
      <c r="B9" s="13" t="s">
        <v>355</v>
      </c>
      <c r="C9" s="13" t="s">
        <v>356</v>
      </c>
      <c r="D9" s="13" t="b">
        <v>1</v>
      </c>
      <c r="E9" s="13">
        <v>1</v>
      </c>
      <c r="F9" s="13">
        <v>10</v>
      </c>
      <c r="G9" s="13"/>
      <c r="H9" s="13">
        <v>1</v>
      </c>
      <c r="I9" s="13" t="s">
        <v>353</v>
      </c>
      <c r="J9" s="13">
        <v>4</v>
      </c>
    </row>
    <row r="10" spans="1:10" ht="16.5" x14ac:dyDescent="0.2">
      <c r="A10" s="13">
        <v>4000007</v>
      </c>
      <c r="B10" s="13" t="s">
        <v>363</v>
      </c>
      <c r="C10" s="13" t="s">
        <v>366</v>
      </c>
      <c r="D10" s="13" t="b">
        <v>1</v>
      </c>
      <c r="E10" s="13">
        <v>1</v>
      </c>
      <c r="F10" s="13">
        <v>10</v>
      </c>
      <c r="G10" s="13"/>
      <c r="H10" s="13">
        <v>1</v>
      </c>
      <c r="I10" s="13" t="s">
        <v>362</v>
      </c>
      <c r="J10" s="13" t="s">
        <v>365</v>
      </c>
    </row>
    <row r="11" spans="1:10" ht="16.5" x14ac:dyDescent="0.2">
      <c r="A11" s="13">
        <v>4000008</v>
      </c>
      <c r="B11" s="13" t="s">
        <v>374</v>
      </c>
      <c r="C11" s="13" t="s">
        <v>375</v>
      </c>
      <c r="D11" s="13" t="b">
        <v>1</v>
      </c>
      <c r="E11" s="13">
        <v>1</v>
      </c>
      <c r="F11" s="13">
        <v>10</v>
      </c>
      <c r="G11" s="13"/>
      <c r="H11" s="13">
        <v>1</v>
      </c>
      <c r="I11" s="13" t="s">
        <v>372</v>
      </c>
      <c r="J11" s="13">
        <v>0.5</v>
      </c>
    </row>
  </sheetData>
  <phoneticPr fontId="1" type="noConversion"/>
  <dataValidations count="2">
    <dataValidation type="list" allowBlank="1" showInputMessage="1" showErrorMessage="1" sqref="D4:D11">
      <formula1>"true,false"</formula1>
    </dataValidation>
    <dataValidation type="list" allowBlank="1" showInputMessage="1" showErrorMessage="1" sqref="I4:I11">
      <formula1>StateEffect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23"/>
  <sheetViews>
    <sheetView showGridLines="0" workbookViewId="0">
      <selection activeCell="B34" sqref="B34"/>
    </sheetView>
  </sheetViews>
  <sheetFormatPr defaultRowHeight="16.5" x14ac:dyDescent="0.3"/>
  <cols>
    <col min="1" max="1" width="15.875" style="1" bestFit="1" customWidth="1"/>
    <col min="2" max="2" width="123.875" style="1" customWidth="1"/>
    <col min="3" max="3" width="9.125" style="1" customWidth="1"/>
    <col min="4" max="4" width="10.875" style="1" customWidth="1"/>
    <col min="5" max="5" width="20.75" style="1" bestFit="1" customWidth="1"/>
    <col min="6" max="6" width="103.5" style="1" customWidth="1"/>
    <col min="7" max="8" width="9" style="1"/>
    <col min="9" max="9" width="14.625" style="1" bestFit="1" customWidth="1"/>
    <col min="10" max="11" width="9" style="1"/>
    <col min="12" max="12" width="25.75" style="1" bestFit="1" customWidth="1"/>
    <col min="13" max="13" width="29.875" style="1" bestFit="1" customWidth="1"/>
    <col min="14" max="14" width="9" style="1"/>
    <col min="15" max="15" width="7.375" style="1" customWidth="1"/>
    <col min="16" max="16" width="20.125" style="1" bestFit="1" customWidth="1"/>
    <col min="17" max="17" width="35.125" style="1" customWidth="1"/>
    <col min="18" max="18" width="114.625" style="1" customWidth="1"/>
    <col min="19" max="19" width="17.375" style="1" bestFit="1" customWidth="1"/>
    <col min="20" max="20" width="106.75" style="1" customWidth="1"/>
    <col min="21" max="21" width="9" style="1"/>
    <col min="22" max="22" width="30.125" style="1" customWidth="1"/>
    <col min="23" max="23" width="14.125" style="1" bestFit="1" customWidth="1"/>
    <col min="24" max="25" width="9" style="1"/>
    <col min="26" max="26" width="21.375" style="1" bestFit="1" customWidth="1"/>
    <col min="27" max="27" width="140.125" style="1" bestFit="1" customWidth="1"/>
    <col min="28" max="28" width="9" style="1"/>
    <col min="29" max="29" width="29.25" style="1" customWidth="1"/>
    <col min="30" max="30" width="16.5" style="1" bestFit="1" customWidth="1"/>
    <col min="31" max="16384" width="9" style="1"/>
  </cols>
  <sheetData>
    <row r="1" spans="1:31" x14ac:dyDescent="0.3">
      <c r="A1" s="10" t="s">
        <v>62</v>
      </c>
      <c r="B1" s="11"/>
      <c r="C1" s="12"/>
      <c r="D1" s="13"/>
      <c r="E1" s="10" t="s">
        <v>44</v>
      </c>
      <c r="F1" s="11"/>
      <c r="G1" s="13"/>
      <c r="H1" s="13"/>
      <c r="I1" s="10" t="s">
        <v>45</v>
      </c>
      <c r="J1" s="13"/>
      <c r="K1" s="13"/>
      <c r="L1" s="10" t="s">
        <v>70</v>
      </c>
      <c r="M1" s="11"/>
      <c r="N1" s="13"/>
      <c r="O1" s="13"/>
      <c r="P1" s="10" t="s">
        <v>216</v>
      </c>
      <c r="Q1" s="13"/>
      <c r="R1" s="13"/>
      <c r="S1" s="10" t="s">
        <v>124</v>
      </c>
      <c r="T1" s="13" t="str">
        <f>[1]!获取备注内容(S1)</f>
        <v/>
      </c>
      <c r="U1" s="13"/>
      <c r="V1" s="13"/>
      <c r="W1" s="10" t="s">
        <v>103</v>
      </c>
      <c r="X1" s="13"/>
      <c r="Y1" s="13"/>
      <c r="Z1" s="10" t="s">
        <v>287</v>
      </c>
      <c r="AA1" s="13"/>
      <c r="AD1" s="10" t="s">
        <v>292</v>
      </c>
    </row>
    <row r="2" spans="1:31" x14ac:dyDescent="0.3">
      <c r="A2" s="11" t="s">
        <v>34</v>
      </c>
      <c r="B2" s="11" t="str">
        <f>[1]!获取备注内容(A2)</f>
        <v>默认，只会攻击一个目标</v>
      </c>
      <c r="C2" s="12"/>
      <c r="D2" s="13"/>
      <c r="E2" s="11" t="s">
        <v>183</v>
      </c>
      <c r="F2" s="11" t="str">
        <f>[1]!获取备注内容(E2)</f>
        <v>不需要选择目标，通常用于随机目标的技能</v>
      </c>
      <c r="G2" s="13"/>
      <c r="H2" s="13"/>
      <c r="I2" s="11" t="s">
        <v>139</v>
      </c>
      <c r="J2" s="13"/>
      <c r="K2" s="13"/>
      <c r="L2" s="11" t="s">
        <v>76</v>
      </c>
      <c r="M2" s="11" t="str">
        <f>[1]!获取备注内容(L2)</f>
        <v>枚举默认值，表示没有任何过滤</v>
      </c>
      <c r="N2" s="13"/>
      <c r="O2" s="13"/>
      <c r="P2" s="11" t="s">
        <v>338</v>
      </c>
      <c r="Q2" s="13" t="str">
        <f>[1]!获取备注内容(P2)</f>
        <v>改变属性，参数是属性表达式</v>
      </c>
      <c r="R2" s="13"/>
      <c r="S2" s="11" t="s">
        <v>201</v>
      </c>
      <c r="T2" s="13" t="str">
        <f>[1]!获取备注内容(S2)</f>
        <v/>
      </c>
      <c r="U2" s="13"/>
      <c r="V2" s="13"/>
      <c r="W2" s="11" t="s">
        <v>104</v>
      </c>
      <c r="X2" s="13"/>
      <c r="Y2" s="13"/>
      <c r="Z2" s="11" t="s">
        <v>204</v>
      </c>
      <c r="AA2" s="13"/>
      <c r="AD2" s="2" t="s">
        <v>286</v>
      </c>
      <c r="AE2" s="13" t="str">
        <f>[1]!获取备注内容(AD2)</f>
        <v>没有条件，也就是无条件成立</v>
      </c>
    </row>
    <row r="3" spans="1:31" x14ac:dyDescent="0.3">
      <c r="A3" s="11" t="s">
        <v>35</v>
      </c>
      <c r="B3" s="11" t="str">
        <f>[1]!获取备注内容(A3)</f>
        <v>随机目标，目标不重复。可以结合targetArg实现随机选取多个目标</v>
      </c>
      <c r="C3" s="12"/>
      <c r="D3" s="13"/>
      <c r="E3" s="11" t="s">
        <v>24</v>
      </c>
      <c r="F3" s="11" t="str">
        <f>[1]!获取备注内容(E3)</f>
        <v>玩家对自己释放，不需要指定目标</v>
      </c>
      <c r="G3" s="13"/>
      <c r="H3" s="13"/>
      <c r="I3" s="11" t="s">
        <v>140</v>
      </c>
      <c r="J3" s="13"/>
      <c r="K3" s="13"/>
      <c r="L3" s="11" t="s">
        <v>74</v>
      </c>
      <c r="M3" s="11" t="str">
        <f>[1]!获取备注内容(L3)</f>
        <v>怪物强度1</v>
      </c>
      <c r="N3" s="13"/>
      <c r="O3" s="13"/>
      <c r="P3" s="11" t="s">
        <v>342</v>
      </c>
      <c r="Q3" s="13" t="str">
        <f>[1]!获取备注内容(P3)</f>
        <v>对刚刚翻开的敌人发动近战攻击会有一些额外的属性改变。翻开一个敌人后，如果有任何移动、攻击、翻开格子的行为，该效果都会不成立，即在翻开一个敌人后，没有以上行为，直接对其进行近战攻击，才能享受此被动效果（界面行为除外）。参数是属性表达式。</v>
      </c>
      <c r="R3" s="13"/>
      <c r="S3" s="11" t="s">
        <v>130</v>
      </c>
      <c r="T3" s="13" t="str">
        <f>[1]!获取备注内容(S3)</f>
        <v>沉默，所有被动技能无效，注意有些被动技能是给自己/队友施加状态，那么这些状态此时也应该消失。玩家也能被沉默。无参数</v>
      </c>
      <c r="U3" s="13"/>
      <c r="V3" s="13"/>
      <c r="W3" s="11" t="s">
        <v>101</v>
      </c>
      <c r="X3" s="13"/>
      <c r="Y3" s="13"/>
      <c r="Z3" s="11" t="s">
        <v>205</v>
      </c>
      <c r="AA3" s="13" t="str">
        <f>[1]!获取备注内容(Z3)</f>
        <v>给自己释放状态。参数是状态ID</v>
      </c>
      <c r="AD3" s="11" t="s">
        <v>306</v>
      </c>
      <c r="AE3" s="13" t="str">
        <f>[1]!获取备注内容(AD3)</f>
        <v>如果技能释放位置有怪物，那么条件成立</v>
      </c>
    </row>
    <row r="4" spans="1:31" x14ac:dyDescent="0.3">
      <c r="A4" s="11" t="s">
        <v>180</v>
      </c>
      <c r="B4" s="11" t="str">
        <f>[1]!获取备注内容(A4)</f>
        <v>随机目标，目标可重复。可以结合targetArg实现随机选取多个目标</v>
      </c>
      <c r="C4" s="12"/>
      <c r="D4" s="13"/>
      <c r="E4" s="11" t="s">
        <v>25</v>
      </c>
      <c r="F4" s="11" t="str">
        <f>[1]!获取备注内容(E4)</f>
        <v>选择一个射程内的可见怪物</v>
      </c>
      <c r="G4" s="13"/>
      <c r="H4" s="13"/>
      <c r="I4" s="11"/>
      <c r="J4" s="13"/>
      <c r="K4" s="13"/>
      <c r="L4" s="11" t="s">
        <v>71</v>
      </c>
      <c r="M4" s="11" t="str">
        <f>[1]!获取备注内容(L4)</f>
        <v/>
      </c>
      <c r="N4" s="13"/>
      <c r="O4" s="13"/>
      <c r="P4" s="11" t="s">
        <v>378</v>
      </c>
      <c r="Q4" s="13" t="str">
        <f>[1]!获取备注内容(P4)</f>
        <v>一定概率N%受到的实弹伤害降低M%。参数为N_M</v>
      </c>
      <c r="R4" s="13"/>
      <c r="S4" s="2" t="s">
        <v>249</v>
      </c>
      <c r="T4" s="13" t="str">
        <f>[1]!获取备注内容(S4)</f>
        <v>缴械。不能使用主动技能，怪物被缴械后，技能CD暂停。玩家也是可以被缴械的。无参数</v>
      </c>
      <c r="U4" s="13"/>
      <c r="V4" s="13"/>
      <c r="W4" s="11" t="s">
        <v>102</v>
      </c>
      <c r="X4" s="13"/>
      <c r="Y4" s="13"/>
      <c r="Z4" s="11" t="s">
        <v>207</v>
      </c>
      <c r="AA4" s="13" t="str">
        <f>[1]!获取备注内容(Z4)</f>
        <v>给目标释放状态。参数是状态ID</v>
      </c>
      <c r="AD4" s="11" t="s">
        <v>285</v>
      </c>
      <c r="AE4" s="13" t="str">
        <f>[1]!获取备注内容(AD4)</f>
        <v>如果技能释放位置没有怪物，那么条件成立</v>
      </c>
    </row>
    <row r="5" spans="1:31" x14ac:dyDescent="0.3">
      <c r="A5" s="11" t="s">
        <v>22</v>
      </c>
      <c r="B5" s="11" t="str">
        <f>[1]!获取备注内容(A5)</f>
        <v>所有目标</v>
      </c>
      <c r="C5" s="12"/>
      <c r="D5" s="13"/>
      <c r="E5" s="11" t="s">
        <v>26</v>
      </c>
      <c r="F5" s="11" t="str">
        <f>[1]!获取备注内容(E5)</f>
        <v>选择一个格子。原则上包含所有的格子，但应该把玩家所在位置的格子排除</v>
      </c>
      <c r="G5" s="13"/>
      <c r="H5" s="13"/>
      <c r="I5" s="11"/>
      <c r="J5" s="13"/>
      <c r="K5" s="13"/>
      <c r="L5" s="11" t="s">
        <v>72</v>
      </c>
      <c r="M5" s="11" t="str">
        <f>[1]!获取备注内容(L5)</f>
        <v/>
      </c>
      <c r="N5" s="13"/>
      <c r="O5" s="13"/>
      <c r="P5" s="11" t="s">
        <v>346</v>
      </c>
      <c r="Q5" s="13" t="str">
        <f>[1]!获取备注内容(P5)</f>
        <v>一定概率N%受到的激光伤害降低M%。参数为N_M</v>
      </c>
      <c r="R5" s="13"/>
      <c r="S5" s="11" t="s">
        <v>203</v>
      </c>
      <c r="T5" s="13" t="str">
        <f>[1]!获取备注内容(S5)</f>
        <v>冻结，冻结后不能反击，不能使用技能，技能CD暂停，暂时解除周围格子锁定。玩家不会中该状态。无参数</v>
      </c>
      <c r="U5" s="13"/>
      <c r="V5" s="13"/>
      <c r="W5" s="13"/>
      <c r="X5" s="13"/>
      <c r="Y5" s="13"/>
      <c r="Z5" s="11" t="s">
        <v>108</v>
      </c>
      <c r="AA5" s="13" t="str">
        <f>[1]!获取备注内容(Z5)</f>
        <v>变形，将目标的样子变成另外一个prefab，通常它会配合属性改变一起使用，被变形后的敌人会丢失所有技能。参数是变成目标prefab的名称</v>
      </c>
      <c r="AD5" s="2" t="s">
        <v>311</v>
      </c>
      <c r="AE5" s="13" t="str">
        <f>[1]!获取备注内容(AD5)</f>
        <v>如果技能释放位置是空的格子，那么条件成立</v>
      </c>
    </row>
    <row r="6" spans="1:31" x14ac:dyDescent="0.3">
      <c r="A6" s="11" t="s">
        <v>174</v>
      </c>
      <c r="B6" s="11" t="str">
        <f>[1]!获取备注内容(A6)</f>
        <v>对一条线上的敌人造成伤害，直线的起点是技能释放者，终点与射程有关。这种释放方式的技能，不能作为召唤物绑定技能</v>
      </c>
      <c r="C6" s="12"/>
      <c r="D6" s="13"/>
      <c r="E6" s="14" t="s">
        <v>27</v>
      </c>
      <c r="F6" s="11" t="str">
        <f>[1]!获取备注内容(E6)</f>
        <v>选择一个翻开且不含障碍的格子，排除玩家所在的格子</v>
      </c>
      <c r="G6" s="13"/>
      <c r="H6" s="13"/>
      <c r="I6" s="11"/>
      <c r="J6" s="13"/>
      <c r="K6" s="13"/>
      <c r="L6" s="11" t="s">
        <v>73</v>
      </c>
      <c r="M6" s="11" t="str">
        <f>[1]!获取备注内容(L6)</f>
        <v/>
      </c>
      <c r="N6" s="13"/>
      <c r="O6" s="13"/>
      <c r="P6" s="11" t="s">
        <v>369</v>
      </c>
      <c r="Q6" s="13" t="str">
        <f>[1]!获取备注内容(P6)</f>
        <v>每走1格，近战伤害增加N%。在攻击后（近战&amp;远程都算）效果重置。假如走了5格，增加的伤害应该是5*N，而不是N的5次方。参数是N。</v>
      </c>
      <c r="R6" s="13"/>
      <c r="S6" s="2" t="s">
        <v>251</v>
      </c>
      <c r="T6" s="13" t="str">
        <f>[1]!获取备注内容(S6)</f>
        <v>催眠，不能反击，不能使用技能,技能CD暂停，暂时解除周围格子锁定，受到任何伤害都会导致该状态失效，玩家不会中该状态。无参数</v>
      </c>
      <c r="U6" s="13"/>
      <c r="V6" s="13"/>
      <c r="W6" s="13"/>
      <c r="X6" s="13"/>
      <c r="Y6" s="13"/>
      <c r="Z6" s="11" t="s">
        <v>109</v>
      </c>
      <c r="AA6" s="13" t="str">
        <f>[1]!获取备注内容(Z6)</f>
        <v>玩家与目标怪物位置互换，互换后，怪物暂时不会封锁格子，但符合“邻接锁定原则”（即玩家靠近后会封锁）。无参数</v>
      </c>
    </row>
    <row r="7" spans="1:31" x14ac:dyDescent="0.3">
      <c r="A7" s="11" t="s">
        <v>294</v>
      </c>
      <c r="B7" s="11" t="str">
        <f>[1]!获取备注内容(A7)</f>
        <v>上下左右扩散模式，1表示扩散半径为1。它会对半径内的其他目标同时造成效果（这里的效果一般指伤害，但如果技能释放目标是格子，那么也对格子有效）。这种扩散模式是基于上下左右的（斜向距离为2）。</v>
      </c>
      <c r="C7" s="12"/>
      <c r="D7" s="13"/>
      <c r="E7" s="11" t="s">
        <v>28</v>
      </c>
      <c r="F7" s="11" t="str">
        <f>[1]!获取备注内容(E7)</f>
        <v>选择一个未翻开且不包含障碍的格子（目前这里有BUG）</v>
      </c>
      <c r="G7" s="13"/>
      <c r="H7" s="13"/>
      <c r="I7" s="11"/>
      <c r="J7" s="13"/>
      <c r="K7" s="13"/>
      <c r="L7" s="11" t="s">
        <v>402</v>
      </c>
      <c r="M7" s="11" t="str">
        <f>[1]!获取备注内容(L7)</f>
        <v>机械类型的怪物</v>
      </c>
      <c r="N7" s="13"/>
      <c r="O7" s="13"/>
      <c r="P7" s="11" t="s">
        <v>380</v>
      </c>
      <c r="Q7" s="13" t="str">
        <f>[1]!获取备注内容(P7)</f>
        <v>每1单位时间，实弹伤害增加N%，玩家使用实弹技能后重置，累积最高不超过M%。假如经过了5时间，累加的伤害应该是5*N，而不是N的5次方。参数是N_M</v>
      </c>
      <c r="R7" s="13"/>
      <c r="S7" s="11" t="s">
        <v>111</v>
      </c>
      <c r="T7" s="13" t="str">
        <f>[1]!获取备注内容(S7)</f>
        <v>临时改变属性，状态消失后，属性要变回来。参数是属性四则表达式</v>
      </c>
      <c r="U7" s="13"/>
      <c r="V7" s="13"/>
      <c r="W7" s="13"/>
      <c r="X7" s="13"/>
      <c r="Y7" s="13"/>
      <c r="Z7" s="11" t="s">
        <v>217</v>
      </c>
      <c r="AA7" s="13" t="str">
        <f>[1]!获取备注内容(Z7)</f>
        <v>将怪物随机移动到一个已经翻开的空格子，转移后，怪物暂时不会封锁格子，但符合“邻接锁定原则”（即玩家靠近后会封锁）。无参数</v>
      </c>
    </row>
    <row r="8" spans="1:31" x14ac:dyDescent="0.3">
      <c r="A8" s="11" t="s">
        <v>38</v>
      </c>
      <c r="B8" s="11" t="str">
        <f>[1]!获取备注内容(A8)</f>
        <v/>
      </c>
      <c r="C8" s="12"/>
      <c r="D8" s="13"/>
      <c r="E8" s="11" t="s">
        <v>29</v>
      </c>
      <c r="F8" s="11" t="str">
        <f>[1]!获取备注内容(E8)</f>
        <v>选择一个翻开且不含障碍，格子上没有物体，排除玩家所在的格子</v>
      </c>
      <c r="G8" s="13"/>
      <c r="H8" s="13"/>
      <c r="I8" s="11"/>
      <c r="J8" s="13"/>
      <c r="K8" s="13"/>
      <c r="L8" s="11" t="s">
        <v>107</v>
      </c>
      <c r="M8" s="11" t="str">
        <f>[1]!获取备注内容(L8)</f>
        <v>生命型怪物</v>
      </c>
      <c r="N8" s="13"/>
      <c r="O8" s="13"/>
      <c r="P8" s="11" t="s">
        <v>381</v>
      </c>
      <c r="Q8" s="13" t="str">
        <f>[1]!获取备注内容(P8)</f>
        <v>每1单位时间，光线伤害增加N%，玩家使用实弹技能后重置，累积最高不超过M%。假如经过了5时间，累加的伤害应该是5*N，而不是N的5次方。参数是N_M</v>
      </c>
      <c r="R8" s="13"/>
      <c r="S8" s="11" t="s">
        <v>125</v>
      </c>
      <c r="T8" s="13" t="str">
        <f>[1]!获取备注内容(S8)</f>
        <v>伤害转移，受到N次伤害，随机转移给其他怪物（DOT不算），如果是怪物有此状态，则转移给玩家。参数即N（次数）。如果达到次数，状态自动消失</v>
      </c>
      <c r="U8" s="13"/>
      <c r="V8" s="13"/>
      <c r="W8" s="13"/>
      <c r="X8" s="13"/>
      <c r="Y8" s="13"/>
      <c r="Z8" s="11" t="s">
        <v>110</v>
      </c>
      <c r="AA8" s="13" t="str">
        <f>[1]!获取备注内容(Z8)</f>
        <v>奴役一个怪物，使这个怪物帮助自己攻击。玩家依然可以攻击这个怪物，但怪物不会反击，同时，怪物解除格锁定。无参数</v>
      </c>
    </row>
    <row r="9" spans="1:31" x14ac:dyDescent="0.3">
      <c r="A9" s="11" t="s">
        <v>39</v>
      </c>
      <c r="B9" s="11" t="str">
        <f>[1]!获取备注内容(A9)</f>
        <v/>
      </c>
      <c r="C9" s="12"/>
      <c r="D9" s="13"/>
      <c r="E9" s="11" t="s">
        <v>64</v>
      </c>
      <c r="F9" s="11" t="str">
        <f>[1]!获取备注内容(E9)</f>
        <v>选择一个障碍（障碍不存在翻开与未翻开的概念）</v>
      </c>
      <c r="G9" s="13"/>
      <c r="H9" s="13"/>
      <c r="I9" s="11"/>
      <c r="J9" s="13"/>
      <c r="K9" s="13"/>
      <c r="L9" s="13"/>
      <c r="M9" s="13"/>
      <c r="N9" s="13"/>
      <c r="O9" s="13"/>
      <c r="P9" s="11" t="s">
        <v>387</v>
      </c>
      <c r="Q9" s="13" t="str">
        <f>[1]!获取备注内容(P9)</f>
        <v>对生命值N%以下的敌人，造成的近战伤害额外提高M%。参数是N_M</v>
      </c>
      <c r="R9" s="13"/>
      <c r="S9" s="11" t="s">
        <v>126</v>
      </c>
      <c r="T9" s="13" t="str">
        <f>[1]!获取备注内容(S9)</f>
        <v>伤害吸收，宿主接下来的伤害会被吸收（宿主不受伤害），参数：吸收表达式（比如HP*5）。吸收足够的伤害后，状态消失</v>
      </c>
      <c r="U9" s="13"/>
      <c r="V9" s="13"/>
      <c r="W9" s="13"/>
      <c r="X9" s="13"/>
      <c r="Y9" s="13"/>
      <c r="Z9" s="11" t="s">
        <v>131</v>
      </c>
      <c r="AA9" s="13" t="str">
        <f>[1]!获取备注内容(Z9)</f>
        <v>驱散，随机驱散目标身上N个Debuff。参数为为N，注意N很大的情况</v>
      </c>
    </row>
    <row r="10" spans="1:31" x14ac:dyDescent="0.3">
      <c r="A10" s="11" t="s">
        <v>295</v>
      </c>
      <c r="B10" s="11" t="str">
        <f>[1]!获取备注内容(A10)</f>
        <v/>
      </c>
      <c r="C10" s="12"/>
      <c r="D10" s="13"/>
      <c r="E10" s="11" t="s">
        <v>21</v>
      </c>
      <c r="F10" s="11" t="str">
        <f>[1]!获取备注内容(E10)</f>
        <v>选择一个障碍，而且该位置没有炮台</v>
      </c>
      <c r="G10" s="13"/>
      <c r="H10" s="13"/>
      <c r="I10" s="13"/>
      <c r="J10" s="13"/>
      <c r="K10" s="13"/>
      <c r="L10" s="13"/>
      <c r="M10" s="13"/>
      <c r="N10" s="13"/>
      <c r="O10" s="13"/>
      <c r="P10" s="11" t="s">
        <v>392</v>
      </c>
      <c r="Q10" s="13" t="str">
        <f>[1]!获取备注内容(P10)</f>
        <v>对生命值N%以上的敌人，造成的光线伤害额外提高M%。参数是N_M</v>
      </c>
      <c r="R10" s="13"/>
      <c r="S10" s="11" t="s">
        <v>218</v>
      </c>
      <c r="T10" s="13" t="str">
        <f>[1]!获取备注内容(S10)</f>
        <v>伤害储存，记下下N次受到的伤害，在状态结束时，为自己回复M倍的生命值。注意，宿主还是会收到伤害。参数：N_M</v>
      </c>
      <c r="U10" s="13"/>
      <c r="V10" s="13"/>
      <c r="W10" s="13"/>
      <c r="X10" s="13"/>
      <c r="Y10" s="13"/>
      <c r="Z10" s="11" t="s">
        <v>132</v>
      </c>
      <c r="AA10" s="13" t="str">
        <f>[1]!获取备注内容(Z10)</f>
        <v>进攻驱散：随机驱散目标身上的N个Buff。参数为N</v>
      </c>
    </row>
    <row r="11" spans="1:31" x14ac:dyDescent="0.3">
      <c r="A11" s="11" t="s">
        <v>40</v>
      </c>
      <c r="B11" s="11" t="str">
        <f>[1]!获取备注内容(A11)</f>
        <v/>
      </c>
      <c r="C11" s="13"/>
      <c r="D11" s="13"/>
      <c r="E11" s="11" t="s">
        <v>30</v>
      </c>
      <c r="F11" s="11" t="str">
        <f>[1]!获取备注内容(E11)</f>
        <v>同上一条，但它不需要玩家选择位置</v>
      </c>
      <c r="G11" s="13"/>
      <c r="H11" s="13"/>
      <c r="I11" s="13"/>
      <c r="J11" s="13"/>
      <c r="K11" s="13"/>
      <c r="L11" s="13"/>
      <c r="M11" s="13"/>
      <c r="N11" s="13"/>
      <c r="O11" s="13"/>
      <c r="P11" s="11" t="s">
        <v>398</v>
      </c>
      <c r="Q11" s="13" t="str">
        <f>[1]!获取备注内容(P11)</f>
        <v>对距离N以内的目标造成的实弹伤害额外增加M%。参数是N_M</v>
      </c>
      <c r="R11" s="13"/>
      <c r="S11" s="11" t="s">
        <v>127</v>
      </c>
      <c r="T11" s="13" t="str">
        <f>[1]!获取备注内容(S11)</f>
        <v>除非是场上最后一个怪物，否则不能攻击（远程&amp;近战），怪物only。没有参数</v>
      </c>
      <c r="U11" s="13"/>
      <c r="V11" s="13"/>
      <c r="W11" s="13"/>
      <c r="X11" s="13"/>
      <c r="Y11" s="13"/>
      <c r="Z11" s="11" t="s">
        <v>284</v>
      </c>
      <c r="AA11" s="13" t="str">
        <f>[1]!获取备注内容(Z11)</f>
        <v>满足条件时，会返还技能一半的消耗，这个效果只对玩家有效。参数即条件，是一个类型为EffectCondition的枚举类型（这里获取到的是字符串，你得自己转一下）</v>
      </c>
    </row>
    <row r="12" spans="1:31" x14ac:dyDescent="0.3">
      <c r="A12" s="11" t="s">
        <v>41</v>
      </c>
      <c r="B12" s="11" t="str">
        <f>[1]!获取备注内容(A12)</f>
        <v/>
      </c>
      <c r="C12" s="13"/>
      <c r="D12" s="13"/>
      <c r="E12" s="11" t="s">
        <v>75</v>
      </c>
      <c r="F12" s="11" t="str">
        <f>[1]!获取备注内容(E12)</f>
        <v>不需要选目标，表示召唤浮游炮</v>
      </c>
      <c r="G12" s="13"/>
      <c r="H12" s="13"/>
      <c r="I12" s="13"/>
      <c r="J12" s="13"/>
      <c r="K12" s="13"/>
      <c r="L12" s="13"/>
      <c r="M12" s="13"/>
      <c r="N12" s="13"/>
      <c r="O12" s="13"/>
      <c r="P12" s="11" t="s">
        <v>403</v>
      </c>
      <c r="Q12" s="13" t="str">
        <f>[1]!获取备注内容(P12)</f>
        <v>每杀死一个机械单位，光线系伤害增加N%，最高不超过M%。使用光线系技能后重置。如果杀死5个机械单位，光线伤害提高5*N，而不是N的5次方。参数是N_M</v>
      </c>
      <c r="R12" s="13"/>
      <c r="S12" s="11" t="s">
        <v>128</v>
      </c>
      <c r="T12" s="13" t="str">
        <f>[1]!获取备注内容(S12)</f>
        <v>免疫指向技能，即有此状态的怪物，不能在玩家手动选择目标时，被筛选出来（随机目标是可以的）。怪物only，没有参数</v>
      </c>
      <c r="U12" s="13"/>
      <c r="V12" s="13"/>
      <c r="W12" s="13"/>
      <c r="X12" s="13"/>
      <c r="Y12" s="13"/>
      <c r="Z12" s="11" t="s">
        <v>293</v>
      </c>
      <c r="AA12" s="13" t="str">
        <f>[1]!获取备注内容(Z12)</f>
        <v>翻开一个格子后，再翻开附近的格子（含斜向）。参数为翻开附近格子的距离。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在使用EffectCondition做为判定条件时，有显著的区别。原则上，如果使用了Round或者Diffuse，而此效果参数又不为0，会先根据Round或者Diffuse翻开周围格子后，再在此基础上，又翻开一圈（后翻开的格子不作为“技能释放的目标位置”）。</v>
      </c>
    </row>
    <row r="13" spans="1:31" x14ac:dyDescent="0.3">
      <c r="A13" s="2" t="s">
        <v>289</v>
      </c>
      <c r="B13" s="11" t="str">
        <f>[1]!获取备注内容(A13)</f>
        <v>含斜向扩散模式，1表示扩散半径为1。它会对半径内的其他目标同时造成效果（这里的效果一般指伤害，但如果技能释放目标是格子，那么也对格子有效）。这种扩散模式是基于上下左右与斜向的（斜向距离为1）。</v>
      </c>
      <c r="C13" s="13"/>
      <c r="D13" s="13"/>
      <c r="E13" s="11" t="s">
        <v>63</v>
      </c>
      <c r="F13" s="11" t="str">
        <f>[1]!获取备注内容(E13)</f>
        <v>尚未被翻开的怪物，不需要玩家选择目标，它通常与multipleType为random时配合使用，表示随机一个没有被发现的怪物</v>
      </c>
      <c r="G13" s="13"/>
      <c r="H13" s="13"/>
      <c r="I13" s="13"/>
      <c r="J13" s="13"/>
      <c r="K13" s="13"/>
      <c r="L13" s="13"/>
      <c r="M13" s="13"/>
      <c r="N13" s="13"/>
      <c r="O13" s="13"/>
      <c r="P13" s="11" t="s">
        <v>405</v>
      </c>
      <c r="Q13" s="13" t="str">
        <f>[1]!获取备注内容(P13)</f>
        <v>每杀死一个生物单位，实弹系伤害增加N%，最高不超过M%。使用实弹系技能后重置。如果杀死5个生命单位，实弹伤害提高5*N，而不是N的5次方。参数是N_M</v>
      </c>
      <c r="R13" s="13"/>
      <c r="S13" s="11" t="s">
        <v>129</v>
      </c>
      <c r="T13" s="13" t="str">
        <f>[1]!获取备注内容(S13)</f>
        <v>爆炸，对于玩家造成伤害。参数是伤害表达式</v>
      </c>
      <c r="U13" s="13"/>
      <c r="V13" s="13"/>
      <c r="W13" s="13"/>
      <c r="X13" s="13"/>
      <c r="Y13" s="13"/>
      <c r="Z13" s="2" t="s">
        <v>331</v>
      </c>
      <c r="AA13" s="13" t="str">
        <f>[1]!获取备注内容(Z13)</f>
        <v>将玩家传送到一个格子上，只有玩家技能可以有该特性。参数即条件，是一个类型为EffectCondition的枚举类型（这里获取到的是字符串，你得自己转一下）。原则上，即便没有参数或者参数成立，目标位置不可站立时（有怪物或者机关）也会传送失败，但如果是物品，那么传送过去会直接拾取物品。</v>
      </c>
    </row>
    <row r="14" spans="1:31" ht="15" customHeight="1" x14ac:dyDescent="0.3">
      <c r="A14" s="2" t="s">
        <v>290</v>
      </c>
      <c r="B14" s="11" t="str">
        <f>[1]!获取备注内容(A14)</f>
        <v/>
      </c>
      <c r="C14" s="13"/>
      <c r="D14" s="13"/>
      <c r="E14" s="11" t="s">
        <v>172</v>
      </c>
      <c r="F14" s="11" t="str">
        <f>[1]!获取备注内容(E14)</f>
        <v>选择上下左右临近的一个格子来表方向。它通常用于直线AOE攻击</v>
      </c>
      <c r="G14" s="13"/>
      <c r="H14" s="13"/>
      <c r="I14" s="13"/>
      <c r="J14" s="13"/>
      <c r="K14" s="13"/>
      <c r="L14" s="13"/>
      <c r="M14" s="13"/>
      <c r="N14" s="13"/>
      <c r="O14" s="13"/>
      <c r="P14" s="7" t="s">
        <v>413</v>
      </c>
      <c r="Q14" s="13" t="str">
        <f>[1]!获取备注内容(P14)</f>
        <v>场上每有1个敌人，实弹系伤害额外增加N%。假如有5个敌人，增加的实弹伤害是5*N，而不是N的5次方。参数为N</v>
      </c>
      <c r="R14" s="13"/>
      <c r="S14" s="11" t="s">
        <v>323</v>
      </c>
      <c r="T14" s="13" t="str">
        <f>[1]!获取备注内容(S14)</f>
        <v>死亡时，会随机杀死N个没有翻开的敌人。参数为N</v>
      </c>
      <c r="U14" s="13"/>
      <c r="V14" s="13"/>
      <c r="W14" s="13"/>
      <c r="X14" s="13"/>
      <c r="Y14" s="13"/>
      <c r="Z14" s="11" t="s">
        <v>332</v>
      </c>
      <c r="AA14" s="13" t="str">
        <f>[1]!获取备注内容(Z14)</f>
        <v>将目标传送到一个已翻开的格子上，原则上怪物也可以使用这种技能。没有参数</v>
      </c>
    </row>
    <row r="15" spans="1:31" x14ac:dyDescent="0.3">
      <c r="A15" s="2" t="s">
        <v>291</v>
      </c>
      <c r="B15" s="11" t="str">
        <f>[1]!获取备注内容(A15)</f>
        <v/>
      </c>
      <c r="C15" s="13"/>
      <c r="D15" s="13"/>
      <c r="E15" s="11" t="s">
        <v>226</v>
      </c>
      <c r="F15" s="11" t="str">
        <f>[1]!获取备注内容(E15)</f>
        <v>选择一个射程内，可见的机械系敌人</v>
      </c>
      <c r="G15" s="13"/>
      <c r="H15" s="13"/>
      <c r="I15" s="13"/>
      <c r="J15" s="13"/>
      <c r="K15" s="13"/>
      <c r="L15" s="13"/>
      <c r="M15" s="13"/>
      <c r="N15" s="13"/>
      <c r="O15" s="13"/>
      <c r="P15" s="11" t="s">
        <v>416</v>
      </c>
      <c r="Q15" s="13" t="str">
        <f>[1]!获取备注内容(P15)</f>
        <v>场上每一个翻开的格子，光线伤害额外增加N%。假如有5个翻开的格子，伤害增加5*N，而不是N的5次方。参数是N</v>
      </c>
      <c r="R15" s="13"/>
      <c r="S15" s="11" t="s">
        <v>354</v>
      </c>
      <c r="T15" s="13" t="str">
        <f>[1]!获取备注内容(S15)</f>
        <v>如果附近有目标，将受到的光线伤害随机转移给一个目标（目标包含玩家，但不包含偏转发生的单位），怪物也可以有此状态。参数为“附近”所表示的距离</v>
      </c>
      <c r="U15" s="13"/>
      <c r="V15" s="13"/>
      <c r="W15" s="13"/>
      <c r="X15" s="13"/>
      <c r="Y15" s="13"/>
    </row>
    <row r="16" spans="1:31" x14ac:dyDescent="0.3">
      <c r="A16" s="13"/>
      <c r="B16" s="13"/>
      <c r="C16" s="13"/>
      <c r="D16" s="13"/>
      <c r="E16" s="11" t="s">
        <v>228</v>
      </c>
      <c r="F16" s="11" t="str">
        <f>[1]!获取备注内容(E16)</f>
        <v>选择一个射程内，可见的生命系敌人</v>
      </c>
      <c r="G16" s="13"/>
      <c r="H16" s="13"/>
      <c r="I16" s="13"/>
      <c r="J16" s="13"/>
      <c r="K16" s="13"/>
      <c r="L16" s="13"/>
      <c r="M16" s="13"/>
      <c r="N16" s="13"/>
      <c r="O16" s="13"/>
      <c r="P16" s="11" t="s">
        <v>422</v>
      </c>
      <c r="Q16" s="13" t="str">
        <f>[1]!获取备注内容(P16)</f>
        <v>每1单位时间，恢复生命值N%。参数是N</v>
      </c>
      <c r="R16" s="13"/>
      <c r="S16" s="2" t="s">
        <v>373</v>
      </c>
      <c r="T16" s="13" t="str">
        <f>[1]!获取备注内容(S16)</f>
        <v>所有的远程攻击消耗时间减少N%。仅对玩家有效。参数为N</v>
      </c>
      <c r="U16" s="13"/>
      <c r="V16" s="13"/>
      <c r="W16" s="13"/>
      <c r="X16" s="13"/>
      <c r="Y16" s="13"/>
      <c r="AA16" s="13"/>
    </row>
    <row r="17" spans="16:27" x14ac:dyDescent="0.3">
      <c r="P17" s="2" t="s">
        <v>424</v>
      </c>
      <c r="Q17" s="13" t="str">
        <f>[1]!获取备注内容(P17)</f>
        <v>近战攻击每消灭一个生命系敌人，恢复生命值N%。参数是N</v>
      </c>
    </row>
    <row r="18" spans="16:27" x14ac:dyDescent="0.3">
      <c r="P18" s="2" t="s">
        <v>427</v>
      </c>
      <c r="Q18" s="13" t="str">
        <f>[1]!获取备注内容(P18)</f>
        <v>近战攻击一定概率N%使敌人昏迷M个单位时间。参数是N_M</v>
      </c>
    </row>
    <row r="19" spans="16:27" x14ac:dyDescent="0.3">
      <c r="P19" s="2" t="s">
        <v>433</v>
      </c>
      <c r="Q19" s="13" t="str">
        <f>[1]!获取备注内容(P19)</f>
        <v>近战攻击一定概率N%造成M%伤害。参数是N_M</v>
      </c>
    </row>
    <row r="20" spans="16:27" x14ac:dyDescent="0.3">
      <c r="P20" s="2" t="s">
        <v>465</v>
      </c>
      <c r="Q20" s="13" t="str">
        <f>[1]!获取备注内容(P20)</f>
        <v>使用N次对应的召唤技能，重复启用被动技能不能重复召唤。注意这种方式召唤出来的召唤物，其能量/技能冷却都是从0开始，而且忽略召唤技能的时间消耗。参数为N</v>
      </c>
    </row>
    <row r="21" spans="16:27" x14ac:dyDescent="0.3">
      <c r="P21" s="2" t="s">
        <v>470</v>
      </c>
      <c r="Q21" s="13" t="str">
        <f>[1]!获取备注内容(P21)</f>
        <v>预警雷达：目前保留，这属于另外一个模块功能</v>
      </c>
    </row>
    <row r="22" spans="16:27" x14ac:dyDescent="0.3">
      <c r="P22" s="2" t="s">
        <v>471</v>
      </c>
      <c r="Q22" s="13" t="str">
        <f>[1]!获取备注内容(P22)</f>
        <v>寻宝雷达：目前保留，这属于另外一个模块功能</v>
      </c>
    </row>
    <row r="23" spans="16:27" x14ac:dyDescent="0.3">
      <c r="AA23" s="18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MultipleTarget</vt:lpstr>
      <vt:lpstr>SpecialAction</vt:lpstr>
      <vt:lpstr>SpecialEffect</vt:lpstr>
      <vt:lpstr>StateEffect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2017-09-19T04:41:35Z</dcterms:modified>
</cp:coreProperties>
</file>