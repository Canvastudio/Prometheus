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326"/>
  <workbookPr filterPrivacy="1" codeName="ThisWorkbook"/>
  <bookViews>
    <workbookView xWindow="0" yWindow="0" windowWidth="22260" windowHeight="12645" tabRatio="440"/>
  </bookViews>
  <sheets>
    <sheet name="技能点" sheetId="5" r:id="rId1"/>
    <sheet name="主动技能" sheetId="1" r:id="rId2"/>
    <sheet name="召唤技能" sheetId="2" r:id="rId3"/>
    <sheet name="被动技能" sheetId="6" r:id="rId4"/>
    <sheet name="状态" sheetId="7" r:id="rId5"/>
    <sheet name="枚举参数" sheetId="3" r:id="rId6"/>
  </sheets>
  <externalReferences>
    <externalReference r:id="rId7"/>
  </externalReferences>
  <definedNames>
    <definedName name="EmitAction">枚举参数!#REF!</definedName>
    <definedName name="MultipleTarget">枚举参数!$A$2:$A$10</definedName>
    <definedName name="SpecialAction">枚举参数!$I$2:$I$3</definedName>
    <definedName name="TargetType">枚举参数!$E$2:$E$12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6" i="3" l="1"/>
  <c r="T7" i="3"/>
  <c r="B2" i="3"/>
  <c r="B4" i="3"/>
  <c r="B7" i="3"/>
  <c r="T8" i="3"/>
  <c r="F13" i="3"/>
  <c r="M8" i="3"/>
  <c r="T1" i="3"/>
  <c r="B3" i="3"/>
  <c r="F5" i="3"/>
  <c r="Q3" i="3"/>
  <c r="F7" i="3"/>
  <c r="T3" i="3"/>
  <c r="M2" i="3"/>
  <c r="F10" i="3"/>
  <c r="F9" i="3"/>
  <c r="AA3" i="3"/>
  <c r="T9" i="3"/>
  <c r="M3" i="3"/>
  <c r="Q2" i="3"/>
  <c r="T2" i="3"/>
  <c r="M5" i="3"/>
  <c r="F3" i="3"/>
  <c r="AA7" i="3"/>
  <c r="T4" i="3"/>
  <c r="B5" i="3"/>
  <c r="Q1" i="3"/>
  <c r="F4" i="3"/>
  <c r="F12" i="3"/>
  <c r="M7" i="3"/>
  <c r="AA4" i="3"/>
  <c r="T5" i="3"/>
  <c r="B8" i="3"/>
  <c r="AA2" i="3"/>
  <c r="T10" i="3"/>
  <c r="AA1" i="3"/>
  <c r="F2" i="3"/>
  <c r="B1" i="3"/>
  <c r="B9" i="3"/>
  <c r="B6" i="3"/>
  <c r="F8" i="3"/>
  <c r="F11" i="3"/>
  <c r="F6" i="3"/>
  <c r="T6" i="3"/>
  <c r="F1" i="3"/>
  <c r="B10" i="3"/>
  <c r="M6" i="3"/>
  <c r="AA5" i="3"/>
  <c r="M1" i="3"/>
  <c r="M4" i="3"/>
</calcChain>
</file>

<file path=xl/comments1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sz val="9"/>
            <color indexed="81"/>
            <rFont val="宋体"/>
            <family val="3"/>
            <charset val="134"/>
          </rPr>
          <t>多目标类型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决定技能的释放方式</t>
        </r>
      </text>
    </comment>
    <comment ref="I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1" authorId="0" shapeId="0">
      <text>
        <r>
          <rPr>
            <sz val="9"/>
            <color indexed="81"/>
            <rFont val="宋体"/>
            <family val="3"/>
            <charset val="134"/>
          </rPr>
          <t>这是一个过滤列表，符合这个条件的怪物，将不能被该技能列为可选目标。这里没有直接把怪物拿过来用，因为限制条件可能比怪物类型更复杂，比如生命值低于100的生物型怪物，这时候就可能要多加一种类型</t>
        </r>
      </text>
    </comment>
    <comment ref="P1" authorId="0" shapeId="0">
      <text>
        <r>
          <rPr>
            <sz val="9"/>
            <color indexed="81"/>
            <rFont val="宋体"/>
            <family val="3"/>
            <charset val="134"/>
          </rPr>
          <t>被动技能作用类型</t>
        </r>
      </text>
    </comment>
    <comment ref="W1" authorId="0" shapeId="0">
      <text>
        <r>
          <rPr>
            <sz val="9"/>
            <color indexed="81"/>
            <rFont val="宋体"/>
            <family val="3"/>
            <charset val="134"/>
          </rPr>
          <t>伤害类型（请把之前同名枚举类型删除，在GlobalParameters.cs）</t>
        </r>
      </text>
    </comment>
    <comment ref="Z1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2" authorId="0" shapeId="0">
      <text>
        <r>
          <rPr>
            <sz val="9"/>
            <color indexed="81"/>
            <rFont val="宋体"/>
            <family val="3"/>
            <charset val="134"/>
          </rPr>
          <t>默认，只会攻击一个目标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玩家对自己释放，不需要指定目标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枚举默认值，表示没有任何过滤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增加/减少属性</t>
        </r>
      </text>
    </comment>
    <comment ref="S2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</t>
        </r>
      </text>
    </comment>
    <comment ref="W2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Z2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变形，将目标的样子变成另外一个prefab，通常它会配合属性改变一起使用。参数是变成目标prefab的名称</t>
        </r>
      </text>
    </comment>
    <comment ref="A3" authorId="0" shapeId="0">
      <text>
        <r>
          <rPr>
            <sz val="9"/>
            <color indexed="81"/>
            <rFont val="宋体"/>
            <family val="3"/>
            <charset val="134"/>
          </rPr>
          <t>随机目标，这个可以结合targetArg实现随机选取多个目标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选择一个射程内的可见怪物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3" authorId="0" shapeId="0">
      <text>
        <r>
          <rPr>
            <sz val="9"/>
            <color indexed="81"/>
            <rFont val="宋体"/>
            <family val="3"/>
            <charset val="134"/>
          </rPr>
          <t>怪物强度1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全伤害减免，该类被动技能可以被负激活</t>
        </r>
      </text>
    </comment>
    <comment ref="S3" authorId="0" shapeId="0">
      <text>
        <r>
          <rPr>
            <sz val="9"/>
            <color indexed="81"/>
            <rFont val="宋体"/>
            <family val="3"/>
            <charset val="134"/>
          </rPr>
          <t>沉默，不能释放技能，但可以近战攻击。没有参数</t>
        </r>
      </text>
    </comment>
    <comment ref="W3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Z3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玩家与目标怪物位置互换，互换后，怪物暂时不会封锁格子，但符合“邻接锁定原则”（即玩家靠近后会封锁）。无参数</t>
        </r>
      </text>
    </comment>
    <comment ref="A4" authorId="0" shapeId="0">
      <text>
        <r>
          <rPr>
            <sz val="9"/>
            <color indexed="81"/>
            <rFont val="宋体"/>
            <family val="3"/>
            <charset val="134"/>
          </rPr>
          <t>所有目标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选择一个格子。原则上包含所有的格子，但应该把玩家所在位置的格子排除</t>
        </r>
      </text>
    </comment>
    <comment ref="S4" authorId="0" shapeId="0">
      <text>
        <r>
          <rPr>
            <sz val="9"/>
            <color indexed="81"/>
            <rFont val="宋体"/>
            <family val="3"/>
            <charset val="134"/>
          </rPr>
          <t>伤害转移，受到N次伤害，随机转移给其他怪物（DOT不算），如果是怪物有此状态，则转移给玩家。参数是：次数。如果达到次数，状态自动消失</t>
        </r>
      </text>
    </comment>
    <comment ref="W4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Z4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将怪物随机移动到一个已经翻开的空格子，转移后，怪物暂时不会封锁格子，但符合“邻接锁定原则”（即玩家靠近后会封锁）。无参数</t>
        </r>
      </text>
    </comment>
    <comment ref="A5" authorId="0" shapeId="0">
      <text>
        <r>
          <rPr>
            <sz val="9"/>
            <color indexed="81"/>
            <rFont val="宋体"/>
            <family val="3"/>
            <charset val="134"/>
          </rPr>
          <t>扩散模式，1表示扩散半径为1。它会对半径内的其他目标同时造成伤害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选择一个翻开且不含障碍的格子，排除玩家所在的格子</t>
        </r>
      </text>
    </comment>
    <comment ref="S5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伤害吸收，宿主接下来的伤害会被吸收（宿主不受伤害），参数：吸收表达式（比如HP*5）。吸收足够的伤害后，状态消失
</t>
        </r>
      </text>
    </comment>
    <comment ref="Z5" authorId="0" shapeId="0">
      <text>
        <r>
          <rPr>
            <sz val="9"/>
            <color indexed="81"/>
            <rFont val="宋体"/>
            <family val="3"/>
            <charset val="134"/>
          </rPr>
          <t>奴役一个怪物（通常这个技能会有强限制），使这个怪物帮助自己攻击。玩家依然可以攻击这个怪物，但怪物不会反击，同时，怪物解除格锁定。无参数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选择一个未翻开且不包含障碍的格子（目前这里有BUG）</t>
        </r>
      </text>
    </comment>
    <comment ref="S6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伤害储存，记下下N次受到的伤害，在状态结束时，为自己回复M倍的生命值。注意，宿主还是会收到伤害。参数：N，M</t>
        </r>
      </text>
    </comment>
    <comment ref="Z6" authorId="0" shapeId="0">
      <text>
        <r>
          <rPr>
            <sz val="9"/>
            <color indexed="81"/>
            <rFont val="宋体"/>
            <family val="3"/>
            <charset val="134"/>
          </rPr>
          <t>驱散，随机驱散目标身上N个Debuff。参数为为N，注意N很大的情况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选择一个翻开且不含障碍，格子上没有物体，排除玩家所在的格子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钢铁类型的怪物？</t>
        </r>
      </text>
    </comment>
    <comment ref="S7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冻结，冻结后不能反击，不能使用技能，仅怪物可以被释放。没有参数</t>
        </r>
      </text>
    </comment>
    <comment ref="Z7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进攻驱散：随机驱散目标身上的N个Buff。参数为N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选择一个障碍（障碍不存在翻开与未翻开的概念）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生物型怪物？？</t>
        </r>
      </text>
    </comment>
    <comment ref="S8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除非是场上最后一个怪物，否则不能攻击（远程&amp;近战），怪物only。没有参数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不需要选择目标，表示这是一次全屏攻击</t>
        </r>
      </text>
    </comment>
    <comment ref="S9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免疫指向技能，即有此状态的怪物，不能在玩家手动选择目标时，被筛选出来（随机目标是可以的）。怪物only，没有参数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选择一个障碍，
而且该位置没有炮台</t>
        </r>
      </text>
    </comment>
    <comment ref="S10" authorId="0" shapeId="0">
      <text>
        <r>
          <rPr>
            <sz val="9"/>
            <color indexed="81"/>
            <rFont val="宋体"/>
            <family val="3"/>
            <charset val="134"/>
          </rPr>
          <t>爆炸，对于玩家造成伤害。参数是伤害表达式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同上一条，但它不需要玩家选择位置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不需要选目标，表示召唤浮游炮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尚未被翻开的怪物，不需要玩家选择目标，它通常与
multipleType为random时配合使用，表示随机一个没有被发现的怪物</t>
        </r>
      </text>
    </comment>
  </commentList>
</comments>
</file>

<file path=xl/sharedStrings.xml><?xml version="1.0" encoding="utf-8"?>
<sst xmlns="http://schemas.openxmlformats.org/spreadsheetml/2006/main" count="261" uniqueCount="235">
  <si>
    <t>编号</t>
    <phoneticPr fontId="1" type="noConversion"/>
  </si>
  <si>
    <t>ulong</t>
    <phoneticPr fontId="1" type="noConversion"/>
  </si>
  <si>
    <t>id</t>
    <phoneticPr fontId="1" type="noConversion"/>
  </si>
  <si>
    <t>名称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</si>
  <si>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</si>
  <si>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</si>
  <si>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</si>
  <si>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</si>
  <si>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</si>
  <si>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目标类型(释放方式)</t>
    <phoneticPr fontId="1" type="noConversion"/>
  </si>
  <si>
    <t>carry</t>
    <phoneticPr fontId="1" type="noConversion"/>
  </si>
  <si>
    <t>ulong[|]</t>
    <phoneticPr fontId="1" type="noConversion"/>
  </si>
  <si>
    <t>state_to_player</t>
    <phoneticPr fontId="1" type="noConversion"/>
  </si>
  <si>
    <t>state_to_monster</t>
    <phoneticPr fontId="1" type="noConversion"/>
  </si>
  <si>
    <t>属性改变</t>
    <phoneticPr fontId="1" type="noConversion"/>
  </si>
  <si>
    <t>string[|]</t>
    <phoneticPr fontId="1" type="noConversion"/>
  </si>
  <si>
    <t>测试技能</t>
    <phoneticPr fontId="1" type="noConversion"/>
  </si>
  <si>
    <t>TargetType</t>
    <phoneticPr fontId="1" type="noConversion"/>
  </si>
  <si>
    <t>string[|]</t>
    <phoneticPr fontId="1" type="noConversion"/>
  </si>
  <si>
    <t>目标参数(第一次分割代表目标个数，第二次分割代表攻击次数与每次伤害权重)</t>
    <phoneticPr fontId="1" type="noConversion"/>
  </si>
  <si>
    <t>命中_爆炸</t>
    <phoneticPr fontId="1" type="noConversion"/>
  </si>
  <si>
    <t>float</t>
    <phoneticPr fontId="1" type="noConversion"/>
  </si>
  <si>
    <t>id</t>
    <phoneticPr fontId="1" type="noConversion"/>
  </si>
  <si>
    <t>测试技能</t>
  </si>
  <si>
    <t>string</t>
    <phoneticPr fontId="1" type="noConversion"/>
  </si>
  <si>
    <t>GUN01</t>
    <phoneticPr fontId="1" type="noConversion"/>
  </si>
  <si>
    <t>costTime</t>
  </si>
  <si>
    <t>prefab</t>
    <phoneticPr fontId="1" type="noConversion"/>
  </si>
  <si>
    <t>预制</t>
    <phoneticPr fontId="1" type="noConversion"/>
  </si>
  <si>
    <t>射程</t>
    <phoneticPr fontId="1" type="noConversion"/>
  </si>
  <si>
    <t>carry</t>
    <phoneticPr fontId="1" type="noConversion"/>
  </si>
  <si>
    <t>炮台位置</t>
    <phoneticPr fontId="1" type="noConversion"/>
  </si>
  <si>
    <t>All</t>
    <phoneticPr fontId="1" type="noConversion"/>
  </si>
  <si>
    <t>Monster</t>
  </si>
  <si>
    <t>Player</t>
    <phoneticPr fontId="1" type="noConversion"/>
  </si>
  <si>
    <t>Monster</t>
    <phoneticPr fontId="1" type="noConversion"/>
  </si>
  <si>
    <t>Block</t>
    <phoneticPr fontId="1" type="noConversion"/>
  </si>
  <si>
    <t>LightBlock</t>
    <phoneticPr fontId="1" type="noConversion"/>
  </si>
  <si>
    <t>DarkBlock</t>
    <phoneticPr fontId="1" type="noConversion"/>
  </si>
  <si>
    <t>EmptyBlock</t>
    <phoneticPr fontId="1" type="noConversion"/>
  </si>
  <si>
    <t>Aoe</t>
    <phoneticPr fontId="1" type="noConversion"/>
  </si>
  <si>
    <t>激光测试</t>
    <phoneticPr fontId="1" type="noConversion"/>
  </si>
  <si>
    <t>全炮台位置</t>
    <phoneticPr fontId="1" type="noConversion"/>
  </si>
  <si>
    <t>effect_hit</t>
    <phoneticPr fontId="1" type="noConversion"/>
  </si>
  <si>
    <t>Normal</t>
  </si>
  <si>
    <t>炮台位置</t>
  </si>
  <si>
    <t>Normal</t>
    <phoneticPr fontId="1" type="noConversion"/>
  </si>
  <si>
    <t>Random</t>
    <phoneticPr fontId="1" type="noConversion"/>
  </si>
  <si>
    <t>多目标，laser不支持同时攻击多个目标</t>
    <phoneticPr fontId="1" type="noConversion"/>
  </si>
  <si>
    <t>飞行特效，laser不支持多飞行特效</t>
    <phoneticPr fontId="1" type="noConversion"/>
  </si>
  <si>
    <t>Diffuse_1</t>
    <phoneticPr fontId="1" type="noConversion"/>
  </si>
  <si>
    <t>Diffuse_2</t>
  </si>
  <si>
    <t>Diffuse_3</t>
  </si>
  <si>
    <t>Diffuse_4</t>
  </si>
  <si>
    <t>Diffuse_5</t>
  </si>
  <si>
    <t>Diffuse_6</t>
  </si>
  <si>
    <t>命中特效</t>
    <phoneticPr fontId="1" type="noConversion"/>
  </si>
  <si>
    <t>卫星</t>
  </si>
  <si>
    <t>TargetType</t>
    <phoneticPr fontId="1" type="noConversion"/>
  </si>
  <si>
    <t>SpecialAction</t>
    <phoneticPr fontId="1" type="noConversion"/>
  </si>
  <si>
    <t>NormalAttack</t>
  </si>
  <si>
    <t>NormalAttack</t>
    <phoneticPr fontId="1" type="noConversion"/>
  </si>
  <si>
    <t>string[|]</t>
    <phoneticPr fontId="1" type="noConversion"/>
  </si>
  <si>
    <t>describe</t>
    <phoneticPr fontId="1" type="noConversion"/>
  </si>
  <si>
    <t>name</t>
    <phoneticPr fontId="1" type="noConversion"/>
  </si>
  <si>
    <t>MultipleType</t>
    <phoneticPr fontId="1" type="noConversion"/>
  </si>
  <si>
    <t>有主动攻击行为的浮游炮</t>
    <phoneticPr fontId="1" type="noConversion"/>
  </si>
  <si>
    <t>辅助玩家攻击的浮游炮</t>
    <phoneticPr fontId="1" type="noConversion"/>
  </si>
  <si>
    <t>卫星</t>
    <phoneticPr fontId="1" type="noConversion"/>
  </si>
  <si>
    <t>卫星机1</t>
    <phoneticPr fontId="1" type="noConversion"/>
  </si>
  <si>
    <t>卫星机2</t>
    <phoneticPr fontId="1" type="noConversion"/>
  </si>
  <si>
    <t>CopyAttack</t>
  </si>
  <si>
    <t>子弹A</t>
    <phoneticPr fontId="1" type="noConversion"/>
  </si>
  <si>
    <t>Laser01</t>
    <phoneticPr fontId="1" type="noConversion"/>
  </si>
  <si>
    <t>浮游A型</t>
    <phoneticPr fontId="1" type="noConversion"/>
  </si>
  <si>
    <t>浮游B型</t>
    <phoneticPr fontId="1" type="noConversion"/>
  </si>
  <si>
    <t>召唤炮台</t>
    <phoneticPr fontId="1" type="noConversion"/>
  </si>
  <si>
    <t>散射激光</t>
    <phoneticPr fontId="1" type="noConversion"/>
  </si>
  <si>
    <t>float</t>
    <phoneticPr fontId="1" type="noConversion"/>
  </si>
  <si>
    <t>10|20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</si>
  <si>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</si>
  <si>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</si>
  <si>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</si>
  <si>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</si>
  <si>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消耗时间，如果是怪物的技能，就表示CD</t>
    <phoneticPr fontId="1" type="noConversion"/>
  </si>
  <si>
    <t>0~20</t>
    <phoneticPr fontId="1" type="noConversion"/>
  </si>
  <si>
    <t>0~30</t>
    <phoneticPr fontId="1" type="noConversion"/>
  </si>
  <si>
    <t>1000003|1</t>
    <phoneticPr fontId="1" type="noConversion"/>
  </si>
  <si>
    <t>1000001|1</t>
    <phoneticPr fontId="1" type="noConversion"/>
  </si>
  <si>
    <t>MultipleType</t>
    <phoneticPr fontId="1" type="noConversion"/>
  </si>
  <si>
    <t>HideMonster</t>
    <phoneticPr fontId="1" type="noConversion"/>
  </si>
  <si>
    <t>子弹</t>
    <phoneticPr fontId="1" type="noConversion"/>
  </si>
  <si>
    <t>普通激光</t>
    <phoneticPr fontId="1" type="noConversion"/>
  </si>
  <si>
    <t>ObstructBlock</t>
    <phoneticPr fontId="1" type="noConversion"/>
  </si>
  <si>
    <t>targetType</t>
    <phoneticPr fontId="1" type="noConversion"/>
  </si>
  <si>
    <t>1;1|1;1</t>
    <phoneticPr fontId="1" type="noConversion"/>
  </si>
  <si>
    <t>1;1;1;1;1;1|1;1</t>
    <phoneticPr fontId="1" type="noConversion"/>
  </si>
  <si>
    <t>Random</t>
  </si>
  <si>
    <t>TargetType</t>
    <phoneticPr fontId="1" type="noConversion"/>
  </si>
  <si>
    <t>targetLimit</t>
    <phoneticPr fontId="1" type="noConversion"/>
  </si>
  <si>
    <t>TargetLimit[|]</t>
    <phoneticPr fontId="1" type="noConversion"/>
  </si>
  <si>
    <t>TargetLimit</t>
    <phoneticPr fontId="1" type="noConversion"/>
  </si>
  <si>
    <t>MonsterQuality_2</t>
  </si>
  <si>
    <t>MonsterQuality_3</t>
  </si>
  <si>
    <t>MonsterQuality_4</t>
  </si>
  <si>
    <t>MonsterQuality_1</t>
    <phoneticPr fontId="1" type="noConversion"/>
  </si>
  <si>
    <t>卫星</t>
    <phoneticPr fontId="1" type="noConversion"/>
  </si>
  <si>
    <t>目标限制（比如某些怪物不能锁定，这是一个一维数组，表示多个限制条件）</t>
    <phoneticPr fontId="1" type="noConversion"/>
  </si>
  <si>
    <t>None</t>
    <phoneticPr fontId="1" type="noConversion"/>
  </si>
  <si>
    <t>multipleType</t>
    <phoneticPr fontId="1" type="noConversion"/>
  </si>
  <si>
    <t>targetArg</t>
    <phoneticPr fontId="1" type="noConversion"/>
  </si>
  <si>
    <t>float[|;]</t>
    <phoneticPr fontId="1" type="noConversion"/>
  </si>
  <si>
    <t>1;1;1|1;1</t>
    <phoneticPr fontId="1" type="noConversion"/>
  </si>
  <si>
    <t>effect_fly</t>
    <phoneticPr fontId="1" type="noConversion"/>
  </si>
  <si>
    <t>射程</t>
    <phoneticPr fontId="1" type="noConversion"/>
  </si>
  <si>
    <t>给自己附加状态</t>
    <phoneticPr fontId="1" type="noConversion"/>
  </si>
  <si>
    <t>给目标附加状态</t>
    <phoneticPr fontId="1" type="noConversion"/>
  </si>
  <si>
    <t>damage</t>
    <phoneticPr fontId="1" type="noConversion"/>
  </si>
  <si>
    <t>pro_change</t>
    <phoneticPr fontId="1" type="noConversion"/>
  </si>
  <si>
    <t>costTime</t>
    <phoneticPr fontId="1" type="noConversion"/>
  </si>
  <si>
    <t>float</t>
    <phoneticPr fontId="1" type="noConversion"/>
  </si>
  <si>
    <t>ulong</t>
    <phoneticPr fontId="1" type="noConversion"/>
  </si>
  <si>
    <t>技能点编号</t>
    <phoneticPr fontId="1" type="noConversion"/>
  </si>
  <si>
    <t>id</t>
    <phoneticPr fontId="1" type="noConversion"/>
  </si>
  <si>
    <t>ulong</t>
    <phoneticPr fontId="1" type="noConversion"/>
  </si>
  <si>
    <t>ulong[;]</t>
    <phoneticPr fontId="1" type="noConversion"/>
  </si>
  <si>
    <t>1000001;1000001;1000001;1000001</t>
    <phoneticPr fontId="1" type="noConversion"/>
  </si>
  <si>
    <t>1000002;1000002</t>
    <phoneticPr fontId="1" type="noConversion"/>
  </si>
  <si>
    <t>编号</t>
    <phoneticPr fontId="1" type="noConversion"/>
  </si>
  <si>
    <t>ulong</t>
    <phoneticPr fontId="1" type="noConversion"/>
  </si>
  <si>
    <t>id</t>
    <phoneticPr fontId="1" type="noConversion"/>
  </si>
  <si>
    <t>技能名称</t>
    <phoneticPr fontId="1" type="noConversion"/>
  </si>
  <si>
    <t>描述</t>
    <phoneticPr fontId="1" type="noConversion"/>
  </si>
  <si>
    <t>作用类型</t>
    <phoneticPr fontId="1" type="noConversion"/>
  </si>
  <si>
    <t>string</t>
    <phoneticPr fontId="1" type="noConversion"/>
  </si>
  <si>
    <t>Property</t>
  </si>
  <si>
    <t xml:space="preserve">DamageReduction </t>
    <phoneticPr fontId="1" type="noConversion"/>
  </si>
  <si>
    <t>string[;]</t>
    <phoneticPr fontId="1" type="noConversion"/>
  </si>
  <si>
    <t>name</t>
    <phoneticPr fontId="1" type="noConversion"/>
  </si>
  <si>
    <t>args</t>
    <phoneticPr fontId="1" type="noConversion"/>
  </si>
  <si>
    <t>钛合金</t>
    <phoneticPr fontId="1" type="noConversion"/>
  </si>
  <si>
    <t>生命值增加10</t>
    <phoneticPr fontId="1" type="noConversion"/>
  </si>
  <si>
    <t>感应装甲</t>
    <phoneticPr fontId="1" type="noConversion"/>
  </si>
  <si>
    <t>受到的伤害降低10%</t>
    <phoneticPr fontId="1" type="noConversion"/>
  </si>
  <si>
    <t>PMHP=PMHP+10</t>
    <phoneticPr fontId="1" type="noConversion"/>
  </si>
  <si>
    <t xml:space="preserve">PassiveType </t>
    <phoneticPr fontId="1" type="noConversion"/>
  </si>
  <si>
    <t>Cartridge</t>
    <phoneticPr fontId="1" type="noConversion"/>
  </si>
  <si>
    <t>Laser</t>
    <phoneticPr fontId="1" type="noConversion"/>
  </si>
  <si>
    <t>DamageType</t>
    <phoneticPr fontId="1" type="noConversion"/>
  </si>
  <si>
    <t>Physical</t>
    <phoneticPr fontId="1" type="noConversion"/>
  </si>
  <si>
    <t>目标类型(释放方式)</t>
    <phoneticPr fontId="1" type="noConversion"/>
  </si>
  <si>
    <t>targetType</t>
    <phoneticPr fontId="1" type="noConversion"/>
  </si>
  <si>
    <t>特殊效果</t>
    <phoneticPr fontId="1" type="noConversion"/>
  </si>
  <si>
    <t>MonsterType_iron</t>
    <phoneticPr fontId="1" type="noConversion"/>
  </si>
  <si>
    <t>MonsterType_organisms</t>
    <phoneticPr fontId="1" type="noConversion"/>
  </si>
  <si>
    <t>SpecialEffect</t>
    <phoneticPr fontId="1" type="noConversion"/>
  </si>
  <si>
    <t>Transfiguration</t>
    <phoneticPr fontId="1" type="noConversion"/>
  </si>
  <si>
    <t>PositionExchange</t>
    <phoneticPr fontId="1" type="noConversion"/>
  </si>
  <si>
    <t>Enslave</t>
    <phoneticPr fontId="1" type="noConversion"/>
  </si>
  <si>
    <t xml:space="preserve">PositionTransfer </t>
    <phoneticPr fontId="1" type="noConversion"/>
  </si>
  <si>
    <t>Property</t>
    <phoneticPr fontId="1" type="noConversion"/>
  </si>
  <si>
    <t>持续时间</t>
    <phoneticPr fontId="1" type="noConversion"/>
  </si>
  <si>
    <t>int</t>
    <phoneticPr fontId="1" type="noConversion"/>
  </si>
  <si>
    <t>time</t>
    <phoneticPr fontId="1" type="noConversion"/>
  </si>
  <si>
    <t>名称</t>
    <phoneticPr fontId="1" type="noConversion"/>
  </si>
  <si>
    <t>最大叠加</t>
    <phoneticPr fontId="1" type="noConversion"/>
  </si>
  <si>
    <t>string[|;]</t>
    <phoneticPr fontId="1" type="noConversion"/>
  </si>
  <si>
    <t>StateEffect[|]</t>
    <phoneticPr fontId="1" type="noConversion"/>
  </si>
  <si>
    <t>参数：这是一个二维数组，第一维的长度等于效果（StateEffect）的长度，第二维会根据不同效果的不同而不同</t>
    <phoneticPr fontId="1" type="noConversion"/>
  </si>
  <si>
    <t>int</t>
    <phoneticPr fontId="1" type="noConversion"/>
  </si>
  <si>
    <t>describe</t>
    <phoneticPr fontId="1" type="noConversion"/>
  </si>
  <si>
    <t>describe</t>
    <phoneticPr fontId="1" type="noConversion"/>
  </si>
  <si>
    <t>bool</t>
    <phoneticPr fontId="1" type="noConversion"/>
  </si>
  <si>
    <t>int</t>
    <phoneticPr fontId="1" type="noConversion"/>
  </si>
  <si>
    <t>max</t>
    <phoneticPr fontId="1" type="noConversion"/>
  </si>
  <si>
    <t>mark</t>
    <phoneticPr fontId="1" type="noConversion"/>
  </si>
  <si>
    <t>StateEffect</t>
    <phoneticPr fontId="1" type="noConversion"/>
  </si>
  <si>
    <t>DamageTransfer</t>
    <phoneticPr fontId="1" type="noConversion"/>
  </si>
  <si>
    <t>DamageAbsorb</t>
    <phoneticPr fontId="1" type="noConversion"/>
  </si>
  <si>
    <t xml:space="preserve">DamageStore </t>
    <phoneticPr fontId="1" type="noConversion"/>
  </si>
  <si>
    <t>Freeze</t>
    <phoneticPr fontId="1" type="noConversion"/>
  </si>
  <si>
    <t>Last</t>
    <phoneticPr fontId="1" type="noConversion"/>
  </si>
  <si>
    <t>Imm</t>
    <phoneticPr fontId="1" type="noConversion"/>
  </si>
  <si>
    <t>Explode</t>
    <phoneticPr fontId="1" type="noConversion"/>
  </si>
  <si>
    <t>Silent</t>
    <phoneticPr fontId="1" type="noConversion"/>
  </si>
  <si>
    <t>Silent</t>
    <phoneticPr fontId="1" type="noConversion"/>
  </si>
  <si>
    <t>沉默</t>
    <phoneticPr fontId="1" type="noConversion"/>
  </si>
  <si>
    <t>不能使用技能</t>
    <phoneticPr fontId="1" type="noConversion"/>
  </si>
  <si>
    <t>Disperse</t>
    <phoneticPr fontId="1" type="noConversion"/>
  </si>
  <si>
    <t>OffensiveDisperse</t>
    <phoneticPr fontId="1" type="noConversion"/>
  </si>
  <si>
    <t>效果参数：根据不同效果参数的意义不同</t>
    <phoneticPr fontId="1" type="noConversion"/>
  </si>
  <si>
    <t>SpecialEffect</t>
    <phoneticPr fontId="1" type="noConversion"/>
  </si>
  <si>
    <t>string[;]</t>
    <phoneticPr fontId="1" type="noConversion"/>
  </si>
  <si>
    <t>specialEffect</t>
    <phoneticPr fontId="1" type="noConversion"/>
  </si>
  <si>
    <t>specialEffectArgs</t>
    <phoneticPr fontId="1" type="noConversion"/>
  </si>
  <si>
    <t>`</t>
    <phoneticPr fontId="1" type="noConversion"/>
  </si>
  <si>
    <t>m_pat=10</t>
    <phoneticPr fontId="1" type="noConversion"/>
  </si>
  <si>
    <t>m_pat=10</t>
    <phoneticPr fontId="1" type="noConversion"/>
  </si>
  <si>
    <t>伤害</t>
    <phoneticPr fontId="1" type="noConversion"/>
  </si>
  <si>
    <t>Laser:1.5*at</t>
    <phoneticPr fontId="1" type="noConversion"/>
  </si>
  <si>
    <t>Laser:1.7*at</t>
  </si>
  <si>
    <t>Cartridge:1.2*at</t>
    <phoneticPr fontId="1" type="noConversion"/>
  </si>
  <si>
    <t>string[:]</t>
    <phoneticPr fontId="1" type="noConversion"/>
  </si>
  <si>
    <t>召唤物属性表达式，如果没有相应的属性表达，默认为0</t>
    <phoneticPr fontId="1" type="noConversion"/>
  </si>
  <si>
    <t>propertys</t>
    <phoneticPr fontId="1" type="noConversion"/>
  </si>
  <si>
    <t>SpecialAction</t>
    <phoneticPr fontId="1" type="noConversion"/>
  </si>
  <si>
    <t>行为模式（复制攻击、反击等）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</si>
  <si>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</si>
  <si>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</si>
  <si>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</si>
  <si>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行为参数</t>
    <phoneticPr fontId="1" type="noConversion"/>
  </si>
  <si>
    <t>speciaArg</t>
    <phoneticPr fontId="1" type="noConversion"/>
  </si>
  <si>
    <t>能耗</t>
    <phoneticPr fontId="1" type="noConversion"/>
  </si>
  <si>
    <t>usePower</t>
    <phoneticPr fontId="1" type="noConversion"/>
  </si>
  <si>
    <t>string[|;]</t>
    <phoneticPr fontId="1" type="noConversion"/>
  </si>
  <si>
    <t>passiveType</t>
    <phoneticPr fontId="1" type="noConversion"/>
  </si>
  <si>
    <t>PassiveType[|]</t>
    <phoneticPr fontId="1" type="noConversion"/>
  </si>
  <si>
    <t>参数，根据作用类型解释成不同的作用</t>
    <phoneticPr fontId="1" type="noConversion"/>
  </si>
  <si>
    <t>Property</t>
    <phoneticPr fontId="1" type="noConversion"/>
  </si>
  <si>
    <t xml:space="preserve">DamageReduction </t>
    <phoneticPr fontId="1" type="noConversion"/>
  </si>
  <si>
    <t>Buff/Debuff:true为buff</t>
    <phoneticPr fontId="1" type="noConversion"/>
  </si>
  <si>
    <t>isBuff</t>
    <phoneticPr fontId="1" type="noConversion"/>
  </si>
  <si>
    <t>状态优先级</t>
    <phoneticPr fontId="1" type="noConversion"/>
  </si>
  <si>
    <t>激活技能编号，这是一个一维数组，对应该技能点开启\升级的技能ID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</si>
  <si>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</si>
  <si>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</si>
  <si>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</si>
  <si>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标记：美术表现</t>
    <phoneticPr fontId="1" type="noConversion"/>
  </si>
  <si>
    <t>效果：一个状态可以有多个效果</t>
    <phoneticPr fontId="1" type="noConversion"/>
  </si>
  <si>
    <t>stateEffects</t>
    <phoneticPr fontId="1" type="noConversion"/>
  </si>
  <si>
    <t>args</t>
    <phoneticPr fontId="1" type="noConversion"/>
  </si>
  <si>
    <t>priority</t>
    <phoneticPr fontId="1" type="noConversion"/>
  </si>
  <si>
    <t>角色需求技能点：要开启/升级该技能需要的技能点数量。该数组的长度，不大于skillids的长度，如果该长度小于skillIds，表示该角色将不能学会该技能的最高等级。注意，该值可以为负。</t>
    <phoneticPr fontId="1" type="noConversion"/>
  </si>
  <si>
    <t>characterActivate</t>
    <phoneticPr fontId="1" type="noConversion"/>
  </si>
  <si>
    <t>skillIds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</si>
</sst>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2" fillId="2" borderId="1" xfId="0" applyFont="1" applyFill="1" applyBorder="1"/>
    <xf numFmtId="0" fontId="3" fillId="0" borderId="0" xfId="0" applyFont="1" applyBorder="1"/>
    <xf numFmtId="0" fontId="3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1" xfId="0" applyFont="1" applyFill="1" applyBorder="1"/>
    <xf numFmtId="0" fontId="3" fillId="0" borderId="0" xfId="0" applyFont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1" xfId="0" applyFont="1" applyFill="1" applyBorder="1" applyAlignment="1">
      <alignment horizontal="left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3" fillId="0" borderId="1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</cellXfs>
  <cellStyles count="1">
    <cellStyle name="常规" xfId="0" builtinId="0"/>
  </cellStyles>
  <dxfs count="39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161925</xdr:colOff>
      <xdr:row>11</xdr:row>
      <xdr:rowOff>47626</xdr:rowOff>
    </xdr:from>
    <xdr:to>
      <xdr:col>1</xdr:col>
      <xdr:colOff>2085975</xdr:colOff>
      <xdr:row>15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1000125" y="2038351"/>
          <a:ext cx="1924050" cy="7429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1</xdr:col>
      <xdr:colOff>4781550</xdr:colOff>
      <xdr:row>7</xdr:row>
      <xdr:rowOff>123825</xdr:rowOff>
    </xdr:from>
    <xdr:to>
      <xdr:col>4</xdr:col>
      <xdr:colOff>219075</xdr:colOff>
      <xdr:row>22</xdr:row>
      <xdr:rowOff>85725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5619750" y="2219325"/>
          <a:ext cx="4038600" cy="26765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95250</xdr:colOff>
      <xdr:row>11</xdr:row>
      <xdr:rowOff>95251</xdr:rowOff>
    </xdr:from>
    <xdr:to>
      <xdr:col>9</xdr:col>
      <xdr:colOff>1352550</xdr:colOff>
      <xdr:row>22</xdr:row>
      <xdr:rowOff>123825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686675" y="2400301"/>
          <a:ext cx="4286250" cy="2333624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en-US" altLang="zh-CN" sz="2400" b="1"/>
            <a:t>NOTICE</a:t>
          </a:r>
        </a:p>
        <a:p>
          <a:endParaRPr lang="en-US" altLang="zh-CN" sz="1100"/>
        </a:p>
        <a:p>
          <a:r>
            <a:rPr lang="en-US" altLang="zh-CN" sz="1100"/>
            <a:t>SpecialAction</a:t>
          </a:r>
          <a:r>
            <a:rPr lang="zh-CN" altLang="en-US" sz="1100"/>
            <a:t>对应多种行为模式，其不同行为，对应行为参数解释为不同内容。</a:t>
          </a:r>
          <a:endParaRPr lang="en-US" altLang="zh-CN" sz="1100"/>
        </a:p>
        <a:p>
          <a:r>
            <a:rPr lang="en-US" altLang="zh-CN" sz="1100" baseline="0"/>
            <a:t>       </a:t>
          </a:r>
          <a:r>
            <a:rPr lang="en-US" altLang="zh-CN" sz="1100"/>
            <a:t>NormalAttack---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</a:t>
          </a:r>
          <a:r>
            <a:rPr lang="zh-CN" altLang="en-US" sz="1100"/>
            <a:t>主动攻击编号</a:t>
          </a:r>
          <a:r>
            <a:rPr lang="en-US" altLang="zh-CN" sz="1100"/>
            <a:t>|</a:t>
          </a:r>
          <a:r>
            <a:rPr lang="zh-CN" altLang="en-US" sz="1100"/>
            <a:t>攻击间隔</a:t>
          </a:r>
          <a:endParaRPr lang="en-US" altLang="zh-CN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100"/>
            <a:t>       </a:t>
          </a:r>
          <a:r>
            <a:rPr lang="en-US" altLang="zh-CN" sz="1100">
              <a:solidFill>
                <a:schemeClr val="lt1"/>
              </a:solidFill>
              <a:latin typeface="+mn-lt"/>
              <a:ea typeface="+mn-ea"/>
              <a:cs typeface="+mn-cs"/>
            </a:rPr>
            <a:t>CopyAttack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------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能量上限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|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恢复速度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(</a:t>
          </a:r>
          <a:r>
            <a:rPr lang="zh-CN" alt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几回合恢复至上限</a:t>
          </a:r>
          <a:r>
            <a:rPr lang="en-US" altLang="zh-CN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)</a:t>
          </a:r>
          <a:endParaRPr lang="en-US" altLang="zh-CN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190500</xdr:colOff>
      <xdr:row>22</xdr:row>
      <xdr:rowOff>76201</xdr:rowOff>
    </xdr:from>
    <xdr:to>
      <xdr:col>9</xdr:col>
      <xdr:colOff>3876675</xdr:colOff>
      <xdr:row>28</xdr:row>
      <xdr:rowOff>1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22EABCE4-AD5A-4DEF-AD85-74C909276D87}"/>
            </a:ext>
          </a:extLst>
        </xdr:cNvPr>
        <xdr:cNvSpPr txBox="1"/>
      </xdr:nvSpPr>
      <xdr:spPr>
        <a:xfrm>
          <a:off x="8410575" y="4057651"/>
          <a:ext cx="3686175" cy="1009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需要一个参数来表示“当前造成的伤害”，以形成</a:t>
          </a:r>
          <a:r>
            <a:rPr lang="en-US" altLang="zh-CN" sz="1100"/>
            <a:t>DOT</a:t>
          </a:r>
          <a:r>
            <a:rPr lang="zh-CN" altLang="en-US" sz="1100"/>
            <a:t>状态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gHub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获取备注内容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id="2" name="表2" displayName="表2" ref="A3:C5" totalsRowShown="0">
  <autoFilter ref="A3:C5"/>
  <tableColumns count="3">
    <tableColumn id="1" name="id"/>
    <tableColumn id="2" name="skillIds"/>
    <tableColumn id="4" name="characterActivate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R6" totalsRowShown="0" headerRowDxfId="38" dataDxfId="37">
  <autoFilter ref="A3:R6"/>
  <tableColumns count="18">
    <tableColumn id="1" name="id" dataDxfId="36"/>
    <tableColumn id="2" name="name" dataDxfId="35"/>
    <tableColumn id="3" name="describe" dataDxfId="34"/>
    <tableColumn id="5" name="targetType" dataDxfId="33"/>
    <tableColumn id="11" name="targetLimit" dataDxfId="32"/>
    <tableColumn id="12" name="multipleType" dataDxfId="31"/>
    <tableColumn id="13" name="targetArg" dataDxfId="30"/>
    <tableColumn id="4" name="effect_fly" dataDxfId="29"/>
    <tableColumn id="14" name="effect_hit" dataDxfId="28"/>
    <tableColumn id="6" name="carry" dataDxfId="27"/>
    <tableColumn id="7" name="state_to_player" dataDxfId="26"/>
    <tableColumn id="8" name="state_to_monster" dataDxfId="25"/>
    <tableColumn id="9" name="damage" dataDxfId="24"/>
    <tableColumn id="10" name="pro_change" dataDxfId="23"/>
    <tableColumn id="17" name="specialEffect" dataDxfId="22"/>
    <tableColumn id="18" name="specialEffectArgs" dataDxfId="21"/>
    <tableColumn id="15" name="costTime" dataDxfId="20"/>
    <tableColumn id="16" name="usePower" dataDxfId="1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J6" totalsRowShown="0" headerRowDxfId="18" dataDxfId="17">
  <autoFilter ref="A3:J6"/>
  <tableColumns count="10">
    <tableColumn id="1" name="id" dataDxfId="16"/>
    <tableColumn id="2" name="name" dataDxfId="15"/>
    <tableColumn id="3" name="describe" dataDxfId="14"/>
    <tableColumn id="4" name="targetType" dataDxfId="13"/>
    <tableColumn id="10" name="carry" dataDxfId="12"/>
    <tableColumn id="5" name="propertys" dataDxfId="11"/>
    <tableColumn id="6" name="prefab" dataDxfId="10"/>
    <tableColumn id="7" name="costTime" dataDxfId="9"/>
    <tableColumn id="12" name="specialAction" dataDxfId="8"/>
    <tableColumn id="13" name="speciaArg" dataDxfId="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E5" totalsRowShown="0" headerRowDxfId="6" dataDxfId="5">
  <autoFilter ref="A3:E5"/>
  <tableColumns count="5">
    <tableColumn id="1" name="id" dataDxfId="4"/>
    <tableColumn id="2" name="name" dataDxfId="3"/>
    <tableColumn id="3" name="describe" dataDxfId="2"/>
    <tableColumn id="4" name="passiveType" dataDxfId="1"/>
    <tableColumn id="5" name="args" dataDxfId="0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J4" totalsRowShown="0">
  <autoFilter ref="A3:J4"/>
  <tableColumns count="10">
    <tableColumn id="1" name="id"/>
    <tableColumn id="2" name="name"/>
    <tableColumn id="3" name="describe"/>
    <tableColumn id="4" name="isBuff"/>
    <tableColumn id="5" name="max"/>
    <tableColumn id="6" name="time"/>
    <tableColumn id="7" name="mark"/>
    <tableColumn id="8" name="priority"/>
    <tableColumn id="9" name="stateEffects"/>
    <tableColumn id="10" name="arg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5"/>
  <sheetViews>
    <sheetView showGridLines="0" tabSelected="1" zoomScaleNormal="100" workbookViewId="0">
      <selection activeCell="B22" sqref="B22"/>
    </sheetView>
  </sheetViews>
  <sheetFormatPr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3" s="14" customFormat="1" ht="79.5" customHeight="1" x14ac:dyDescent="0.2">
      <c r="A1" s="13" t="s">
        <v>122</v>
      </c>
      <c r="B1" s="13" t="s">
        <v>223</v>
      </c>
      <c r="C1" s="13" t="s">
        <v>232</v>
      </c>
    </row>
    <row r="2" spans="1:3" x14ac:dyDescent="0.2">
      <c r="A2" s="10" t="s">
        <v>124</v>
      </c>
      <c r="B2" s="10" t="s">
        <v>125</v>
      </c>
      <c r="C2" s="10" t="s">
        <v>224</v>
      </c>
    </row>
    <row r="3" spans="1:3" x14ac:dyDescent="0.2">
      <c r="A3" t="s">
        <v>123</v>
      </c>
      <c r="B3" t="s">
        <v>234</v>
      </c>
      <c r="C3" t="s">
        <v>233</v>
      </c>
    </row>
    <row r="4" spans="1:3" x14ac:dyDescent="0.2">
      <c r="A4">
        <v>101</v>
      </c>
      <c r="B4" t="s">
        <v>126</v>
      </c>
      <c r="C4" t="s">
        <v>226</v>
      </c>
    </row>
    <row r="5" spans="1:3" x14ac:dyDescent="0.2">
      <c r="A5">
        <v>102</v>
      </c>
      <c r="B5" t="s">
        <v>127</v>
      </c>
      <c r="C5" t="s">
        <v>225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6"/>
  <sheetViews>
    <sheetView showGridLines="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P15" sqref="P15"/>
    </sheetView>
  </sheetViews>
  <sheetFormatPr defaultRowHeight="16.5" x14ac:dyDescent="0.3"/>
  <cols>
    <col min="1" max="2" width="9.625" style="7" bestFit="1" customWidth="1"/>
    <col min="3" max="3" width="9.625" style="7" customWidth="1"/>
    <col min="4" max="4" width="18.375" style="7" bestFit="1" customWidth="1"/>
    <col min="5" max="5" width="33.875" style="7" bestFit="1" customWidth="1"/>
    <col min="6" max="6" width="35.875" style="7" bestFit="1" customWidth="1"/>
    <col min="7" max="7" width="42.625" style="7" customWidth="1"/>
    <col min="8" max="8" width="44.25" style="7" bestFit="1" customWidth="1"/>
    <col min="9" max="9" width="18.375" style="7" customWidth="1"/>
    <col min="10" max="10" width="9.125" style="7" bestFit="1" customWidth="1"/>
    <col min="11" max="11" width="15.125" style="7" bestFit="1" customWidth="1"/>
    <col min="12" max="12" width="16.75" style="7" customWidth="1"/>
    <col min="13" max="13" width="16.875" style="7" bestFit="1" customWidth="1"/>
    <col min="14" max="15" width="12.375" style="7" customWidth="1"/>
    <col min="16" max="16" width="20.75" style="7" bestFit="1" customWidth="1"/>
    <col min="17" max="17" width="14.125" style="7" bestFit="1" customWidth="1"/>
    <col min="18" max="18" width="13.125" style="7" bestFit="1" customWidth="1"/>
    <col min="19" max="16384" width="9" style="7"/>
  </cols>
  <sheetData>
    <row r="1" spans="1:18" s="17" customFormat="1" ht="64.5" customHeight="1" x14ac:dyDescent="0.2">
      <c r="A1" s="15" t="s">
        <v>0</v>
      </c>
      <c r="B1" s="15" t="s">
        <v>3</v>
      </c>
      <c r="C1" s="15" t="s">
        <v>8</v>
      </c>
      <c r="D1" s="15" t="s">
        <v>9</v>
      </c>
      <c r="E1" s="15" t="s">
        <v>107</v>
      </c>
      <c r="F1" s="15" t="s">
        <v>48</v>
      </c>
      <c r="G1" s="15" t="s">
        <v>19</v>
      </c>
      <c r="H1" s="15" t="s">
        <v>49</v>
      </c>
      <c r="I1" s="15" t="s">
        <v>56</v>
      </c>
      <c r="J1" s="15" t="s">
        <v>114</v>
      </c>
      <c r="K1" s="15" t="s">
        <v>115</v>
      </c>
      <c r="L1" s="15" t="s">
        <v>116</v>
      </c>
      <c r="M1" s="15" t="s">
        <v>198</v>
      </c>
      <c r="N1" s="15" t="s">
        <v>14</v>
      </c>
      <c r="O1" s="15" t="s">
        <v>152</v>
      </c>
      <c r="P1" s="15" t="s">
        <v>190</v>
      </c>
      <c r="Q1" s="16" t="s">
        <v>84</v>
      </c>
      <c r="R1" s="15" t="s">
        <v>212</v>
      </c>
    </row>
    <row r="2" spans="1:18" x14ac:dyDescent="0.3">
      <c r="A2" s="8" t="s">
        <v>1</v>
      </c>
      <c r="B2" s="8" t="s">
        <v>4</v>
      </c>
      <c r="C2" s="8" t="s">
        <v>7</v>
      </c>
      <c r="D2" s="8" t="s">
        <v>98</v>
      </c>
      <c r="E2" s="8" t="s">
        <v>100</v>
      </c>
      <c r="F2" s="8" t="s">
        <v>65</v>
      </c>
      <c r="G2" s="8" t="s">
        <v>111</v>
      </c>
      <c r="H2" s="8" t="s">
        <v>18</v>
      </c>
      <c r="I2" s="8" t="s">
        <v>18</v>
      </c>
      <c r="J2" s="8" t="s">
        <v>80</v>
      </c>
      <c r="K2" s="8" t="s">
        <v>11</v>
      </c>
      <c r="L2" s="8" t="s">
        <v>11</v>
      </c>
      <c r="M2" s="8" t="s">
        <v>202</v>
      </c>
      <c r="N2" s="8" t="s">
        <v>15</v>
      </c>
      <c r="O2" s="8" t="s">
        <v>191</v>
      </c>
      <c r="P2" s="8" t="s">
        <v>192</v>
      </c>
      <c r="Q2" s="9" t="s">
        <v>120</v>
      </c>
      <c r="R2" s="8" t="s">
        <v>78</v>
      </c>
    </row>
    <row r="3" spans="1:18" x14ac:dyDescent="0.3">
      <c r="A3" s="7" t="s">
        <v>2</v>
      </c>
      <c r="B3" s="7" t="s">
        <v>64</v>
      </c>
      <c r="C3" s="7" t="s">
        <v>6</v>
      </c>
      <c r="D3" s="7" t="s">
        <v>94</v>
      </c>
      <c r="E3" s="7" t="s">
        <v>99</v>
      </c>
      <c r="F3" s="7" t="s">
        <v>109</v>
      </c>
      <c r="G3" s="7" t="s">
        <v>110</v>
      </c>
      <c r="H3" s="7" t="s">
        <v>113</v>
      </c>
      <c r="I3" s="7" t="s">
        <v>43</v>
      </c>
      <c r="J3" s="7" t="s">
        <v>10</v>
      </c>
      <c r="K3" s="7" t="s">
        <v>12</v>
      </c>
      <c r="L3" s="7" t="s">
        <v>13</v>
      </c>
      <c r="M3" s="7" t="s">
        <v>117</v>
      </c>
      <c r="N3" s="7" t="s">
        <v>118</v>
      </c>
      <c r="O3" s="7" t="s">
        <v>193</v>
      </c>
      <c r="P3" s="7" t="s">
        <v>194</v>
      </c>
      <c r="Q3" s="7" t="s">
        <v>119</v>
      </c>
      <c r="R3" s="7" t="s">
        <v>213</v>
      </c>
    </row>
    <row r="4" spans="1:18" x14ac:dyDescent="0.3">
      <c r="A4" s="7">
        <v>1000001</v>
      </c>
      <c r="B4" s="7" t="s">
        <v>77</v>
      </c>
      <c r="C4" s="7" t="s">
        <v>16</v>
      </c>
      <c r="D4" s="7" t="s">
        <v>33</v>
      </c>
      <c r="F4" s="7" t="s">
        <v>52</v>
      </c>
      <c r="G4" s="7" t="s">
        <v>95</v>
      </c>
      <c r="H4" s="7" t="s">
        <v>73</v>
      </c>
      <c r="I4" s="7" t="s">
        <v>20</v>
      </c>
      <c r="J4" s="7" t="s">
        <v>85</v>
      </c>
      <c r="M4" s="7" t="s">
        <v>199</v>
      </c>
      <c r="Q4" s="7">
        <v>0</v>
      </c>
      <c r="R4" s="7">
        <v>10</v>
      </c>
    </row>
    <row r="5" spans="1:18" x14ac:dyDescent="0.3">
      <c r="A5" s="7">
        <v>1000002</v>
      </c>
      <c r="B5" s="7" t="s">
        <v>91</v>
      </c>
      <c r="C5" s="7" t="s">
        <v>16</v>
      </c>
      <c r="D5" s="7" t="s">
        <v>33</v>
      </c>
      <c r="F5" s="7" t="s">
        <v>97</v>
      </c>
      <c r="G5" s="7" t="s">
        <v>112</v>
      </c>
      <c r="H5" s="7" t="s">
        <v>72</v>
      </c>
      <c r="I5" s="7" t="s">
        <v>20</v>
      </c>
      <c r="J5" s="7" t="s">
        <v>85</v>
      </c>
      <c r="M5" s="7" t="s">
        <v>201</v>
      </c>
      <c r="Q5" s="7">
        <v>0</v>
      </c>
      <c r="R5" s="7">
        <v>5</v>
      </c>
    </row>
    <row r="6" spans="1:18" x14ac:dyDescent="0.3">
      <c r="A6" s="7">
        <v>1000003</v>
      </c>
      <c r="B6" s="7" t="s">
        <v>92</v>
      </c>
      <c r="C6" s="7" t="s">
        <v>41</v>
      </c>
      <c r="D6" s="7" t="s">
        <v>33</v>
      </c>
      <c r="F6" s="7" t="s">
        <v>44</v>
      </c>
      <c r="G6" s="7" t="s">
        <v>96</v>
      </c>
      <c r="H6" s="7" t="s">
        <v>73</v>
      </c>
      <c r="I6" s="7" t="s">
        <v>20</v>
      </c>
      <c r="J6" s="7" t="s">
        <v>86</v>
      </c>
      <c r="M6" s="7" t="s">
        <v>200</v>
      </c>
      <c r="Q6" s="7">
        <v>0</v>
      </c>
      <c r="R6" s="7">
        <v>6</v>
      </c>
    </row>
  </sheetData>
  <phoneticPr fontId="1" type="noConversion"/>
  <dataValidations count="2">
    <dataValidation type="list" allowBlank="1" showInputMessage="1" showErrorMessage="1" sqref="F4:F6">
      <formula1>MultipleTarget</formula1>
    </dataValidation>
    <dataValidation type="list" allowBlank="1" showInputMessage="1" showErrorMessage="1" sqref="D4:D6">
      <formula1>TargetType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枚举参数!$Z$2:$Z$7</xm:f>
          </x14:formula1>
          <xm:sqref>O4:O6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13"/>
  <sheetViews>
    <sheetView showGridLines="0" zoomScaleNormal="100" workbookViewId="0">
      <selection activeCell="F19" sqref="F19"/>
    </sheetView>
  </sheetViews>
  <sheetFormatPr defaultRowHeight="16.5" x14ac:dyDescent="0.3"/>
  <cols>
    <col min="1" max="1" width="9.625" style="3" bestFit="1" customWidth="1"/>
    <col min="2" max="2" width="10.625" style="3" bestFit="1" customWidth="1"/>
    <col min="3" max="3" width="23.75" style="3" bestFit="1" customWidth="1"/>
    <col min="4" max="4" width="18.375" style="3" bestFit="1" customWidth="1"/>
    <col min="5" max="5" width="18.375" style="3" customWidth="1"/>
    <col min="6" max="6" width="28.75" style="3" customWidth="1"/>
    <col min="7" max="7" width="9" style="3"/>
    <col min="8" max="8" width="14.75" style="3" customWidth="1"/>
    <col min="9" max="9" width="29.625" style="3" bestFit="1" customWidth="1"/>
    <col min="10" max="10" width="29.625" style="3" customWidth="1"/>
    <col min="11" max="16384" width="9" style="3"/>
  </cols>
  <sheetData>
    <row r="1" spans="1:10" s="17" customFormat="1" ht="46.5" customHeight="1" x14ac:dyDescent="0.2">
      <c r="A1" s="15" t="s">
        <v>0</v>
      </c>
      <c r="B1" s="15" t="s">
        <v>3</v>
      </c>
      <c r="C1" s="15" t="s">
        <v>8</v>
      </c>
      <c r="D1" s="15" t="s">
        <v>150</v>
      </c>
      <c r="E1" s="15" t="s">
        <v>29</v>
      </c>
      <c r="F1" s="16" t="s">
        <v>203</v>
      </c>
      <c r="G1" s="16" t="s">
        <v>28</v>
      </c>
      <c r="H1" s="16" t="s">
        <v>84</v>
      </c>
      <c r="I1" s="16" t="s">
        <v>206</v>
      </c>
      <c r="J1" s="16" t="s">
        <v>210</v>
      </c>
    </row>
    <row r="2" spans="1:10" x14ac:dyDescent="0.3">
      <c r="A2" s="4" t="s">
        <v>1</v>
      </c>
      <c r="B2" s="4" t="s">
        <v>4</v>
      </c>
      <c r="C2" s="4" t="s">
        <v>4</v>
      </c>
      <c r="D2" s="4" t="s">
        <v>17</v>
      </c>
      <c r="E2" s="4" t="s">
        <v>81</v>
      </c>
      <c r="F2" s="6" t="s">
        <v>137</v>
      </c>
      <c r="G2" s="6" t="s">
        <v>24</v>
      </c>
      <c r="H2" s="6" t="s">
        <v>21</v>
      </c>
      <c r="I2" s="6" t="s">
        <v>205</v>
      </c>
      <c r="J2" s="6" t="s">
        <v>62</v>
      </c>
    </row>
    <row r="3" spans="1:10" x14ac:dyDescent="0.3">
      <c r="A3" s="3" t="s">
        <v>22</v>
      </c>
      <c r="B3" s="3" t="s">
        <v>5</v>
      </c>
      <c r="C3" s="3" t="s">
        <v>63</v>
      </c>
      <c r="D3" s="3" t="s">
        <v>151</v>
      </c>
      <c r="E3" s="3" t="s">
        <v>30</v>
      </c>
      <c r="F3" s="3" t="s">
        <v>204</v>
      </c>
      <c r="G3" s="3" t="s">
        <v>27</v>
      </c>
      <c r="H3" s="3" t="s">
        <v>26</v>
      </c>
      <c r="I3" s="3" t="s">
        <v>207</v>
      </c>
      <c r="J3" s="3" t="s">
        <v>211</v>
      </c>
    </row>
    <row r="4" spans="1:10" x14ac:dyDescent="0.3">
      <c r="A4" s="3">
        <v>2000001</v>
      </c>
      <c r="B4" s="3" t="s">
        <v>76</v>
      </c>
      <c r="C4" s="3" t="s">
        <v>23</v>
      </c>
      <c r="D4" s="3" t="s">
        <v>45</v>
      </c>
      <c r="E4" s="3" t="s">
        <v>82</v>
      </c>
      <c r="F4" s="3" t="s">
        <v>196</v>
      </c>
      <c r="G4" s="3" t="s">
        <v>25</v>
      </c>
      <c r="H4" s="3">
        <v>0</v>
      </c>
      <c r="I4" s="3" t="s">
        <v>61</v>
      </c>
      <c r="J4" s="7" t="s">
        <v>87</v>
      </c>
    </row>
    <row r="5" spans="1:10" x14ac:dyDescent="0.3">
      <c r="A5" s="3">
        <v>2000002</v>
      </c>
      <c r="B5" s="3" t="s">
        <v>74</v>
      </c>
      <c r="C5" s="3" t="s">
        <v>66</v>
      </c>
      <c r="D5" s="3" t="s">
        <v>68</v>
      </c>
      <c r="E5" s="3" t="s">
        <v>83</v>
      </c>
      <c r="F5" s="3" t="s">
        <v>197</v>
      </c>
      <c r="G5" s="3" t="s">
        <v>69</v>
      </c>
      <c r="H5" s="3">
        <v>0</v>
      </c>
      <c r="I5" s="3" t="s">
        <v>60</v>
      </c>
      <c r="J5" s="7" t="s">
        <v>88</v>
      </c>
    </row>
    <row r="6" spans="1:10" x14ac:dyDescent="0.3">
      <c r="A6" s="3">
        <v>2000003</v>
      </c>
      <c r="B6" s="3" t="s">
        <v>75</v>
      </c>
      <c r="C6" s="3" t="s">
        <v>67</v>
      </c>
      <c r="D6" s="3" t="s">
        <v>57</v>
      </c>
      <c r="E6" s="3" t="s">
        <v>83</v>
      </c>
      <c r="G6" s="3" t="s">
        <v>70</v>
      </c>
      <c r="H6" s="3">
        <v>0</v>
      </c>
      <c r="I6" s="3" t="s">
        <v>71</v>
      </c>
      <c r="J6" s="7" t="s">
        <v>79</v>
      </c>
    </row>
    <row r="13" spans="1:10" x14ac:dyDescent="0.3">
      <c r="G13" s="3" t="s">
        <v>195</v>
      </c>
    </row>
  </sheetData>
  <phoneticPr fontId="1" type="noConversion"/>
  <dataValidations count="2">
    <dataValidation type="list" allowBlank="1" showInputMessage="1" showErrorMessage="1" sqref="D4:D6">
      <formula1>TargetType</formula1>
    </dataValidation>
    <dataValidation type="list" allowBlank="1" showInputMessage="1" showErrorMessage="1" sqref="I4:I6">
      <formula1>SpecialAction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5"/>
  <sheetViews>
    <sheetView showGridLines="0" workbookViewId="0">
      <selection activeCell="G13" sqref="G13:G14"/>
    </sheetView>
  </sheetViews>
  <sheetFormatPr defaultRowHeight="14.25" x14ac:dyDescent="0.2"/>
  <cols>
    <col min="1" max="1" width="9" style="12"/>
    <col min="2" max="2" width="11.875" style="12" customWidth="1"/>
    <col min="3" max="3" width="18.5" style="12" bestFit="1" customWidth="1"/>
    <col min="4" max="4" width="16.25" style="12" customWidth="1"/>
    <col min="5" max="5" width="18.625" style="12" customWidth="1"/>
    <col min="6" max="16384" width="9" style="12"/>
  </cols>
  <sheetData>
    <row r="1" spans="1:5" s="14" customFormat="1" ht="60" customHeight="1" x14ac:dyDescent="0.2">
      <c r="A1" s="13" t="s">
        <v>128</v>
      </c>
      <c r="B1" s="13" t="s">
        <v>131</v>
      </c>
      <c r="C1" s="13" t="s">
        <v>132</v>
      </c>
      <c r="D1" s="13" t="s">
        <v>133</v>
      </c>
      <c r="E1" s="13" t="s">
        <v>217</v>
      </c>
    </row>
    <row r="2" spans="1:5" x14ac:dyDescent="0.2">
      <c r="A2" s="11" t="s">
        <v>129</v>
      </c>
      <c r="B2" s="11" t="s">
        <v>134</v>
      </c>
      <c r="C2" s="11" t="s">
        <v>134</v>
      </c>
      <c r="D2" s="11" t="s">
        <v>216</v>
      </c>
      <c r="E2" s="11" t="s">
        <v>214</v>
      </c>
    </row>
    <row r="3" spans="1:5" x14ac:dyDescent="0.2">
      <c r="A3" s="12" t="s">
        <v>130</v>
      </c>
      <c r="B3" s="12" t="s">
        <v>138</v>
      </c>
      <c r="C3" s="12" t="s">
        <v>170</v>
      </c>
      <c r="D3" s="12" t="s">
        <v>215</v>
      </c>
      <c r="E3" s="12" t="s">
        <v>139</v>
      </c>
    </row>
    <row r="4" spans="1:5" x14ac:dyDescent="0.2">
      <c r="A4" s="12">
        <v>3000001</v>
      </c>
      <c r="B4" s="12" t="s">
        <v>140</v>
      </c>
      <c r="C4" s="12" t="s">
        <v>141</v>
      </c>
      <c r="D4" s="12" t="s">
        <v>135</v>
      </c>
      <c r="E4" s="12" t="s">
        <v>144</v>
      </c>
    </row>
    <row r="5" spans="1:5" x14ac:dyDescent="0.2">
      <c r="A5" s="12">
        <v>3000002</v>
      </c>
      <c r="B5" s="12" t="s">
        <v>142</v>
      </c>
      <c r="C5" s="12" t="s">
        <v>143</v>
      </c>
      <c r="D5" s="12" t="s">
        <v>219</v>
      </c>
      <c r="E5" s="12">
        <v>0.1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枚举参数!$P$2:$P$3</xm:f>
          </x14:formula1>
          <xm:sqref>D4:D5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4"/>
  <sheetViews>
    <sheetView showGridLines="0" workbookViewId="0">
      <selection activeCell="I16" sqref="I16"/>
    </sheetView>
  </sheetViews>
  <sheetFormatPr defaultRowHeight="14.25" x14ac:dyDescent="0.2"/>
  <cols>
    <col min="1" max="1" width="8.5" bestFit="1" customWidth="1"/>
    <col min="2" max="2" width="8.25" bestFit="1" customWidth="1"/>
    <col min="3" max="3" width="13" bestFit="1" customWidth="1"/>
    <col min="4" max="4" width="20.25" bestFit="1" customWidth="1"/>
    <col min="5" max="5" width="9" bestFit="1" customWidth="1"/>
    <col min="7" max="7" width="15.125" bestFit="1" customWidth="1"/>
    <col min="8" max="8" width="11" bestFit="1" customWidth="1"/>
    <col min="9" max="9" width="29.625" bestFit="1" customWidth="1"/>
    <col min="10" max="10" width="74.75" customWidth="1"/>
  </cols>
  <sheetData>
    <row r="1" spans="1:10" s="14" customFormat="1" ht="68.25" customHeight="1" x14ac:dyDescent="0.2">
      <c r="A1" s="13" t="s">
        <v>0</v>
      </c>
      <c r="B1" s="13" t="s">
        <v>164</v>
      </c>
      <c r="C1" s="13" t="s">
        <v>8</v>
      </c>
      <c r="D1" s="13" t="s">
        <v>220</v>
      </c>
      <c r="E1" s="13" t="s">
        <v>165</v>
      </c>
      <c r="F1" s="13" t="s">
        <v>161</v>
      </c>
      <c r="G1" s="13" t="s">
        <v>227</v>
      </c>
      <c r="H1" s="13" t="s">
        <v>222</v>
      </c>
      <c r="I1" s="13" t="s">
        <v>228</v>
      </c>
      <c r="J1" s="13" t="s">
        <v>168</v>
      </c>
    </row>
    <row r="2" spans="1:10" x14ac:dyDescent="0.2">
      <c r="A2" s="10" t="s">
        <v>121</v>
      </c>
      <c r="B2" s="10" t="s">
        <v>134</v>
      </c>
      <c r="C2" s="10" t="s">
        <v>134</v>
      </c>
      <c r="D2" s="10" t="s">
        <v>172</v>
      </c>
      <c r="E2" s="10" t="s">
        <v>173</v>
      </c>
      <c r="F2" s="10" t="s">
        <v>162</v>
      </c>
      <c r="G2" s="10" t="s">
        <v>4</v>
      </c>
      <c r="H2" s="10" t="s">
        <v>169</v>
      </c>
      <c r="I2" s="10" t="s">
        <v>167</v>
      </c>
      <c r="J2" s="10" t="s">
        <v>166</v>
      </c>
    </row>
    <row r="3" spans="1:10" x14ac:dyDescent="0.2">
      <c r="A3" t="s">
        <v>130</v>
      </c>
      <c r="B3" t="s">
        <v>5</v>
      </c>
      <c r="C3" t="s">
        <v>171</v>
      </c>
      <c r="D3" t="s">
        <v>221</v>
      </c>
      <c r="E3" t="s">
        <v>174</v>
      </c>
      <c r="F3" t="s">
        <v>163</v>
      </c>
      <c r="G3" t="s">
        <v>175</v>
      </c>
      <c r="H3" t="s">
        <v>231</v>
      </c>
      <c r="I3" t="s">
        <v>229</v>
      </c>
      <c r="J3" t="s">
        <v>230</v>
      </c>
    </row>
    <row r="4" spans="1:10" x14ac:dyDescent="0.2">
      <c r="A4">
        <v>4000001</v>
      </c>
      <c r="B4" t="s">
        <v>186</v>
      </c>
      <c r="C4" t="s">
        <v>187</v>
      </c>
      <c r="D4" t="b">
        <v>0</v>
      </c>
      <c r="E4">
        <v>1</v>
      </c>
      <c r="F4">
        <v>3</v>
      </c>
      <c r="H4">
        <v>1</v>
      </c>
      <c r="I4" t="s">
        <v>185</v>
      </c>
    </row>
  </sheetData>
  <phoneticPr fontId="1" type="noConversion"/>
  <dataValidations count="1">
    <dataValidation type="list" allowBlank="1" showInputMessage="1" showErrorMessage="1" sqref="D4">
      <formula1>"true,false"</formula1>
    </dataValidation>
  </dataValidations>
  <pageMargins left="0.7" right="0.7" top="0.75" bottom="0.75" header="0.3" footer="0.3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枚举参数!$S$2:$S$10</xm:f>
          </x14:formula1>
          <xm:sqref>I4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13"/>
  <sheetViews>
    <sheetView showGridLines="0" workbookViewId="0">
      <selection activeCell="Z19" sqref="Z19"/>
    </sheetView>
  </sheetViews>
  <sheetFormatPr defaultRowHeight="16.5" x14ac:dyDescent="0.3"/>
  <cols>
    <col min="1" max="1" width="15.875" style="3" bestFit="1" customWidth="1"/>
    <col min="2" max="2" width="60.625" style="3" customWidth="1"/>
    <col min="3" max="3" width="9.125" style="3" customWidth="1"/>
    <col min="4" max="4" width="10.875" style="3" customWidth="1"/>
    <col min="5" max="5" width="14.875" style="3" bestFit="1" customWidth="1"/>
    <col min="6" max="6" width="103.5" style="3" customWidth="1"/>
    <col min="7" max="8" width="9" style="3"/>
    <col min="9" max="9" width="14.625" style="3" bestFit="1" customWidth="1"/>
    <col min="10" max="11" width="9" style="3"/>
    <col min="12" max="12" width="25.75" style="3" bestFit="1" customWidth="1"/>
    <col min="13" max="13" width="62.25" style="3" customWidth="1"/>
    <col min="14" max="14" width="9" style="3"/>
    <col min="15" max="15" width="7.375" style="3" customWidth="1"/>
    <col min="16" max="16" width="20.125" style="3" bestFit="1" customWidth="1"/>
    <col min="17" max="17" width="35.125" style="3" customWidth="1"/>
    <col min="18" max="18" width="9" style="3"/>
    <col min="19" max="19" width="17.375" style="3" bestFit="1" customWidth="1"/>
    <col min="20" max="20" width="106.75" style="3" customWidth="1"/>
    <col min="21" max="22" width="9" style="3"/>
    <col min="23" max="23" width="14.125" style="3" bestFit="1" customWidth="1"/>
    <col min="24" max="25" width="9" style="3"/>
    <col min="26" max="26" width="18.625" style="3" bestFit="1" customWidth="1"/>
    <col min="27" max="27" width="140.125" style="3" bestFit="1" customWidth="1"/>
    <col min="28" max="16384" width="9" style="3"/>
  </cols>
  <sheetData>
    <row r="1" spans="1:27" x14ac:dyDescent="0.3">
      <c r="A1" s="1" t="s">
        <v>89</v>
      </c>
      <c r="B1" s="4" t="str">
        <f>[1]!获取备注内容(A1)</f>
        <v>多目标类型</v>
      </c>
      <c r="C1" s="2"/>
      <c r="E1" s="1" t="s">
        <v>58</v>
      </c>
      <c r="F1" s="4" t="str">
        <f>[1]!获取备注内容(E1)</f>
        <v>决定技能的释放方式</v>
      </c>
      <c r="I1" s="1" t="s">
        <v>59</v>
      </c>
      <c r="L1" s="1" t="s">
        <v>101</v>
      </c>
      <c r="M1" s="4" t="str">
        <f>[1]!获取备注内容(L1)</f>
        <v>这是一个过滤列表，符合这个条件的怪物，将不能被该技能列为可选目标。这里没有直接把怪物拿过来用，因为限制条件可能比怪物类型更复杂，比如生命值低于100的生物型怪物，这时候就可能要多加一种类型</v>
      </c>
      <c r="P1" s="1" t="s">
        <v>145</v>
      </c>
      <c r="Q1" s="3" t="str">
        <f>[1]!获取备注内容(P1)</f>
        <v>被动技能作用类型</v>
      </c>
      <c r="S1" s="1" t="s">
        <v>176</v>
      </c>
      <c r="T1" s="3" t="str">
        <f>[1]!获取备注内容(S1)</f>
        <v/>
      </c>
      <c r="W1" s="1" t="s">
        <v>148</v>
      </c>
      <c r="Z1" s="1" t="s">
        <v>155</v>
      </c>
      <c r="AA1" s="3" t="str">
        <f>[1]!获取备注内容(Z1)</f>
        <v>主动技能的特殊效果</v>
      </c>
    </row>
    <row r="2" spans="1:27" x14ac:dyDescent="0.3">
      <c r="A2" s="4" t="s">
        <v>46</v>
      </c>
      <c r="B2" s="4" t="str">
        <f>[1]!获取备注内容(A2)</f>
        <v>默认，只会攻击一个目标</v>
      </c>
      <c r="C2" s="2"/>
      <c r="E2" s="4" t="s">
        <v>34</v>
      </c>
      <c r="F2" s="4" t="str">
        <f>[1]!获取备注内容(E2)</f>
        <v>玩家对自己释放，不需要指定目标</v>
      </c>
      <c r="I2" s="4" t="s">
        <v>208</v>
      </c>
      <c r="L2" s="4" t="s">
        <v>108</v>
      </c>
      <c r="M2" s="4" t="str">
        <f>[1]!获取备注内容(L2)</f>
        <v>枚举默认值，表示没有任何过滤</v>
      </c>
      <c r="P2" s="4" t="s">
        <v>218</v>
      </c>
      <c r="Q2" s="3" t="str">
        <f>[1]!获取备注内容(P2)</f>
        <v>增加/减少属性</v>
      </c>
      <c r="S2" s="4" t="s">
        <v>160</v>
      </c>
      <c r="T2" s="3" t="str">
        <f>[1]!获取备注内容(S2)</f>
        <v>临时改变属性，状态消失后，属性要变回来</v>
      </c>
      <c r="W2" s="4" t="s">
        <v>149</v>
      </c>
      <c r="Z2" s="4" t="s">
        <v>156</v>
      </c>
      <c r="AA2" s="3" t="str">
        <f>[1]!获取备注内容(Z2)</f>
        <v>变形，将目标的样子变成另外一个prefab，通常它会配合属性改变一起使用。参数是变成目标prefab的名称</v>
      </c>
    </row>
    <row r="3" spans="1:27" x14ac:dyDescent="0.3">
      <c r="A3" s="4" t="s">
        <v>47</v>
      </c>
      <c r="B3" s="4" t="str">
        <f>[1]!获取备注内容(A3)</f>
        <v>随机目标，这个可以结合targetArg实现随机选取多个目标</v>
      </c>
      <c r="C3" s="2"/>
      <c r="E3" s="4" t="s">
        <v>35</v>
      </c>
      <c r="F3" s="4" t="str">
        <f>[1]!获取备注内容(E3)</f>
        <v>选择一个射程内的可见怪物</v>
      </c>
      <c r="I3" s="4" t="s">
        <v>209</v>
      </c>
      <c r="L3" s="4" t="s">
        <v>105</v>
      </c>
      <c r="M3" s="4" t="str">
        <f>[1]!获取备注内容(L3)</f>
        <v>怪物强度1</v>
      </c>
      <c r="P3" s="4" t="s">
        <v>136</v>
      </c>
      <c r="Q3" s="3" t="str">
        <f>[1]!获取备注内容(P3)</f>
        <v>全伤害减免，该类被动技能可以被负激活</v>
      </c>
      <c r="S3" s="4" t="s">
        <v>184</v>
      </c>
      <c r="T3" s="3" t="str">
        <f>[1]!获取备注内容(S3)</f>
        <v>沉默，不能释放技能，但可以近战攻击。没有参数</v>
      </c>
      <c r="W3" s="4" t="s">
        <v>146</v>
      </c>
      <c r="Z3" s="4" t="s">
        <v>157</v>
      </c>
      <c r="AA3" s="3" t="str">
        <f>[1]!获取备注内容(Z3)</f>
        <v>玩家与目标怪物位置互换，互换后，怪物暂时不会封锁格子，但符合“邻接锁定原则”（即玩家靠近后会封锁）。无参数</v>
      </c>
    </row>
    <row r="4" spans="1:27" x14ac:dyDescent="0.3">
      <c r="A4" s="4" t="s">
        <v>32</v>
      </c>
      <c r="B4" s="4" t="str">
        <f>[1]!获取备注内容(A4)</f>
        <v>所有目标</v>
      </c>
      <c r="C4" s="2"/>
      <c r="E4" s="4" t="s">
        <v>36</v>
      </c>
      <c r="F4" s="4" t="str">
        <f>[1]!获取备注内容(E4)</f>
        <v>选择一个格子。原则上包含所有的格子，但应该把玩家所在位置的格子排除</v>
      </c>
      <c r="I4" s="4"/>
      <c r="L4" s="4" t="s">
        <v>102</v>
      </c>
      <c r="M4" s="4" t="str">
        <f>[1]!获取备注内容(L4)</f>
        <v/>
      </c>
      <c r="S4" s="4" t="s">
        <v>177</v>
      </c>
      <c r="T4" s="3" t="str">
        <f>[1]!获取备注内容(S4)</f>
        <v>伤害转移，受到N次伤害，随机转移给其他怪物（DOT不算），如果是怪物有此状态，则转移给玩家。参数是：次数。如果达到次数，状态自动消失</v>
      </c>
      <c r="W4" s="4" t="s">
        <v>147</v>
      </c>
      <c r="Z4" s="4" t="s">
        <v>159</v>
      </c>
      <c r="AA4" s="3" t="str">
        <f>[1]!获取备注内容(Z4)</f>
        <v>将怪物随机移动到一个已经翻开的空格子，转移后，怪物暂时不会封锁格子，但符合“邻接锁定原则”（即玩家靠近后会封锁）。无参数</v>
      </c>
    </row>
    <row r="5" spans="1:27" x14ac:dyDescent="0.3">
      <c r="A5" s="4" t="s">
        <v>50</v>
      </c>
      <c r="B5" s="4" t="str">
        <f>[1]!获取备注内容(A5)</f>
        <v>扩散模式，1表示扩散半径为1。它会对半径内的其他目标同时造成伤害</v>
      </c>
      <c r="C5" s="2"/>
      <c r="E5" s="5" t="s">
        <v>37</v>
      </c>
      <c r="F5" s="4" t="str">
        <f>[1]!获取备注内容(E5)</f>
        <v>选择一个翻开且不含障碍的格子，排除玩家所在的格子</v>
      </c>
      <c r="I5" s="4"/>
      <c r="L5" s="4" t="s">
        <v>103</v>
      </c>
      <c r="M5" s="4" t="str">
        <f>[1]!获取备注内容(L5)</f>
        <v/>
      </c>
      <c r="S5" s="4" t="s">
        <v>178</v>
      </c>
      <c r="T5" s="3" t="str">
        <f>[1]!获取备注内容(S5)</f>
        <v>伤害吸收，宿主接下来的伤害会被吸收（宿主不受伤害），参数：吸收表达式（比如HP*5）。吸收足够的伤害后，状态消失</v>
      </c>
      <c r="Z5" s="4" t="s">
        <v>158</v>
      </c>
      <c r="AA5" s="3" t="str">
        <f>[1]!获取备注内容(Z5)</f>
        <v>奴役一个怪物（通常这个技能会有强限制），使这个怪物帮助自己攻击。玩家依然可以攻击这个怪物，但怪物不会反击，同时，怪物解除格锁定。无参数</v>
      </c>
    </row>
    <row r="6" spans="1:27" x14ac:dyDescent="0.3">
      <c r="A6" s="4" t="s">
        <v>51</v>
      </c>
      <c r="B6" s="4" t="str">
        <f>[1]!获取备注内容(A6)</f>
        <v/>
      </c>
      <c r="C6" s="2"/>
      <c r="E6" s="4" t="s">
        <v>38</v>
      </c>
      <c r="F6" s="4" t="str">
        <f>[1]!获取备注内容(E6)</f>
        <v>选择一个未翻开且不包含障碍的格子（目前这里有BUG）</v>
      </c>
      <c r="I6" s="4"/>
      <c r="L6" s="4" t="s">
        <v>104</v>
      </c>
      <c r="M6" s="4" t="str">
        <f>[1]!获取备注内容(L6)</f>
        <v/>
      </c>
      <c r="S6" s="4" t="s">
        <v>179</v>
      </c>
      <c r="T6" s="3" t="str">
        <f>[1]!获取备注内容(S6)</f>
        <v>伤害储存，记下下N次受到的伤害，在状态结束时，为自己回复M倍的生命值。注意，宿主还是会收到伤害。参数：N，M</v>
      </c>
      <c r="Z6" s="4" t="s">
        <v>188</v>
      </c>
      <c r="AA6" s="3" t="str">
        <f>[1]!获取备注内容(Z6)</f>
        <v>驱散，随机驱散目标身上N个Debuff。参数为为N，注意N很大的情况</v>
      </c>
    </row>
    <row r="7" spans="1:27" x14ac:dyDescent="0.3">
      <c r="A7" s="4" t="s">
        <v>52</v>
      </c>
      <c r="B7" s="4" t="str">
        <f>[1]!获取备注内容(A7)</f>
        <v/>
      </c>
      <c r="C7" s="2"/>
      <c r="E7" s="4" t="s">
        <v>39</v>
      </c>
      <c r="F7" s="4" t="str">
        <f>[1]!获取备注内容(E7)</f>
        <v>选择一个翻开且不含障碍，格子上没有物体，排除玩家所在的格子</v>
      </c>
      <c r="I7" s="4"/>
      <c r="L7" s="4" t="s">
        <v>153</v>
      </c>
      <c r="M7" s="4" t="str">
        <f>[1]!获取备注内容(L7)</f>
        <v>钢铁类型的怪物？</v>
      </c>
      <c r="S7" s="4" t="s">
        <v>180</v>
      </c>
      <c r="T7" s="3" t="str">
        <f>[1]!获取备注内容(S7)</f>
        <v>冻结，冻结后不能反击，不能使用技能，仅怪物可以被释放。没有参数</v>
      </c>
      <c r="Z7" s="4" t="s">
        <v>189</v>
      </c>
      <c r="AA7" s="3" t="str">
        <f>[1]!获取备注内容(Z7)</f>
        <v>进攻驱散：随机驱散目标身上的N个Buff。参数为N</v>
      </c>
    </row>
    <row r="8" spans="1:27" x14ac:dyDescent="0.3">
      <c r="A8" s="4" t="s">
        <v>53</v>
      </c>
      <c r="B8" s="4" t="str">
        <f>[1]!获取备注内容(A8)</f>
        <v/>
      </c>
      <c r="C8" s="2"/>
      <c r="E8" s="4" t="s">
        <v>93</v>
      </c>
      <c r="F8" s="4" t="str">
        <f>[1]!获取备注内容(E8)</f>
        <v>选择一个障碍（障碍不存在翻开与未翻开的概念）</v>
      </c>
      <c r="I8" s="4"/>
      <c r="L8" s="4" t="s">
        <v>154</v>
      </c>
      <c r="M8" s="4" t="str">
        <f>[1]!获取备注内容(L8)</f>
        <v>生物型怪物？？</v>
      </c>
      <c r="S8" s="4" t="s">
        <v>181</v>
      </c>
      <c r="T8" s="3" t="str">
        <f>[1]!获取备注内容(S8)</f>
        <v>除非是场上最后一个怪物，否则不能攻击（远程&amp;近战），怪物only。没有参数</v>
      </c>
    </row>
    <row r="9" spans="1:27" x14ac:dyDescent="0.3">
      <c r="A9" s="4" t="s">
        <v>54</v>
      </c>
      <c r="B9" s="4" t="str">
        <f>[1]!获取备注内容(A9)</f>
        <v/>
      </c>
      <c r="C9" s="2"/>
      <c r="E9" s="4" t="s">
        <v>40</v>
      </c>
      <c r="F9" s="4" t="str">
        <f>[1]!获取备注内容(E9)</f>
        <v>不需要选择目标，表示这是一次全屏攻击</v>
      </c>
      <c r="I9" s="4"/>
      <c r="S9" s="4" t="s">
        <v>182</v>
      </c>
      <c r="T9" s="3" t="str">
        <f>[1]!获取备注内容(S9)</f>
        <v>免疫指向技能，即有此状态的怪物，不能在玩家手动选择目标时，被筛选出来（随机目标是可以的）。怪物only，没有参数</v>
      </c>
    </row>
    <row r="10" spans="1:27" x14ac:dyDescent="0.3">
      <c r="A10" s="4" t="s">
        <v>55</v>
      </c>
      <c r="B10" s="4" t="str">
        <f>[1]!获取备注内容(A10)</f>
        <v/>
      </c>
      <c r="C10" s="2"/>
      <c r="E10" s="4" t="s">
        <v>31</v>
      </c>
      <c r="F10" s="4" t="str">
        <f>[1]!获取备注内容(E10)</f>
        <v>选择一个障碍，而且该位置没有炮台</v>
      </c>
      <c r="S10" s="4" t="s">
        <v>183</v>
      </c>
      <c r="T10" s="3" t="str">
        <f>[1]!获取备注内容(S10)</f>
        <v>爆炸，对于玩家造成伤害。参数是伤害表达式</v>
      </c>
    </row>
    <row r="11" spans="1:27" x14ac:dyDescent="0.3">
      <c r="E11" s="4" t="s">
        <v>42</v>
      </c>
      <c r="F11" s="4" t="str">
        <f>[1]!获取备注内容(E11)</f>
        <v>同上一条，但它不需要玩家选择位置</v>
      </c>
      <c r="S11" s="4"/>
      <c r="T11" s="2"/>
    </row>
    <row r="12" spans="1:27" x14ac:dyDescent="0.3">
      <c r="E12" s="4" t="s">
        <v>106</v>
      </c>
      <c r="F12" s="4" t="str">
        <f>[1]!获取备注内容(E12)</f>
        <v>不需要选目标，表示召唤浮游炮</v>
      </c>
      <c r="S12" s="4"/>
      <c r="T12" s="2"/>
    </row>
    <row r="13" spans="1:27" x14ac:dyDescent="0.3">
      <c r="E13" s="4" t="s">
        <v>90</v>
      </c>
      <c r="F13" s="4" t="str">
        <f>[1]!获取备注内容(E13)</f>
        <v>尚未被翻开的怪物，不需要玩家选择目标，它通常与multipleType为random时配合使用，表示随机一个没有被发现的怪物</v>
      </c>
      <c r="S13" s="4"/>
      <c r="T13" s="2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命名范围</vt:lpstr>
      </vt:variant>
      <vt:variant>
        <vt:i4>3</vt:i4>
      </vt:variant>
    </vt:vector>
  </HeadingPairs>
  <TitlesOfParts>
    <vt:vector size="9" baseType="lpstr">
      <vt:lpstr>技能点</vt:lpstr>
      <vt:lpstr>主动技能</vt:lpstr>
      <vt:lpstr>召唤技能</vt:lpstr>
      <vt:lpstr>被动技能</vt:lpstr>
      <vt:lpstr>状态</vt:lpstr>
      <vt:lpstr>枚举参数</vt:lpstr>
      <vt:lpstr>MultipleTarget</vt:lpstr>
      <vt:lpstr>SpecialAction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2017-09-15T05:00:04Z</dcterms:modified>
</cp:coreProperties>
</file>