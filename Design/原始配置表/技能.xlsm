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/>
  <workbookPr filterPrivacy="1" codeName="ThisWorkbook" autoCompressPictures="0"/>
  <bookViews>
    <workbookView xWindow="17745" yWindow="0" windowWidth="33465" windowHeight="24825" tabRatio="440" activeTab="1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DamageType" comment="伤害类型，以后可能会扩展">枚举参数!$R$1:$R$5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PassiveType" comment="被动技能作用效果。除了Property与Halo，被动技能其他作用都只对玩家生效。">枚举参数!$N$1:$N$14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枚举参数!$I$1:$I$4</definedName>
    <definedName name="SpecialEffect" comment="主动技能的特殊效果">枚举参数!$T$1:$T$16</definedName>
    <definedName name="StateEffect" comment="状态的效果，一个状态可以有多个效果同时起效（依次起效）">枚举参数!$P$1:$P$24</definedName>
    <definedName name="TargetLimit" comment="过滤列表，符合这个条件的怪物，将不能被该技能列为可选目标">枚举参数!$G$1:$G$9</definedName>
    <definedName name="TargetType" comment="决定技能的释放方式。注意Self、Target、Help会根据不同的技能使用者，意义会不同">枚举参数!$C$1:$C$12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5" i="2" l="1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sz val="9"/>
            <color indexed="81"/>
            <rFont val="宋体"/>
            <family val="3"/>
            <charset val="134"/>
          </rPr>
          <t>过滤列表，符合这个条件的怪物，将不能被该技能列为可选目标</t>
        </r>
      </text>
    </comment>
    <comment ref="I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N2" authorId="0" shapeId="0">
      <text>
        <r>
          <rPr>
            <sz val="9"/>
            <color indexed="81"/>
            <rFont val="宋体"/>
            <family val="3"/>
            <charset val="134"/>
          </rPr>
          <t>被动技能作用效果。除了Property与Halo，被动技能其他作用都只对玩家生效。</t>
        </r>
      </text>
    </comment>
    <comment ref="P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R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T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sz val="9"/>
            <color indexed="81"/>
            <rFont val="宋体"/>
            <family val="3"/>
            <charset val="134"/>
          </rPr>
          <t>枚举默认值，表示没有任何过滤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N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没有效果</t>
        </r>
      </text>
    </comment>
    <comment ref="P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R3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sz val="9"/>
            <color indexed="81"/>
            <rFont val="宋体"/>
            <family val="3"/>
            <charset val="134"/>
          </rPr>
          <t>怪物强度1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N4" authorId="0" shapeId="0">
      <text>
        <r>
          <rPr>
            <sz val="9"/>
            <color indexed="81"/>
            <rFont val="宋体"/>
            <family val="3"/>
            <charset val="134"/>
          </rPr>
          <t>改变属性，注意如果技能失效，属性会变回来。如果是当前生命值减少，判定为物理伤害。参数是rpn数组，可以有多个表达式。
这个算法的逻辑应该是，依次把玩家裸属性，芯片加成属性，被动技能增加属性，状态增加属性这4部分分别处理，当有某一部分变动时，重新计算那一部分。比如状态列表有变动，就应该重新计算整个状态属性加成，因为没办法在移除一个状态后倒扣属性。
注意，在属性表达式中，有一些参数是随环境变化的，所以每次在这些环境发生变化时，相应计算要跟着变化。</t>
        </r>
      </text>
    </comment>
    <comment ref="P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R4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T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给技能目标释放状态。所以就可以有伤害是0的纯状态技能，注意状态附加是优先于伤害计算的。参数是状态ID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N5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u[0]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P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R5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T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强制给自己释放状态，无视技能目标。注意这个BUFF是先优先伤害计算的。比如我释放了一个BUFF只持续非常短的时间，但是因为它是在技能前就附加上了，所以哪怕是一瞬间，这个BUFF也会起效。参数是状态ID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N6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P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T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永久改变属性。一般不会用来修改玩家的属性（除非修改的是当前生命值，如果是当前生命值减少，判定为物理伤害）。参数是属性四则表达式，如果有多个表达式，使用|分割。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N7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P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T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G8" authorId="0" shapeId="0">
      <text>
        <r>
          <rPr>
            <sz val="9"/>
            <color indexed="81"/>
            <rFont val="宋体"/>
            <family val="3"/>
            <charset val="134"/>
          </rPr>
          <t>机械类型的怪物</t>
        </r>
      </text>
    </comment>
    <comment ref="N8" authorId="0" shapeId="0">
      <text>
        <r>
          <rPr>
            <sz val="9"/>
            <color indexed="81"/>
            <rFont val="宋体"/>
            <family val="3"/>
            <charset val="134"/>
          </rPr>
          <t>每1单位时间，ec[0]类型伤害增加f[0](%)，玩家使用实弹技能后重置，累积最高不超过f[1](%)。仅玩家可持有该技能。假如经过了5时间，累加的伤害应该是5*f[0]，而不是f[0]的5次方。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P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T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G9" authorId="0" shapeId="0">
      <text>
        <r>
          <rPr>
            <sz val="9"/>
            <color indexed="81"/>
            <rFont val="宋体"/>
            <family val="3"/>
            <charset val="134"/>
          </rPr>
          <t>生命型怪物</t>
        </r>
      </text>
    </comment>
    <comment ref="N9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P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T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N10" authorId="0" shapeId="0">
      <text>
        <r>
          <rPr>
            <sz val="9"/>
            <color indexed="81"/>
            <rFont val="宋体"/>
            <family val="3"/>
            <charset val="134"/>
          </rPr>
          <t>近战攻击每消灭一个ex[0]类型的敌人，恢复生命值f[0](%)。仅玩家。
ec[0]（EffectCondition）该效果的生效条件，它关心None，MonsterTypeIron，MonsterTypeOrganisms这几个状态。</t>
        </r>
      </text>
    </comment>
    <comment ref="P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T10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N11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ec[0]类型攻击f[0](%)概率使敌人昏迷f[1]个回合。
ec[0]（EffectCondition）该效果的生效条件，它关心None，DamageTypeMelee，DamageTypeCartridge，DamageTypeLaser这几个状态。</t>
        </r>
      </text>
    </comment>
    <comment ref="P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T11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防御驱散，随机驱散目标身上N个Debuff。注意由光环\被动技能附加的持续时间无限的状态是不能被驱散的。参数为为N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N12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使用f[0]次对应id为[0]的召唤技能，重复启用被动技能不能重复召唤。注意这种方式召唤出来的召唤物，其能量/技能冷却都是从0开始，而且忽略召唤技能的时间消耗。</t>
        </r>
      </text>
    </comment>
    <comment ref="P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T12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进攻驱散：随机驱散目标身上的N个Buff。注意由光环\被动技能附加的持续时间无限的状态是不能被驱散的。参数为N</t>
        </r>
      </text>
    </comment>
    <comment ref="N13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P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T13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，是一个类型为EffectCondition的枚举类型（这里获取到的是字符串，你得自己转一下），它关心的是None，HasMonster，NoMonster，Empty这几个信息。
</t>
        </r>
      </text>
    </comment>
    <comment ref="N14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P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T14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翻开一个格子后，再翻开附近的格子（含斜向）。仅玩家拥有此技能。参数为翻开附近格子的距离。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原则上，如果使用了Round或者Diffuse，而此效果参数又不为0，会先根据Round或者Diffuse翻开周围格子后，再在此基础上，又翻开一圈（后翻开的格子不作为“技能释放的目标位置”）。
</t>
        </r>
      </text>
    </comment>
    <comment ref="P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T15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将玩家传送到一个格子上，只有玩家技能可以有该特性。参数即条件，是一个类型为EffectCondition的枚举类型（这里获取到的是字符串，你得自己转一下），它关心的是None，HasMonster，NoMonster，Empty这几个信息。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P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T16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P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P18" authorId="0" shapeId="0">
      <text>
        <r>
          <rPr>
            <sz val="9"/>
            <color indexed="81"/>
            <rFont val="宋体"/>
            <family val="3"/>
            <charset val="134"/>
          </rPr>
          <t>死亡时，会随机杀死f[0]个没有翻开的敌人。仅怪物。</t>
        </r>
      </text>
    </comment>
    <comment ref="P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P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P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P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P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ec[0]攻击一定概率f[0]造成f[1]伤害。
ec[0]（EffectCondition）该效果的生效条件，它关心None，DamageTypeMelee，DamageTypeCartridge，DamageTypeLaser这几个状态。</t>
        </r>
      </text>
    </comment>
    <comment ref="P24" authorId="0" shapeId="0">
      <text>
        <r>
          <rPr>
            <sz val="9"/>
            <color indexed="81"/>
            <rFont val="宋体"/>
            <family val="3"/>
            <charset val="134"/>
          </rPr>
          <t>每受到一次effectConditionArg[0]伤害（每次当前生命值减少），增加近战伤害numbers[0](%，后同),实弹伤害B%,激光伤害C%。有些技能会伤害多次，所以这会让这个怪物伤害累积非常高，DOT也一样。比如每次受到伤害增加近战攻击10%，那么受到5次伤害，近战伤害增加50%。仅怪物有此状态。参数effectConditionArg[0],numbers[0],numbers[1],numbers[2]
T（EffectCondition）该效果的生效条件，它关心None，DamageTypeMelee，DamageTypeCartridge，DamageTypeLaser这几个状态。T</t>
        </r>
      </text>
    </comment>
  </commentList>
</comments>
</file>

<file path=xl/sharedStrings.xml><?xml version="1.0" encoding="utf-8"?>
<sst xmlns="http://schemas.openxmlformats.org/spreadsheetml/2006/main" count="1659" uniqueCount="1111">
  <si>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</si>
  <si>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</si>
  <si>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</si>
  <si>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</si>
  <si>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</si>
  <si>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</si>
  <si>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</si>
  <si>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</si>
  <si>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</si>
  <si>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string[|]</t>
    <phoneticPr fontId="1" type="noConversion"/>
  </si>
  <si>
    <t>命中_爆炸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</si>
  <si>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</si>
  <si>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</si>
  <si>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</si>
  <si>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</si>
  <si>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</si>
  <si>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effect_hit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</si>
  <si>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</si>
  <si>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</si>
  <si>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</si>
  <si>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</si>
  <si>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</si>
  <si>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</si>
  <si>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子弹A</t>
    <phoneticPr fontId="1" type="noConversion"/>
  </si>
  <si>
    <t>Laser01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</si>
  <si>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</si>
  <si>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</si>
  <si>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</si>
  <si>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</si>
  <si>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</si>
  <si>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</si>
  <si>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</si>
  <si>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</si>
  <si>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TargetLimit</t>
    <phoneticPr fontId="1" type="noConversion"/>
  </si>
  <si>
    <t>effect_fly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</si>
  <si>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</si>
  <si>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</si>
  <si>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</si>
  <si>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</si>
  <si>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</si>
  <si>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</si>
  <si>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</si>
  <si>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</si>
  <si>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</si>
  <si>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</si>
  <si>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</si>
  <si>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</si>
  <si>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</si>
  <si>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</si>
  <si>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</si>
  <si>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</si>
  <si>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</si>
  <si>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</si>
  <si>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</si>
  <si>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</si>
  <si>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passiveType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</si>
  <si>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</si>
  <si>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</si>
  <si>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</si>
  <si>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</si>
  <si>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</si>
  <si>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</si>
  <si>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</si>
  <si>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1;1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</si>
  <si>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</si>
  <si>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</si>
  <si>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</si>
  <si>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</si>
  <si>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</si>
  <si>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</si>
  <si>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</si>
  <si>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</si>
  <si>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</si>
  <si>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</si>
  <si>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</si>
  <si>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</si>
  <si>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1;1;1</t>
    <phoneticPr fontId="1" type="noConversion"/>
  </si>
  <si>
    <t>汽油弹</t>
    <phoneticPr fontId="1" type="noConversion"/>
  </si>
  <si>
    <t>0~3</t>
    <phoneticPr fontId="1" type="noConversion"/>
  </si>
  <si>
    <t>炫光射线</t>
  </si>
  <si>
    <t>1;1</t>
    <phoneticPr fontId="1" type="noConversion"/>
  </si>
  <si>
    <t>2~4</t>
    <phoneticPr fontId="1" type="noConversion"/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</si>
  <si>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</si>
  <si>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</si>
  <si>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</si>
  <si>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</si>
  <si>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</si>
  <si>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</si>
  <si>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</si>
  <si>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</si>
  <si>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</si>
  <si>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</si>
  <si>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</si>
  <si>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1~4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</si>
  <si>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</si>
  <si>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</si>
  <si>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</si>
  <si>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</si>
  <si>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</si>
  <si>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</si>
  <si>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</si>
  <si>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</si>
  <si>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</si>
  <si>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</si>
  <si>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</si>
  <si>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</si>
  <si>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</si>
  <si>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</si>
  <si>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</si>
  <si>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</si>
  <si>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</si>
  <si>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</si>
  <si>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</si>
  <si>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</si>
  <si>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</si>
  <si>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</si>
  <si>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</si>
  <si>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</si>
  <si>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</si>
  <si>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1;1;1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</si>
  <si>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</si>
  <si>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</si>
  <si>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</si>
  <si>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</si>
  <si>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</si>
  <si>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</si>
  <si>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</si>
  <si>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</si>
  <si>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</si>
  <si>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</si>
  <si>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</si>
  <si>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</si>
  <si>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</si>
  <si>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</si>
  <si>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</si>
  <si>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</si>
  <si>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</si>
  <si>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</si>
  <si>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</si>
  <si>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</si>
  <si>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</si>
  <si>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</si>
  <si>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</si>
  <si>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</si>
  <si>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</si>
  <si>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</si>
  <si>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</si>
  <si>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</si>
  <si>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</si>
  <si>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</si>
  <si>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</si>
  <si>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PassiveType[;]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</si>
  <si>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</si>
  <si>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</si>
  <si>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</si>
  <si>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</si>
  <si>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</si>
  <si>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</si>
  <si>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</si>
  <si>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</si>
  <si>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</si>
  <si>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</si>
  <si>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</si>
  <si>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</si>
  <si>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</si>
  <si>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</si>
  <si>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</si>
  <si>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</si>
  <si>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</si>
  <si>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</si>
  <si>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每走1格，近战伤害增加5%。在攻击后（近战&amp;远程）效果重置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</si>
  <si>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</si>
  <si>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</si>
  <si>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</si>
  <si>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</si>
  <si>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</si>
  <si>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</si>
  <si>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</si>
  <si>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</si>
  <si>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</si>
  <si>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对生命值20%以下的敌人近战攻击，造成伤害额外增加50%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</si>
  <si>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</si>
  <si>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</si>
  <si>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</si>
  <si>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</si>
  <si>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</si>
  <si>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</si>
  <si>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</si>
  <si>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</si>
  <si>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</si>
  <si>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</si>
  <si>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</si>
  <si>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</si>
  <si>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</si>
  <si>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</si>
  <si>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近战攻击每消灭一个生命系敌人，恢复生命值2%</t>
    <phoneticPr fontId="1" type="noConversion"/>
  </si>
  <si>
    <t>Bang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</si>
  <si>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</si>
  <si>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</si>
  <si>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</si>
  <si>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</si>
  <si>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</si>
  <si>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</si>
  <si>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近战攻击一定概率造成2倍伤害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</si>
  <si>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</si>
  <si>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</si>
  <si>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</si>
  <si>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</si>
  <si>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</si>
  <si>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1;1</t>
    <phoneticPr fontId="1" type="noConversion"/>
  </si>
  <si>
    <t>2~5</t>
    <phoneticPr fontId="1" type="noConversion"/>
  </si>
  <si>
    <t>2~6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</si>
  <si>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</si>
  <si>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</si>
  <si>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</si>
  <si>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</si>
  <si>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1~6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</si>
  <si>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</si>
  <si>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</si>
  <si>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</si>
  <si>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</si>
  <si>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</si>
  <si>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</si>
  <si>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</si>
  <si>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</si>
  <si>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</si>
  <si>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</si>
  <si>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</si>
  <si>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</si>
  <si>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</si>
  <si>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</si>
  <si>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</si>
  <si>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</si>
  <si>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</si>
  <si>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</si>
  <si>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</si>
  <si>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</si>
  <si>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</si>
  <si>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</si>
  <si>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</si>
  <si>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</si>
  <si>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</si>
  <si>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</si>
  <si>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</si>
  <si>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</si>
  <si>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</si>
  <si>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</si>
  <si>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</si>
  <si>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</si>
  <si>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</si>
  <si>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</si>
  <si>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</si>
  <si>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</si>
  <si>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</si>
  <si>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</si>
  <si>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</si>
  <si>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</si>
  <si>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</si>
  <si>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</si>
  <si>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</si>
  <si>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</si>
  <si>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</si>
  <si>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</si>
  <si>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</si>
  <si>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</si>
  <si>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</si>
  <si>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</si>
  <si>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</si>
  <si>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</si>
  <si>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</si>
  <si>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</si>
  <si>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</si>
  <si>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</si>
  <si>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</si>
  <si>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</si>
  <si>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</si>
  <si>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</si>
  <si>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</si>
  <si>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</si>
  <si>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</si>
  <si>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</si>
  <si>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</si>
  <si>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</si>
  <si>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</si>
  <si>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</si>
  <si>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</si>
  <si>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</si>
  <si>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</si>
  <si>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</si>
  <si>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</si>
  <si>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</si>
  <si>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</si>
  <si>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</si>
  <si>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</si>
  <si>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</si>
  <si>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</si>
  <si>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</si>
  <si>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</si>
  <si>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</si>
  <si>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</si>
  <si>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</si>
  <si>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</si>
  <si>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</si>
  <si>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</si>
  <si>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</si>
  <si>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</si>
  <si>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</si>
  <si>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</si>
  <si>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</si>
  <si>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</si>
  <si>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</si>
  <si>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</si>
  <si>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</si>
  <si>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</si>
  <si>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</si>
  <si>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LimitQuality_1</t>
    <phoneticPr fontId="1" type="noConversion"/>
  </si>
  <si>
    <t>LimitQuality_2</t>
    <phoneticPr fontId="1" type="noConversion"/>
  </si>
  <si>
    <t>LimitQuality_3</t>
    <phoneticPr fontId="1" type="noConversion"/>
  </si>
  <si>
    <t>LimitQuality_4</t>
    <phoneticPr fontId="1" type="noConversion"/>
  </si>
  <si>
    <t>Limit_iron</t>
    <phoneticPr fontId="1" type="noConversion"/>
  </si>
  <si>
    <t>Limit_organisms</t>
    <phoneticPr fontId="1" type="noConversion"/>
  </si>
  <si>
    <t>Limit_iron</t>
    <phoneticPr fontId="1" type="noConversion"/>
  </si>
  <si>
    <t>Limit_organisms</t>
    <phoneticPr fontId="1" type="noConversion"/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</si>
  <si>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</si>
  <si>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</si>
  <si>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</si>
  <si>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</si>
  <si>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</si>
  <si>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</si>
  <si>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</si>
  <si>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</si>
  <si>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Just</t>
    <phoneticPr fontId="1" type="noConversion"/>
  </si>
  <si>
    <t>None</t>
    <phoneticPr fontId="1" type="noConversion"/>
  </si>
  <si>
    <t>Halo</t>
  </si>
  <si>
    <t>Halo</t>
    <phoneticPr fontId="1" type="noConversion"/>
  </si>
  <si>
    <t>Halo</t>
    <phoneticPr fontId="1" type="noConversion"/>
  </si>
  <si>
    <t>Property</t>
  </si>
  <si>
    <t>Halo</t>
    <phoneticPr fontId="1" type="noConversion"/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</si>
  <si>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</si>
  <si>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</si>
  <si>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</si>
  <si>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</si>
  <si>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</si>
  <si>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</si>
  <si>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指向免疫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</si>
  <si>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</si>
  <si>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</si>
  <si>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</si>
  <si>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Halo</t>
    <phoneticPr fontId="1" type="noConversion"/>
  </si>
  <si>
    <t>增加附加怪物的攻击力</t>
    <phoneticPr fontId="1" type="noConversion"/>
  </si>
  <si>
    <t>攻击增强</t>
    <phoneticPr fontId="1" type="noConversion"/>
  </si>
  <si>
    <t>Halo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</si>
  <si>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</si>
  <si>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</si>
  <si>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</si>
  <si>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</si>
  <si>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</si>
  <si>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</si>
  <si>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</si>
  <si>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</si>
  <si>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</si>
  <si>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</si>
  <si>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</si>
  <si>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</si>
  <si>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</si>
  <si>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</si>
  <si>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</si>
  <si>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</si>
  <si>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</si>
  <si>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</si>
  <si>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</si>
  <si>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PassiveType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</si>
  <si>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</si>
  <si>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</si>
  <si>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</si>
  <si>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</si>
  <si>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</si>
  <si>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</si>
  <si>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</si>
  <si>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</si>
  <si>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</si>
  <si>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</si>
  <si>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</si>
  <si>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</si>
  <si>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</si>
  <si>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</si>
  <si>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</si>
  <si>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</si>
  <si>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</si>
  <si>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</si>
  <si>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</si>
  <si>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</si>
  <si>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</si>
  <si>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</si>
  <si>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</si>
  <si>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</si>
  <si>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</si>
  <si>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</si>
  <si>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</si>
  <si>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</si>
  <si>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</si>
  <si>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</si>
  <si>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</si>
  <si>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</si>
  <si>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Halo</t>
    <phoneticPr fontId="1" type="noConversion"/>
  </si>
  <si>
    <t>自爆</t>
    <phoneticPr fontId="1" type="noConversion"/>
  </si>
  <si>
    <t>5回合后自爆，对玩家造成等同于生命值的实弹伤害</t>
    <phoneticPr fontId="1" type="noConversion"/>
  </si>
  <si>
    <t>4回合后自爆，对玩家造成等同于生命值的实弹伤害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</si>
  <si>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</si>
  <si>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</si>
  <si>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</si>
  <si>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Explode</t>
    <phoneticPr fontId="1" type="noConversion"/>
  </si>
  <si>
    <t>使周围的怪物5回合后自爆</t>
    <phoneticPr fontId="1" type="noConversion"/>
  </si>
  <si>
    <t>定时炸弹</t>
    <phoneticPr fontId="1" type="noConversion"/>
  </si>
  <si>
    <t>定时炸弹</t>
    <phoneticPr fontId="1" type="noConversion"/>
  </si>
  <si>
    <t>5回合后自爆，对玩家造成等同于50%生命值的实弹伤害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</si>
  <si>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</si>
  <si>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</si>
  <si>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</si>
  <si>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</si>
  <si>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</si>
  <si>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</si>
  <si>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近战攻击一定概率使敌人昏迷2回合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</si>
  <si>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</si>
  <si>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</si>
  <si>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</si>
  <si>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</si>
  <si>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</si>
  <si>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</si>
  <si>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</si>
  <si>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</si>
  <si>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</si>
  <si>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</si>
  <si>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</si>
  <si>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</si>
  <si>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</si>
  <si>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</si>
  <si>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</si>
  <si>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</si>
  <si>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近战伤害提高100%</t>
    <phoneticPr fontId="1" type="noConversion"/>
  </si>
  <si>
    <t>近战伤害提高150%</t>
    <phoneticPr fontId="1" type="noConversion"/>
  </si>
  <si>
    <t>近战伤害提高200%</t>
    <phoneticPr fontId="1" type="noConversion"/>
  </si>
  <si>
    <t>近战伤害提高250%</t>
    <phoneticPr fontId="1" type="noConversion"/>
  </si>
  <si>
    <t>Property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</si>
  <si>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</si>
  <si>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</si>
  <si>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</si>
  <si>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</si>
  <si>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</si>
  <si>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</si>
  <si>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</si>
  <si>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</si>
  <si>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</si>
  <si>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</si>
  <si>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</si>
  <si>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</si>
  <si>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</si>
  <si>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</si>
  <si>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</si>
  <si>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</si>
  <si>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</si>
  <si>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</si>
  <si>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</si>
  <si>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</si>
  <si>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</si>
  <si>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</si>
  <si>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</si>
  <si>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</si>
  <si>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</si>
  <si>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</si>
  <si>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每6回合随机给一个怪物恢复生命值</t>
    <phoneticPr fontId="1" type="noConversion"/>
  </si>
  <si>
    <t>每5回合随机给一个怪物恢复生命值</t>
    <phoneticPr fontId="1" type="noConversion"/>
  </si>
  <si>
    <t>每4回合随机给一个怪物恢复生命值</t>
    <phoneticPr fontId="1" type="noConversion"/>
  </si>
  <si>
    <t>每3回合随机给一个怪物恢复生命值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</si>
  <si>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</si>
  <si>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</si>
  <si>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</si>
  <si>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</si>
  <si>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Property</t>
    <phoneticPr fontId="1" type="noConversion"/>
  </si>
  <si>
    <t>Property</t>
    <phoneticPr fontId="1" type="noConversion"/>
  </si>
  <si>
    <t>Property</t>
    <phoneticPr fontId="1" type="noConversion"/>
  </si>
  <si>
    <t>肿瘤增生</t>
    <phoneticPr fontId="1" type="noConversion"/>
  </si>
  <si>
    <t>Property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</si>
  <si>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</si>
  <si>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</si>
  <si>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</si>
  <si>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</si>
  <si>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Halo</t>
    <phoneticPr fontId="1" type="noConversion"/>
  </si>
  <si>
    <t>过度亢奋</t>
    <phoneticPr fontId="1" type="noConversion"/>
  </si>
  <si>
    <t>每1回合降低10%攻击力</t>
    <phoneticPr fontId="1" type="noConversion"/>
  </si>
  <si>
    <t>闪避光环</t>
    <phoneticPr fontId="1" type="noConversion"/>
  </si>
  <si>
    <t>周围怪物25%概率免疫攻击</t>
    <phoneticPr fontId="1" type="noConversion"/>
  </si>
  <si>
    <t>Halo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</si>
  <si>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</si>
  <si>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</si>
  <si>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</si>
  <si>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</si>
  <si>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</si>
  <si>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</si>
  <si>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</si>
  <si>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</si>
  <si>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</si>
  <si>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</si>
  <si>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</si>
  <si>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</si>
  <si>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</si>
  <si>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</si>
  <si>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</si>
  <si>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</si>
  <si>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</si>
  <si>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</si>
  <si>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</si>
  <si>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</si>
  <si>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</si>
  <si>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</si>
  <si>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子弹A</t>
  </si>
  <si>
    <t>子弹A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</si>
  <si>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</si>
  <si>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</si>
  <si>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</si>
  <si>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</si>
  <si>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</si>
  <si>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</si>
  <si>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</si>
  <si>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</si>
  <si>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</si>
  <si>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</si>
  <si>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</si>
  <si>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</si>
  <si>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</si>
  <si>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</si>
  <si>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</si>
  <si>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</si>
  <si>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</si>
  <si>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</si>
  <si>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</si>
  <si>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</si>
  <si>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</si>
  <si>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</si>
  <si>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</si>
  <si>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</si>
  <si>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</si>
  <si>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</si>
  <si>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</si>
  <si>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</si>
  <si>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</si>
  <si>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targetLimit</t>
    <phoneticPr fontId="1" type="noConversion"/>
  </si>
  <si>
    <t>multipleType</t>
    <phoneticPr fontId="1" type="noConversion"/>
  </si>
  <si>
    <t>None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</si>
  <si>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</si>
  <si>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t>Property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</si>
  <si>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</si>
  <si>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SoulRepair</t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</si>
  <si>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</si>
  <si>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</si>
  <si>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</si>
  <si>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</si>
  <si>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</si>
  <si>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</si>
  <si>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</si>
  <si>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</si>
  <si>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</si>
  <si>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</si>
  <si>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</si>
  <si>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</si>
  <si>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</si>
  <si>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</si>
  <si>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※rpn[s_laser]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</si>
  <si>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</si>
  <si>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</si>
  <si>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</si>
  <si>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</si>
  <si>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</si>
  <si>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</si>
  <si>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</si>
  <si>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</si>
  <si>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specialEffects</t>
    <phoneticPr fontId="1" type="noConversion"/>
  </si>
  <si>
    <t>AddState</t>
  </si>
  <si>
    <t>Transfiguration;Property</t>
    <phoneticPr fontId="1" type="noConversion"/>
  </si>
  <si>
    <t>Enslave</t>
  </si>
  <si>
    <t>OpenBlockWithNear;HalfCostReturn;Property</t>
    <phoneticPr fontId="1" type="noConversion"/>
  </si>
  <si>
    <t>OpenBlockWithNear;TransferSelf</t>
    <phoneticPr fontId="1" type="noConversion"/>
  </si>
  <si>
    <t>SpecialEffect[;]</t>
    <phoneticPr fontId="1" type="noConversion"/>
  </si>
  <si>
    <t>OpenBlockWithNear;AddState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</si>
  <si>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</si>
  <si>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</si>
  <si>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</si>
  <si>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</si>
  <si>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</si>
  <si>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</si>
  <si>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</si>
  <si>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</si>
  <si>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</si>
  <si>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</si>
  <si>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</si>
  <si>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t>activeSkillArgs</t>
    <phoneticPr fontId="1" type="noConversion"/>
  </si>
  <si>
    <t>passiveSkillArgs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</si>
  <si>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</si>
  <si>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0;0</t>
  </si>
  <si>
    <t>0;0</t>
    <phoneticPr fontId="1" type="noConversion"/>
  </si>
  <si>
    <t>0;0;0</t>
    <phoneticPr fontId="1" type="noConversion"/>
  </si>
  <si>
    <t>0;0</t>
    <phoneticPr fontId="1" type="noConversion"/>
  </si>
  <si>
    <t>phase</t>
    <phoneticPr fontId="1" type="noConversion"/>
  </si>
  <si>
    <t>SkillArg[;]</t>
    <phoneticPr fontId="1" type="noConversion"/>
  </si>
  <si>
    <t>名称</t>
    <phoneticPr fontId="1" type="noConversion"/>
  </si>
  <si>
    <t>prefab资源名</t>
    <phoneticPr fontId="1" type="noConversion"/>
  </si>
  <si>
    <t>决定技能的释放方式。注意Self、Target、Help会根据不同的技能使用者，意义会不同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</si>
  <si>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特效成功率：4个元素。“属性改变”与“特殊效果”都属于特效，它针对不同强度的怪物会有不同的成功率。如果技能目标是玩家，那么使用第一个元素</t>
    </r>
    <phoneticPr fontId="1" type="noConversion"/>
  </si>
  <si>
    <t>消耗时间：仅作为玩家技能时生效</t>
    <phoneticPr fontId="1" type="noConversion"/>
  </si>
  <si>
    <t>冷却时间：仅作为怪物技能，或者召唤物（NormalAttack）技能生效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</si>
  <si>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</si>
  <si>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</si>
  <si>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</si>
  <si>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被动技能作用效果。除了Property与Halo，被动技能其他作用都只对玩家生效。</t>
    </r>
    <phoneticPr fontId="1" type="noConversion"/>
  </si>
  <si>
    <t>ulong</t>
    <phoneticPr fontId="1" type="noConversion"/>
  </si>
  <si>
    <t>short[;]</t>
    <phoneticPr fontId="1" type="noConversion"/>
  </si>
  <si>
    <t>Angry</t>
    <phoneticPr fontId="1" type="noConversion"/>
  </si>
  <si>
    <t>Vjua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</si>
  <si>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</si>
  <si>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</si>
  <si>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</si>
  <si>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</si>
  <si>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</si>
  <si>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</si>
  <si>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</si>
  <si>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</si>
  <si>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</si>
  <si>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</si>
  <si>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  <phoneticPr fontId="1" type="noConversion"/>
  </si>
  <si>
    <t>主动技能效果参数12;主动技能效果参数13;主动技能效果参数14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</si>
  <si>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</si>
  <si>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</si>
  <si>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</si>
  <si>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</si>
  <si>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主动技能效果参数21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</si>
  <si>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</si>
  <si>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</si>
  <si>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</si>
  <si>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</si>
  <si>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</si>
  <si>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</si>
  <si>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</si>
  <si>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</si>
  <si>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</si>
  <si>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</si>
  <si>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</si>
  <si>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</si>
  <si>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</si>
  <si>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</si>
  <si>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</si>
  <si>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</si>
  <si>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</si>
  <si>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</si>
  <si>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</si>
  <si>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</si>
  <si>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</si>
  <si>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</si>
  <si>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</si>
  <si>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被动技能参数1</t>
    <phoneticPr fontId="1" type="noConversion"/>
  </si>
  <si>
    <t>被动技能参数2</t>
  </si>
  <si>
    <t>被动技能参数3</t>
  </si>
  <si>
    <t>被动技能参数4</t>
  </si>
  <si>
    <t>被动技能参数5</t>
  </si>
  <si>
    <t>被动技能参数6</t>
  </si>
  <si>
    <t>被动技能参数7</t>
  </si>
  <si>
    <t>被动技能参数8</t>
  </si>
  <si>
    <t>被动技能参数9</t>
  </si>
  <si>
    <t>被动技能参数10</t>
  </si>
  <si>
    <t>被动技能参数11</t>
  </si>
  <si>
    <t>被动技能参数12</t>
  </si>
  <si>
    <t>被动技能参数13</t>
  </si>
  <si>
    <t>被动技能参数14</t>
  </si>
  <si>
    <t>被动技能参数15</t>
  </si>
  <si>
    <t>被动技能参数16</t>
  </si>
  <si>
    <t>被动技能参数17</t>
  </si>
  <si>
    <t>被动技能参数18</t>
  </si>
  <si>
    <t>被动技能参数19</t>
  </si>
  <si>
    <t>被动技能参数20</t>
  </si>
  <si>
    <t>被动技能参数21</t>
  </si>
  <si>
    <t>被动技能参数22</t>
  </si>
  <si>
    <t>被动技能参数23</t>
  </si>
  <si>
    <t>被动技能参数24</t>
  </si>
  <si>
    <t>被动技能参数25</t>
  </si>
  <si>
    <t>被动技能参数26</t>
  </si>
  <si>
    <t>被动技能参数27</t>
  </si>
  <si>
    <t>被动技能参数28</t>
  </si>
  <si>
    <t>被动技能参数29</t>
  </si>
  <si>
    <t>被动技能参数30</t>
  </si>
  <si>
    <t>被动技能参数31</t>
  </si>
  <si>
    <t>被动技能参数32</t>
  </si>
  <si>
    <t>被动技能参数33</t>
  </si>
  <si>
    <t>被动技能参数34</t>
  </si>
  <si>
    <t>被动技能参数35</t>
  </si>
  <si>
    <t>被动技能参数36</t>
  </si>
  <si>
    <t>被动技能参数37</t>
  </si>
  <si>
    <t>被动技能参数38</t>
  </si>
  <si>
    <t>被动技能参数39</t>
  </si>
  <si>
    <t>被动技能参数40</t>
  </si>
  <si>
    <t>被动技能参数41</t>
  </si>
  <si>
    <t>被动技能参数42</t>
  </si>
  <si>
    <t>被动技能参数43</t>
  </si>
  <si>
    <t>被动技能参数44</t>
  </si>
  <si>
    <t>被动技能参数45</t>
  </si>
  <si>
    <t>被动技能参数46</t>
  </si>
  <si>
    <t>被动技能参数47</t>
  </si>
  <si>
    <t>被动技能参数48</t>
  </si>
  <si>
    <t>被动技能参数49</t>
  </si>
  <si>
    <t>被动技能参数50</t>
  </si>
  <si>
    <t>被动技能参数51</t>
  </si>
  <si>
    <t>被动技能参数52</t>
  </si>
  <si>
    <t>被动技能参数53</t>
  </si>
  <si>
    <t>被动技能参数54</t>
  </si>
  <si>
    <t>被动技能参数55</t>
  </si>
  <si>
    <t>被动技能参数56</t>
  </si>
  <si>
    <t>被动技能参数57</t>
  </si>
  <si>
    <t>被动技能参数58</t>
  </si>
  <si>
    <t>被动技能参数59</t>
  </si>
  <si>
    <t>被动技能参数60</t>
  </si>
  <si>
    <t>被动技能参数61</t>
  </si>
  <si>
    <t>被动技能参数62</t>
  </si>
  <si>
    <t>被动技能参数63</t>
  </si>
  <si>
    <t>被动技能参数64</t>
  </si>
  <si>
    <t>被动技能参数65</t>
  </si>
  <si>
    <t>被动技能参数66</t>
  </si>
  <si>
    <t>被动技能参数67</t>
  </si>
  <si>
    <t>被动技能参数68</t>
  </si>
  <si>
    <t>被动技能参数69</t>
  </si>
  <si>
    <t>被动技能参数70</t>
  </si>
  <si>
    <t>被动技能参数71</t>
  </si>
  <si>
    <t>被动技能参数72</t>
  </si>
  <si>
    <t>被动技能参数73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</si>
  <si>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</si>
  <si>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</si>
  <si>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</si>
  <si>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</si>
  <si>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</si>
  <si>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</si>
  <si>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</si>
  <si>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</si>
  <si>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</si>
  <si>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</si>
  <si>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</si>
  <si>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</si>
  <si>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</si>
  <si>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</si>
  <si>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</si>
  <si>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</si>
  <si>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</si>
  <si>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</si>
  <si>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</si>
  <si>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</si>
  <si>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</si>
  <si>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</si>
  <si>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</si>
  <si>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</si>
  <si>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</si>
  <si>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</si>
  <si>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</si>
  <si>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</si>
  <si>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</si>
  <si>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</si>
  <si>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</si>
  <si>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</si>
  <si>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</si>
  <si>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</si>
  <si>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</si>
  <si>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</si>
  <si>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</si>
  <si>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</si>
  <si>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</si>
  <si>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</si>
  <si>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</si>
  <si>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</si>
  <si>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</si>
  <si>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</si>
  <si>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</si>
  <si>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</si>
  <si>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</si>
  <si>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</si>
  <si>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</si>
  <si>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</si>
  <si>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</si>
  <si>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</si>
  <si>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</si>
  <si>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</si>
  <si>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</si>
  <si>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</si>
  <si>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</si>
  <si>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</si>
  <si>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</si>
  <si>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</si>
  <si>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</si>
  <si>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</si>
  <si>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</si>
  <si>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</si>
  <si>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</si>
  <si>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</si>
  <si>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</si>
  <si>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</si>
  <si>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</si>
  <si>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</si>
  <si>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</si>
  <si>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</si>
  <si>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</si>
  <si>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</si>
  <si>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</si>
  <si>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</si>
  <si>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</si>
  <si>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mark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</si>
  <si>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</si>
  <si>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</si>
  <si>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</si>
  <si>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名称</t>
    <phoneticPr fontId="1" type="noConversion"/>
  </si>
  <si>
    <t>描述</t>
    <phoneticPr fontId="1" type="noConversion"/>
  </si>
  <si>
    <t>状态图标</t>
    <phoneticPr fontId="1" type="noConversion"/>
  </si>
  <si>
    <t>Buff/Debuff:true为buff</t>
    <phoneticPr fontId="1" type="noConversion"/>
  </si>
  <si>
    <t>最大叠加</t>
    <phoneticPr fontId="1" type="noConversion"/>
  </si>
  <si>
    <t>作用间隔：对当前生命值，需要多次进行计算（DOT），这里指定经过多久时间进行1次计算。为0表示仅需要起效1次（在附着上的时候），或者是没有实际意义。</t>
    <phoneticPr fontId="1" type="noConversion"/>
  </si>
  <si>
    <t>标记：美术表现</t>
    <phoneticPr fontId="1" type="noConversion"/>
  </si>
  <si>
    <t>状态优先级：值越大，优先级越高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</si>
  <si>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</si>
  <si>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</si>
  <si>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</si>
  <si>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</si>
  <si>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</si>
  <si>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</si>
  <si>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</si>
  <si>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</si>
  <si>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</si>
  <si>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</si>
  <si>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</si>
  <si>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</si>
  <si>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</si>
  <si>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</si>
  <si>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</si>
  <si>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</si>
  <si>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</si>
  <si>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</si>
  <si>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</si>
  <si>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</si>
  <si>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</si>
  <si>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</si>
  <si>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</si>
  <si>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</si>
  <si>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</si>
  <si>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</si>
  <si>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</si>
  <si>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</si>
  <si>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</si>
  <si>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</si>
  <si>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</si>
  <si>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</si>
  <si>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</si>
  <si>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</si>
  <si>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</si>
  <si>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</si>
  <si>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</si>
  <si>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</si>
  <si>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</si>
  <si>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</si>
  <si>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</si>
  <si>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</si>
  <si>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</si>
  <si>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</si>
  <si>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</si>
  <si>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</si>
  <si>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</si>
  <si>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</si>
  <si>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</si>
  <si>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</si>
  <si>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</si>
  <si>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</si>
  <si>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</si>
  <si>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</si>
  <si>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</si>
  <si>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</si>
  <si>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</si>
  <si>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</si>
  <si>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</si>
  <si>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</si>
  <si>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</si>
  <si>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</si>
  <si>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</si>
  <si>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</si>
  <si>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</si>
  <si>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</si>
  <si>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</si>
  <si>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</si>
  <si>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</si>
  <si>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</si>
  <si>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</si>
  <si>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</si>
  <si>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</si>
  <si>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</si>
  <si>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</si>
  <si>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</si>
  <si>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</si>
  <si>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</si>
  <si>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</si>
  <si>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</si>
  <si>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</si>
  <si>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</si>
  <si>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</si>
  <si>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</si>
  <si>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</si>
  <si>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</si>
  <si>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</si>
  <si>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</si>
  <si>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</si>
  <si>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</si>
  <si>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</si>
  <si>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</si>
  <si>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</si>
  <si>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</si>
  <si>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</si>
  <si>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</si>
  <si>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</si>
  <si>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</si>
  <si>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</si>
  <si>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</si>
  <si>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</si>
  <si>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</si>
  <si>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</si>
  <si>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</si>
  <si>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</si>
  <si>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</si>
  <si>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</si>
  <si>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</si>
  <si>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</si>
  <si>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</si>
  <si>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</si>
  <si>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</si>
  <si>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</si>
  <si>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</si>
  <si>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</si>
  <si>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</si>
  <si>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</si>
  <si>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</si>
  <si>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</si>
  <si>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</si>
  <si>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</si>
  <si>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</si>
  <si>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</si>
  <si>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</si>
  <si>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</si>
  <si>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</si>
  <si>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</si>
  <si>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</si>
  <si>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</si>
  <si>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</si>
  <si>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</si>
  <si>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</si>
  <si>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</si>
  <si>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</si>
  <si>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</si>
  <si>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</si>
  <si>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</si>
  <si>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</si>
  <si>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</si>
  <si>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</si>
  <si>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</si>
  <si>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</si>
  <si>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</si>
  <si>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</si>
  <si>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</si>
  <si>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</si>
  <si>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</si>
  <si>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</si>
  <si>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</si>
  <si>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</si>
  <si>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</si>
  <si>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</si>
  <si>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</si>
  <si>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</si>
  <si>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</si>
  <si>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</si>
  <si>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</si>
  <si>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</si>
  <si>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</si>
  <si>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</si>
  <si>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</si>
  <si>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</si>
  <si>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</si>
  <si>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</si>
  <si>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</si>
  <si>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</si>
  <si>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</si>
  <si>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</si>
  <si>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</si>
  <si>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</si>
  <si>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</si>
  <si>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</si>
  <si>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</si>
  <si>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</si>
  <si>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</si>
  <si>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</si>
  <si>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</si>
  <si>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</si>
  <si>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</si>
  <si>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</si>
  <si>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</si>
  <si>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</si>
  <si>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</si>
  <si>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</si>
  <si>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</si>
  <si>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</si>
  <si>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</si>
  <si>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</si>
  <si>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</si>
  <si>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</si>
  <si>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</si>
  <si>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</si>
  <si>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</si>
  <si>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</si>
  <si>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</si>
  <si>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</si>
  <si>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</si>
  <si>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</si>
  <si>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</si>
  <si>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</si>
  <si>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</si>
  <si>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</si>
  <si>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</si>
  <si>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</si>
  <si>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</si>
  <si>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</si>
  <si>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id</t>
    <phoneticPr fontId="1" type="noConversion"/>
  </si>
  <si>
    <t>MultipleType</t>
    <phoneticPr fontId="1" type="noConversion"/>
  </si>
  <si>
    <t>TargetType</t>
  </si>
  <si>
    <t>TargetType</t>
    <phoneticPr fontId="1" type="noConversion"/>
  </si>
  <si>
    <t>TargetLimit[;]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</si>
  <si>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</si>
  <si>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</si>
  <si>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</si>
  <si>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</si>
  <si>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</si>
  <si>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</si>
  <si>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</si>
  <si>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</si>
  <si>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</si>
  <si>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</si>
  <si>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</si>
  <si>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</si>
  <si>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</si>
  <si>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</si>
  <si>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</si>
  <si>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</si>
  <si>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</si>
  <si>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</si>
  <si>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</si>
  <si>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TargetLimit[;]</t>
    <phoneticPr fontId="1" type="noConversion"/>
  </si>
  <si>
    <t>multipleLimit</t>
    <phoneticPr fontId="1" type="noConversion"/>
  </si>
  <si>
    <t>damageArg</t>
    <phoneticPr fontId="1" type="noConversion"/>
  </si>
  <si>
    <t>1;1;1</t>
    <phoneticPr fontId="1" type="noConversion"/>
  </si>
  <si>
    <t>1;1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</si>
  <si>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选择过滤列表，符合这个条件的怪物，将不能被该技能列为可选目标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</si>
  <si>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飞行特效，laser不支持多飞行特效</t>
    </r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</si>
  <si>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</si>
  <si>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</si>
  <si>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</si>
  <si>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</si>
  <si>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</si>
  <si>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</si>
  <si>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</si>
  <si>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</si>
  <si>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</si>
  <si>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</si>
  <si>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</si>
  <si>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</si>
  <si>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</si>
  <si>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</si>
  <si>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</si>
  <si>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</si>
  <si>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</si>
  <si>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</si>
  <si>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</si>
  <si>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</si>
  <si>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技能选择目标的方式。其中One和Direct需要玩家选择一个目标（格子），其余均不需要。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</si>
  <si>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</si>
  <si>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特殊效果的生效阶段，0表示伤害之强，1表示伤害之后。维度与特殊效果一致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</si>
  <si>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命中特效</t>
    </r>
    <phoneticPr fontId="1" type="noConversion"/>
  </si>
  <si>
    <t>id</t>
    <phoneticPr fontId="1" type="noConversion"/>
  </si>
  <si>
    <t>描述</t>
    <phoneticPr fontId="1" type="noConversion"/>
  </si>
  <si>
    <t>selectType需要的参数</t>
    <phoneticPr fontId="1" type="noConversion"/>
  </si>
  <si>
    <t>决定技能的释放方式。注意Self、Target、Help会根据不同的技能使用者，意义会不同</t>
    <phoneticPr fontId="1" type="noConversion"/>
  </si>
  <si>
    <t>multipleType需要的参数</t>
    <phoneticPr fontId="1" type="noConversion"/>
  </si>
  <si>
    <t>伤害类型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</si>
  <si>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</si>
  <si>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t>物资消耗：仅玩家技能生效。玩家使用技能需要消耗一定物资，为空表示不消耗。参数类。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</si>
  <si>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</si>
  <si>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扩散过滤列表，符合这个条件的怪物，将不会被扩散效果影响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</si>
  <si>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</si>
  <si>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</si>
  <si>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</si>
  <si>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这是一个用来描述特殊效果的参数类，维度与特殊效果一致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</si>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</sst>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3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20" fontId="3" fillId="0" borderId="1" xfId="0" applyNumberFormat="1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3" fillId="0" borderId="2" xfId="0" applyFont="1" applyBorder="1" applyAlignment="1">
      <alignment horizontal="left" vertical="center" wrapText="1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</cellXfs>
  <cellStyles count="2">
    <cellStyle name="常规" xfId="0" builtinId="0"/>
    <cellStyle name="超链接" xfId="1" builtinId="8"/>
  </cellStyles>
  <dxfs count="89"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0201275" y="847725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88" dataDxfId="87">
  <autoFilter ref="A3:C48"/>
  <tableColumns count="3">
    <tableColumn id="1" name="id" dataDxfId="86"/>
    <tableColumn id="2" name="skillIds" dataDxfId="85"/>
    <tableColumn id="4" name="characterActivate" dataDxfId="84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51" totalsRowShown="0" headerRowDxfId="34" dataDxfId="60">
  <autoFilter ref="A3:Y51"/>
  <sortState ref="A4:Y51">
    <sortCondition ref="A3:A51"/>
  </sortState>
  <tableColumns count="25">
    <tableColumn id="1" name="id" dataDxfId="59"/>
    <tableColumn id="2" name="name" dataDxfId="58"/>
    <tableColumn id="3" name="describe" dataDxfId="57"/>
    <tableColumn id="17" name="icon" dataDxfId="56">
      <calculatedColumnFormula>"Skill_Main_"&amp;T+D7EXT(AB4,"0000")+D2+表1[[#Headers],[icon]]+表1[[#Headers],[icon]]+表1[[#Headers],[icon]]</calculatedColumnFormula>
    </tableColumn>
    <tableColumn id="22" name="selectType" dataDxfId="55"/>
    <tableColumn id="13" name="selectArg" dataDxfId="54"/>
    <tableColumn id="5" name="targetType" dataDxfId="53"/>
    <tableColumn id="11" name="targetLimit" dataDxfId="52"/>
    <tableColumn id="12" name="multipleType" dataDxfId="51"/>
    <tableColumn id="25" name="multipleArg" dataDxfId="50"/>
    <tableColumn id="23" name="multipleLimit" dataDxfId="49"/>
    <tableColumn id="4" name="effect_fly" dataDxfId="48"/>
    <tableColumn id="14" name="effect_hit" dataDxfId="47"/>
    <tableColumn id="6" name="carry" dataDxfId="46"/>
    <tableColumn id="18" name="damageType" dataDxfId="45"/>
    <tableColumn id="24" name="damageArg" dataDxfId="44"/>
    <tableColumn id="9" name="damage" dataDxfId="43"/>
    <tableColumn id="7" name="successRate" dataDxfId="42"/>
    <tableColumn id="19" name="specialEffects" dataDxfId="41"/>
    <tableColumn id="21" name="phase" dataDxfId="40"/>
    <tableColumn id="20" name="activeSkillArgs" dataDxfId="39"/>
    <tableColumn id="10" name="stuffCost" dataDxfId="38"/>
    <tableColumn id="15" name="costTime" dataDxfId="37"/>
    <tableColumn id="16" name="usePower" dataDxfId="36"/>
    <tableColumn id="8" name="coolDown" dataDxfId="35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1" dataDxfId="15">
  <autoFilter ref="A3:M8"/>
  <tableColumns count="13">
    <tableColumn id="1" name="id" dataDxfId="14"/>
    <tableColumn id="2" name="name" dataDxfId="13"/>
    <tableColumn id="3" name="describe" dataDxfId="12"/>
    <tableColumn id="8" name="icon" dataDxfId="11">
      <calculatedColumnFormula>"Skill_Summon_"&amp;TEXT(O4,"0000")</calculatedColumnFormula>
    </tableColumn>
    <tableColumn id="11" name="selectType" dataDxfId="10"/>
    <tableColumn id="4" name="selectArg" dataDxfId="9"/>
    <tableColumn id="9" name="targetType" dataDxfId="8"/>
    <tableColumn id="10" name="carry" dataDxfId="7"/>
    <tableColumn id="6" name="prefab2" dataDxfId="6"/>
    <tableColumn id="5" name="stuffCost" dataDxfId="5"/>
    <tableColumn id="7" name="costTime" dataDxfId="4"/>
    <tableColumn id="12" name="specialAction" dataDxfId="3"/>
    <tableColumn id="13" name="arg" dataDxfId="2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F76" totalsRowShown="0" headerRowDxfId="83" dataDxfId="82">
  <autoFilter ref="A3:F76"/>
  <sortState ref="A4:F76">
    <sortCondition ref="A3:A76"/>
  </sortState>
  <tableColumns count="6">
    <tableColumn id="1" name="id" dataDxfId="81"/>
    <tableColumn id="2" name="name" dataDxfId="80"/>
    <tableColumn id="3" name="describe" dataDxfId="79"/>
    <tableColumn id="6" name="icon" dataDxfId="78">
      <calculatedColumnFormula>"Skill_Passive_"&amp;TEXT(H4,"0000")</calculatedColumnFormula>
    </tableColumn>
    <tableColumn id="4" name="passiveType" dataDxfId="77"/>
    <tableColumn id="5" name="passiveSkillArgs" dataDxfId="76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L73" totalsRowShown="0" headerRowDxfId="75" dataDxfId="73" headerRowBorderDxfId="74">
  <autoFilter ref="A3:L73"/>
  <sortState ref="A4:L73">
    <sortCondition ref="E3:E73"/>
  </sortState>
  <tableColumns count="12">
    <tableColumn id="1" name="id" dataDxfId="72"/>
    <tableColumn id="2" name="name" dataDxfId="71"/>
    <tableColumn id="3" name="describe" dataDxfId="70"/>
    <tableColumn id="12" name="icon" dataDxfId="69">
      <calculatedColumnFormula>IF(表5[[#This Row],[isBuff]],"Bbuff","DeBbuff")&amp;TEXT(N4,"0000")</calculatedColumnFormula>
    </tableColumn>
    <tableColumn id="4" name="isBuff" dataDxfId="68"/>
    <tableColumn id="5" name="max" dataDxfId="67"/>
    <tableColumn id="6" name="time" dataDxfId="66"/>
    <tableColumn id="11" name="interval" dataDxfId="65"/>
    <tableColumn id="7" name="mark" dataDxfId="64"/>
    <tableColumn id="8" name="priority" dataDxfId="63"/>
    <tableColumn id="9" name="stateEffects" dataDxfId="62"/>
    <tableColumn id="10" name="stateArgs" dataDxfId="61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B24" sqref="B24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9" t="s">
        <v>38</v>
      </c>
      <c r="B1" s="10" t="s">
        <v>551</v>
      </c>
      <c r="C1" s="10" t="s">
        <v>549</v>
      </c>
    </row>
    <row r="2" spans="1:7" ht="16.5" x14ac:dyDescent="0.2">
      <c r="A2" s="12" t="s">
        <v>39</v>
      </c>
      <c r="B2" s="12" t="s">
        <v>347</v>
      </c>
      <c r="C2" s="12" t="s">
        <v>56</v>
      </c>
    </row>
    <row r="3" spans="1:7" ht="15" x14ac:dyDescent="0.2">
      <c r="A3" s="15" t="s">
        <v>2</v>
      </c>
      <c r="B3" s="15" t="s">
        <v>60</v>
      </c>
      <c r="C3" s="15" t="s">
        <v>59</v>
      </c>
    </row>
    <row r="4" spans="1:7" ht="16.5" x14ac:dyDescent="0.2">
      <c r="A4" s="12">
        <v>1001</v>
      </c>
      <c r="B4" s="12" t="s">
        <v>40</v>
      </c>
      <c r="C4" s="12" t="s">
        <v>58</v>
      </c>
      <c r="E4">
        <v>1000001</v>
      </c>
      <c r="F4" t="s">
        <v>230</v>
      </c>
      <c r="G4" t="s">
        <v>231</v>
      </c>
    </row>
    <row r="5" spans="1:7" ht="16.5" x14ac:dyDescent="0.2">
      <c r="A5" s="12">
        <v>1002</v>
      </c>
      <c r="B5" s="12" t="str">
        <f>E5 &amp; ";" &amp;E5</f>
        <v>1000002;1000002</v>
      </c>
      <c r="C5" s="12" t="s">
        <v>57</v>
      </c>
      <c r="E5">
        <v>1000002</v>
      </c>
      <c r="F5" t="s">
        <v>232</v>
      </c>
      <c r="G5" t="s">
        <v>233</v>
      </c>
    </row>
    <row r="6" spans="1:7" ht="16.5" x14ac:dyDescent="0.2">
      <c r="A6" s="12">
        <v>1003</v>
      </c>
      <c r="B6" s="12" t="str">
        <f t="shared" ref="B6:B26" si="0">E6 &amp; ";" &amp;E6</f>
        <v>1000003;1000003</v>
      </c>
      <c r="C6" s="12" t="s">
        <v>57</v>
      </c>
      <c r="E6">
        <v>1000003</v>
      </c>
      <c r="F6" t="s">
        <v>234</v>
      </c>
      <c r="G6" t="s">
        <v>235</v>
      </c>
    </row>
    <row r="7" spans="1:7" ht="16.5" x14ac:dyDescent="0.2">
      <c r="A7" s="12">
        <v>1004</v>
      </c>
      <c r="B7" s="12" t="str">
        <f t="shared" si="0"/>
        <v>1000004;1000004</v>
      </c>
      <c r="C7" s="12" t="s">
        <v>57</v>
      </c>
      <c r="E7">
        <v>1000004</v>
      </c>
      <c r="F7" t="s">
        <v>236</v>
      </c>
      <c r="G7" t="s">
        <v>237</v>
      </c>
    </row>
    <row r="8" spans="1:7" ht="16.5" x14ac:dyDescent="0.2">
      <c r="A8" s="12">
        <v>1005</v>
      </c>
      <c r="B8" s="12" t="str">
        <f t="shared" si="0"/>
        <v>1000005;1000005</v>
      </c>
      <c r="C8" s="12" t="s">
        <v>57</v>
      </c>
      <c r="E8">
        <v>1000005</v>
      </c>
      <c r="F8" t="s">
        <v>238</v>
      </c>
      <c r="G8" t="s">
        <v>239</v>
      </c>
    </row>
    <row r="9" spans="1:7" ht="16.5" x14ac:dyDescent="0.2">
      <c r="A9" s="12">
        <v>1006</v>
      </c>
      <c r="B9" s="12" t="str">
        <f t="shared" si="0"/>
        <v>1000006;1000006</v>
      </c>
      <c r="C9" s="12" t="s">
        <v>57</v>
      </c>
      <c r="E9">
        <v>1000006</v>
      </c>
      <c r="F9" t="s">
        <v>240</v>
      </c>
      <c r="G9" t="s">
        <v>241</v>
      </c>
    </row>
    <row r="10" spans="1:7" ht="16.5" x14ac:dyDescent="0.2">
      <c r="A10" s="12">
        <v>1007</v>
      </c>
      <c r="B10" s="12" t="str">
        <f t="shared" si="0"/>
        <v>1000007;1000007</v>
      </c>
      <c r="C10" s="12" t="s">
        <v>57</v>
      </c>
      <c r="E10">
        <v>1000007</v>
      </c>
      <c r="F10" t="s">
        <v>79</v>
      </c>
      <c r="G10" t="s">
        <v>242</v>
      </c>
    </row>
    <row r="11" spans="1:7" ht="16.5" x14ac:dyDescent="0.2">
      <c r="A11" s="12">
        <v>1008</v>
      </c>
      <c r="B11" s="12" t="str">
        <f t="shared" si="0"/>
        <v>1000008;1000008</v>
      </c>
      <c r="C11" s="12" t="s">
        <v>57</v>
      </c>
      <c r="E11">
        <v>1000008</v>
      </c>
      <c r="F11" t="s">
        <v>243</v>
      </c>
      <c r="G11" t="s">
        <v>244</v>
      </c>
    </row>
    <row r="12" spans="1:7" ht="16.5" x14ac:dyDescent="0.2">
      <c r="A12" s="12">
        <v>1009</v>
      </c>
      <c r="B12" s="12" t="str">
        <f t="shared" si="0"/>
        <v>1000009;1000009</v>
      </c>
      <c r="C12" s="12" t="s">
        <v>57</v>
      </c>
      <c r="E12">
        <v>1000009</v>
      </c>
      <c r="F12" t="s">
        <v>245</v>
      </c>
      <c r="G12" t="s">
        <v>246</v>
      </c>
    </row>
    <row r="13" spans="1:7" ht="16.5" x14ac:dyDescent="0.2">
      <c r="A13" s="12">
        <v>1010</v>
      </c>
      <c r="B13" s="12" t="str">
        <f t="shared" si="0"/>
        <v>1000010;1000010</v>
      </c>
      <c r="C13" s="12" t="s">
        <v>57</v>
      </c>
      <c r="E13">
        <v>1000010</v>
      </c>
      <c r="F13" t="s">
        <v>247</v>
      </c>
      <c r="G13" t="s">
        <v>248</v>
      </c>
    </row>
    <row r="14" spans="1:7" ht="16.5" x14ac:dyDescent="0.2">
      <c r="A14" s="12">
        <v>1011</v>
      </c>
      <c r="B14" s="12" t="str">
        <f t="shared" si="0"/>
        <v>1000011;1000011</v>
      </c>
      <c r="C14" s="12" t="s">
        <v>57</v>
      </c>
      <c r="E14">
        <v>1000011</v>
      </c>
      <c r="F14" t="s">
        <v>249</v>
      </c>
      <c r="G14" t="s">
        <v>250</v>
      </c>
    </row>
    <row r="15" spans="1:7" ht="16.5" x14ac:dyDescent="0.2">
      <c r="A15" s="12">
        <v>1012</v>
      </c>
      <c r="B15" s="12" t="str">
        <f t="shared" si="0"/>
        <v>1000012;1000012</v>
      </c>
      <c r="C15" s="12" t="s">
        <v>57</v>
      </c>
      <c r="E15">
        <v>1000012</v>
      </c>
      <c r="F15" t="s">
        <v>251</v>
      </c>
      <c r="G15" t="s">
        <v>252</v>
      </c>
    </row>
    <row r="16" spans="1:7" ht="16.5" x14ac:dyDescent="0.2">
      <c r="A16" s="12">
        <v>1013</v>
      </c>
      <c r="B16" s="12" t="str">
        <f t="shared" si="0"/>
        <v>1000013;1000013</v>
      </c>
      <c r="C16" s="12" t="s">
        <v>57</v>
      </c>
      <c r="E16">
        <v>1000013</v>
      </c>
      <c r="F16" t="s">
        <v>253</v>
      </c>
      <c r="G16" t="s">
        <v>254</v>
      </c>
    </row>
    <row r="17" spans="1:7" ht="16.5" x14ac:dyDescent="0.2">
      <c r="A17" s="12">
        <v>1014</v>
      </c>
      <c r="B17" s="12" t="str">
        <f t="shared" si="0"/>
        <v>1000014;1000014</v>
      </c>
      <c r="C17" s="12" t="s">
        <v>57</v>
      </c>
      <c r="E17">
        <v>1000014</v>
      </c>
      <c r="F17" t="s">
        <v>255</v>
      </c>
      <c r="G17" t="s">
        <v>256</v>
      </c>
    </row>
    <row r="18" spans="1:7" ht="16.5" x14ac:dyDescent="0.2">
      <c r="A18" s="12">
        <v>1015</v>
      </c>
      <c r="B18" s="12" t="str">
        <f t="shared" si="0"/>
        <v>1000015;1000015</v>
      </c>
      <c r="C18" s="12" t="s">
        <v>57</v>
      </c>
      <c r="E18">
        <v>1000015</v>
      </c>
      <c r="F18" t="s">
        <v>257</v>
      </c>
      <c r="G18" t="s">
        <v>258</v>
      </c>
    </row>
    <row r="19" spans="1:7" ht="16.5" x14ac:dyDescent="0.2">
      <c r="A19" s="12">
        <v>1016</v>
      </c>
      <c r="B19" s="12" t="str">
        <f t="shared" si="0"/>
        <v>1000016;1000016</v>
      </c>
      <c r="C19" s="12" t="s">
        <v>57</v>
      </c>
      <c r="E19">
        <v>1000016</v>
      </c>
      <c r="F19" t="s">
        <v>259</v>
      </c>
      <c r="G19" t="s">
        <v>260</v>
      </c>
    </row>
    <row r="20" spans="1:7" ht="16.5" x14ac:dyDescent="0.2">
      <c r="A20" s="12">
        <v>1017</v>
      </c>
      <c r="B20" s="12" t="str">
        <f t="shared" si="0"/>
        <v>1000017;1000017</v>
      </c>
      <c r="C20" s="12" t="s">
        <v>57</v>
      </c>
      <c r="E20">
        <v>1000017</v>
      </c>
      <c r="F20" t="s">
        <v>261</v>
      </c>
      <c r="G20" t="s">
        <v>262</v>
      </c>
    </row>
    <row r="21" spans="1:7" ht="16.5" x14ac:dyDescent="0.2">
      <c r="A21" s="12">
        <v>1018</v>
      </c>
      <c r="B21" s="12" t="str">
        <f t="shared" si="0"/>
        <v>1000018;1000018</v>
      </c>
      <c r="C21" s="12" t="s">
        <v>57</v>
      </c>
      <c r="E21">
        <v>1000018</v>
      </c>
      <c r="F21" t="s">
        <v>263</v>
      </c>
      <c r="G21" t="s">
        <v>264</v>
      </c>
    </row>
    <row r="22" spans="1:7" ht="16.5" x14ac:dyDescent="0.2">
      <c r="A22" s="12">
        <v>1019</v>
      </c>
      <c r="B22" s="12" t="str">
        <f t="shared" si="0"/>
        <v>1000019;1000019</v>
      </c>
      <c r="C22" s="12" t="s">
        <v>57</v>
      </c>
      <c r="E22">
        <v>1000019</v>
      </c>
      <c r="F22" t="s">
        <v>139</v>
      </c>
      <c r="G22" t="s">
        <v>265</v>
      </c>
    </row>
    <row r="23" spans="1:7" ht="16.5" x14ac:dyDescent="0.2">
      <c r="A23" s="12">
        <v>1020</v>
      </c>
      <c r="B23" s="12" t="str">
        <f t="shared" si="0"/>
        <v>1000020;1000020</v>
      </c>
      <c r="C23" s="12" t="s">
        <v>57</v>
      </c>
      <c r="E23">
        <v>1000020</v>
      </c>
      <c r="F23" t="s">
        <v>266</v>
      </c>
      <c r="G23" t="s">
        <v>267</v>
      </c>
    </row>
    <row r="24" spans="1:7" ht="16.5" x14ac:dyDescent="0.2">
      <c r="A24" s="12">
        <v>1021</v>
      </c>
      <c r="B24" s="12" t="str">
        <f t="shared" si="0"/>
        <v>1000021;1000021</v>
      </c>
      <c r="C24" s="12" t="s">
        <v>57</v>
      </c>
      <c r="E24">
        <v>1000021</v>
      </c>
      <c r="F24" t="s">
        <v>268</v>
      </c>
      <c r="G24" t="s">
        <v>269</v>
      </c>
    </row>
    <row r="25" spans="1:7" ht="16.5" x14ac:dyDescent="0.2">
      <c r="A25" s="12">
        <v>1022</v>
      </c>
      <c r="B25" s="12" t="str">
        <f t="shared" si="0"/>
        <v>1000022;1000022</v>
      </c>
      <c r="C25" s="12" t="s">
        <v>57</v>
      </c>
      <c r="E25">
        <v>1000022</v>
      </c>
      <c r="F25" t="s">
        <v>270</v>
      </c>
      <c r="G25" t="s">
        <v>164</v>
      </c>
    </row>
    <row r="26" spans="1:7" ht="16.5" x14ac:dyDescent="0.2">
      <c r="A26" s="12">
        <v>1023</v>
      </c>
      <c r="B26" s="12" t="str">
        <f t="shared" si="0"/>
        <v>1000023;1000023</v>
      </c>
      <c r="C26" s="12" t="s">
        <v>57</v>
      </c>
      <c r="E26">
        <v>1000023</v>
      </c>
      <c r="F26" t="s">
        <v>271</v>
      </c>
      <c r="G26" t="s">
        <v>272</v>
      </c>
    </row>
    <row r="27" spans="1:7" ht="16.5" x14ac:dyDescent="0.2">
      <c r="A27" s="12">
        <v>1024</v>
      </c>
      <c r="B27" s="12" t="str">
        <f t="shared" ref="B27:B48" si="1">E27 &amp; ";" &amp;E27</f>
        <v>2000001;2000001</v>
      </c>
      <c r="C27" s="12" t="s">
        <v>229</v>
      </c>
      <c r="E27">
        <v>2000001</v>
      </c>
      <c r="F27" t="s">
        <v>273</v>
      </c>
      <c r="G27" t="s">
        <v>274</v>
      </c>
    </row>
    <row r="28" spans="1:7" ht="16.5" x14ac:dyDescent="0.2">
      <c r="A28" s="12">
        <v>1025</v>
      </c>
      <c r="B28" s="12" t="str">
        <f t="shared" si="1"/>
        <v>3000001;3000001</v>
      </c>
      <c r="C28" s="12" t="s">
        <v>229</v>
      </c>
      <c r="E28">
        <v>3000001</v>
      </c>
      <c r="F28" t="s">
        <v>276</v>
      </c>
      <c r="G28" t="s">
        <v>277</v>
      </c>
    </row>
    <row r="29" spans="1:7" ht="16.5" x14ac:dyDescent="0.2">
      <c r="A29" s="12">
        <v>1026</v>
      </c>
      <c r="B29" s="12" t="str">
        <f t="shared" si="1"/>
        <v>3000002;3000002</v>
      </c>
      <c r="C29" s="12" t="s">
        <v>229</v>
      </c>
      <c r="E29">
        <v>3000002</v>
      </c>
      <c r="F29" t="s">
        <v>278</v>
      </c>
      <c r="G29" t="s">
        <v>279</v>
      </c>
    </row>
    <row r="30" spans="1:7" ht="16.5" x14ac:dyDescent="0.2">
      <c r="A30" s="12">
        <v>1027</v>
      </c>
      <c r="B30" s="12" t="str">
        <f t="shared" si="1"/>
        <v>3000003;3000003</v>
      </c>
      <c r="C30" s="12" t="s">
        <v>229</v>
      </c>
      <c r="E30">
        <v>3000003</v>
      </c>
      <c r="F30" t="s">
        <v>280</v>
      </c>
      <c r="G30" t="s">
        <v>281</v>
      </c>
    </row>
    <row r="31" spans="1:7" ht="16.5" x14ac:dyDescent="0.2">
      <c r="A31" s="12">
        <v>1028</v>
      </c>
      <c r="B31" s="12" t="str">
        <f t="shared" si="1"/>
        <v>3000004;3000004</v>
      </c>
      <c r="C31" s="12" t="s">
        <v>229</v>
      </c>
      <c r="E31">
        <v>3000004</v>
      </c>
      <c r="F31" t="s">
        <v>282</v>
      </c>
      <c r="G31" t="s">
        <v>283</v>
      </c>
    </row>
    <row r="32" spans="1:7" ht="16.5" x14ac:dyDescent="0.2">
      <c r="A32" s="12">
        <v>1029</v>
      </c>
      <c r="B32" s="12" t="str">
        <f t="shared" si="1"/>
        <v>3000005;3000005</v>
      </c>
      <c r="C32" s="12" t="s">
        <v>229</v>
      </c>
      <c r="E32">
        <v>3000005</v>
      </c>
      <c r="F32" t="s">
        <v>284</v>
      </c>
      <c r="G32" t="s">
        <v>285</v>
      </c>
    </row>
    <row r="33" spans="1:7" ht="16.5" x14ac:dyDescent="0.2">
      <c r="A33" s="12">
        <v>1030</v>
      </c>
      <c r="B33" s="12" t="str">
        <f t="shared" si="1"/>
        <v>3000006;3000006</v>
      </c>
      <c r="C33" s="12" t="s">
        <v>229</v>
      </c>
      <c r="E33">
        <v>3000006</v>
      </c>
      <c r="F33" t="s">
        <v>286</v>
      </c>
      <c r="G33" t="s">
        <v>287</v>
      </c>
    </row>
    <row r="34" spans="1:7" ht="16.5" x14ac:dyDescent="0.2">
      <c r="A34" s="12">
        <v>1031</v>
      </c>
      <c r="B34" s="12" t="str">
        <f t="shared" si="1"/>
        <v>3000007;3000007</v>
      </c>
      <c r="C34" s="12" t="s">
        <v>229</v>
      </c>
      <c r="E34">
        <v>3000007</v>
      </c>
      <c r="F34" t="s">
        <v>288</v>
      </c>
      <c r="G34" t="s">
        <v>289</v>
      </c>
    </row>
    <row r="35" spans="1:7" ht="16.5" x14ac:dyDescent="0.2">
      <c r="A35" s="12">
        <v>1032</v>
      </c>
      <c r="B35" s="12" t="str">
        <f t="shared" si="1"/>
        <v>3000008;3000008</v>
      </c>
      <c r="C35" s="12" t="s">
        <v>229</v>
      </c>
      <c r="E35">
        <v>3000008</v>
      </c>
      <c r="F35" t="s">
        <v>290</v>
      </c>
      <c r="G35" t="s">
        <v>291</v>
      </c>
    </row>
    <row r="36" spans="1:7" ht="16.5" x14ac:dyDescent="0.2">
      <c r="A36" s="12">
        <v>1033</v>
      </c>
      <c r="B36" s="12" t="str">
        <f t="shared" si="1"/>
        <v>3000009;3000009</v>
      </c>
      <c r="C36" s="12" t="s">
        <v>229</v>
      </c>
      <c r="E36">
        <v>3000009</v>
      </c>
      <c r="F36" t="s">
        <v>292</v>
      </c>
      <c r="G36" t="s">
        <v>293</v>
      </c>
    </row>
    <row r="37" spans="1:7" ht="16.5" x14ac:dyDescent="0.2">
      <c r="A37" s="12">
        <v>1034</v>
      </c>
      <c r="B37" s="12" t="str">
        <f t="shared" si="1"/>
        <v>3000010;3000010</v>
      </c>
      <c r="C37" s="12" t="s">
        <v>229</v>
      </c>
      <c r="E37">
        <v>3000010</v>
      </c>
      <c r="F37" t="s">
        <v>294</v>
      </c>
      <c r="G37" t="s">
        <v>295</v>
      </c>
    </row>
    <row r="38" spans="1:7" ht="16.5" x14ac:dyDescent="0.2">
      <c r="A38" s="12">
        <v>1035</v>
      </c>
      <c r="B38" s="12" t="str">
        <f t="shared" si="1"/>
        <v>3000011;3000011</v>
      </c>
      <c r="C38" s="12" t="s">
        <v>229</v>
      </c>
      <c r="E38">
        <v>3000011</v>
      </c>
      <c r="F38" t="s">
        <v>296</v>
      </c>
      <c r="G38" t="s">
        <v>297</v>
      </c>
    </row>
    <row r="39" spans="1:7" ht="16.5" x14ac:dyDescent="0.2">
      <c r="A39" s="12">
        <v>1036</v>
      </c>
      <c r="B39" s="12" t="str">
        <f t="shared" si="1"/>
        <v>3000012;3000012</v>
      </c>
      <c r="C39" s="12" t="s">
        <v>229</v>
      </c>
      <c r="E39">
        <v>3000012</v>
      </c>
      <c r="F39" t="s">
        <v>189</v>
      </c>
      <c r="G39" t="s">
        <v>298</v>
      </c>
    </row>
    <row r="40" spans="1:7" ht="16.5" x14ac:dyDescent="0.2">
      <c r="A40" s="12">
        <v>1037</v>
      </c>
      <c r="B40" s="12" t="str">
        <f t="shared" si="1"/>
        <v>3000013;3000013</v>
      </c>
      <c r="C40" s="12" t="s">
        <v>229</v>
      </c>
      <c r="E40">
        <v>3000013</v>
      </c>
      <c r="F40" t="s">
        <v>299</v>
      </c>
      <c r="G40" t="s">
        <v>300</v>
      </c>
    </row>
    <row r="41" spans="1:7" ht="16.5" x14ac:dyDescent="0.2">
      <c r="A41" s="12">
        <v>1038</v>
      </c>
      <c r="B41" s="12" t="str">
        <f t="shared" si="1"/>
        <v>3000014;3000014</v>
      </c>
      <c r="C41" s="12" t="s">
        <v>229</v>
      </c>
      <c r="E41">
        <v>3000014</v>
      </c>
      <c r="F41" t="s">
        <v>301</v>
      </c>
      <c r="G41" t="s">
        <v>302</v>
      </c>
    </row>
    <row r="42" spans="1:7" ht="16.5" x14ac:dyDescent="0.2">
      <c r="A42" s="12">
        <v>1039</v>
      </c>
      <c r="B42" s="12" t="str">
        <f t="shared" si="1"/>
        <v>3000015;3000015</v>
      </c>
      <c r="C42" s="12" t="s">
        <v>229</v>
      </c>
      <c r="E42">
        <v>3000015</v>
      </c>
      <c r="F42" t="s">
        <v>303</v>
      </c>
      <c r="G42" t="s">
        <v>304</v>
      </c>
    </row>
    <row r="43" spans="1:7" ht="16.5" x14ac:dyDescent="0.2">
      <c r="A43" s="12">
        <v>1040</v>
      </c>
      <c r="B43" s="12" t="str">
        <f t="shared" si="1"/>
        <v>3000016;3000016</v>
      </c>
      <c r="C43" s="12" t="s">
        <v>229</v>
      </c>
      <c r="E43">
        <v>3000016</v>
      </c>
      <c r="F43" t="s">
        <v>305</v>
      </c>
      <c r="G43" t="s">
        <v>198</v>
      </c>
    </row>
    <row r="44" spans="1:7" ht="16.5" x14ac:dyDescent="0.2">
      <c r="A44" s="12">
        <v>1041</v>
      </c>
      <c r="B44" s="12" t="str">
        <f t="shared" si="1"/>
        <v>3000017;3000017</v>
      </c>
      <c r="C44" s="12" t="s">
        <v>229</v>
      </c>
      <c r="E44">
        <v>3000017</v>
      </c>
      <c r="F44" t="s">
        <v>306</v>
      </c>
      <c r="G44" t="s">
        <v>307</v>
      </c>
    </row>
    <row r="45" spans="1:7" ht="16.5" x14ac:dyDescent="0.2">
      <c r="A45" s="12">
        <v>1042</v>
      </c>
      <c r="B45" s="12" t="str">
        <f t="shared" si="1"/>
        <v>3000018;3000018</v>
      </c>
      <c r="C45" s="12" t="s">
        <v>229</v>
      </c>
      <c r="E45">
        <v>3000018</v>
      </c>
      <c r="F45" t="s">
        <v>308</v>
      </c>
      <c r="G45" t="s">
        <v>309</v>
      </c>
    </row>
    <row r="46" spans="1:7" ht="16.5" x14ac:dyDescent="0.2">
      <c r="A46" s="12">
        <v>1043</v>
      </c>
      <c r="B46" s="12" t="str">
        <f t="shared" si="1"/>
        <v>3000019;3000019</v>
      </c>
      <c r="C46" s="12" t="s">
        <v>229</v>
      </c>
      <c r="E46">
        <v>3000019</v>
      </c>
      <c r="F46" t="s">
        <v>310</v>
      </c>
      <c r="G46" t="s">
        <v>224</v>
      </c>
    </row>
    <row r="47" spans="1:7" ht="16.5" x14ac:dyDescent="0.2">
      <c r="A47" s="12">
        <v>1044</v>
      </c>
      <c r="B47" s="12" t="str">
        <f t="shared" si="1"/>
        <v>3000020;3000020</v>
      </c>
      <c r="C47" s="12" t="s">
        <v>229</v>
      </c>
      <c r="E47">
        <v>3000020</v>
      </c>
      <c r="F47" t="s">
        <v>311</v>
      </c>
      <c r="G47" t="s">
        <v>312</v>
      </c>
    </row>
    <row r="48" spans="1:7" ht="16.5" x14ac:dyDescent="0.2">
      <c r="A48" s="12">
        <v>1045</v>
      </c>
      <c r="B48" s="12" t="str">
        <f t="shared" si="1"/>
        <v>3000021;3000021</v>
      </c>
      <c r="C48" s="12" t="s">
        <v>229</v>
      </c>
      <c r="E48">
        <v>3000021</v>
      </c>
      <c r="F48" t="s">
        <v>313</v>
      </c>
      <c r="G48" t="s">
        <v>314</v>
      </c>
    </row>
  </sheetData>
  <phoneticPr fontId="1" type="noConversion"/>
  <conditionalFormatting sqref="A4:A48">
    <cfRule type="duplicateValues" dxfId="33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51"/>
  <sheetViews>
    <sheetView showGridLines="0" tabSelected="1" zoomScaleNormal="100" workbookViewId="0">
      <pane xSplit="2" ySplit="3" topLeftCell="C31" activePane="bottomRight" state="frozen"/>
      <selection pane="topRight" activeCell="C1" sqref="C1"/>
      <selection pane="bottomLeft" activeCell="A4" sqref="A4"/>
      <selection pane="bottomRight" activeCell="C48" sqref="C48"/>
    </sheetView>
  </sheetViews>
  <sheetFormatPr defaultColWidth="8.75" defaultRowHeight="16.5" x14ac:dyDescent="0.3"/>
  <cols>
    <col min="1" max="2" width="9.625" style="2" bestFit="1" customWidth="1"/>
    <col min="3" max="3" width="56.875" style="2" bestFit="1" customWidth="1"/>
    <col min="4" max="4" width="56.875" style="2" hidden="1" customWidth="1"/>
    <col min="5" max="5" width="27" style="2" customWidth="1"/>
    <col min="6" max="6" width="20.625" style="2" customWidth="1"/>
    <col min="7" max="7" width="25.75" style="2" bestFit="1" customWidth="1"/>
    <col min="8" max="8" width="26" style="2" customWidth="1"/>
    <col min="9" max="9" width="29.375" style="2" customWidth="1"/>
    <col min="10" max="10" width="23.75" style="2" customWidth="1"/>
    <col min="11" max="11" width="28.5" style="2" customWidth="1"/>
    <col min="12" max="12" width="44.25" style="2" bestFit="1" customWidth="1"/>
    <col min="13" max="13" width="18.375" style="2" customWidth="1"/>
    <col min="14" max="14" width="9.125" style="2" bestFit="1" customWidth="1"/>
    <col min="15" max="15" width="14.125" style="2" bestFit="1" customWidth="1"/>
    <col min="16" max="16" width="42.625" style="2" customWidth="1"/>
    <col min="17" max="20" width="43.125" style="2" customWidth="1"/>
    <col min="21" max="21" width="59.375" style="2" bestFit="1" customWidth="1"/>
    <col min="22" max="22" width="38.875" style="2" customWidth="1"/>
    <col min="23" max="24" width="23.75" style="2" customWidth="1"/>
    <col min="25" max="25" width="29.625" style="2" customWidth="1"/>
    <col min="26" max="16384" width="8.75" style="2"/>
  </cols>
  <sheetData>
    <row r="1" spans="1:25" s="5" customFormat="1" ht="96" customHeight="1" x14ac:dyDescent="0.2">
      <c r="A1" s="11" t="s">
        <v>793</v>
      </c>
      <c r="B1" s="11" t="s">
        <v>604</v>
      </c>
      <c r="C1" s="11" t="s">
        <v>1082</v>
      </c>
      <c r="D1" s="11" t="s">
        <v>605</v>
      </c>
      <c r="E1" s="11" t="s">
        <v>1077</v>
      </c>
      <c r="F1" s="11" t="s">
        <v>1083</v>
      </c>
      <c r="G1" s="11" t="s">
        <v>1084</v>
      </c>
      <c r="H1" s="10" t="s">
        <v>1055</v>
      </c>
      <c r="I1" s="11" t="s">
        <v>1078</v>
      </c>
      <c r="J1" s="11" t="s">
        <v>1085</v>
      </c>
      <c r="K1" s="10" t="s">
        <v>1090</v>
      </c>
      <c r="L1" s="10" t="s">
        <v>1056</v>
      </c>
      <c r="M1" s="10" t="s">
        <v>1080</v>
      </c>
      <c r="N1" s="10" t="s">
        <v>1091</v>
      </c>
      <c r="O1" s="11" t="s">
        <v>1086</v>
      </c>
      <c r="P1" s="10" t="s">
        <v>1087</v>
      </c>
      <c r="Q1" s="10" t="s">
        <v>1092</v>
      </c>
      <c r="R1" s="10" t="s">
        <v>607</v>
      </c>
      <c r="S1" s="10" t="s">
        <v>1093</v>
      </c>
      <c r="T1" s="21" t="s">
        <v>1079</v>
      </c>
      <c r="U1" s="10" t="s">
        <v>1094</v>
      </c>
      <c r="V1" s="11" t="s">
        <v>1088</v>
      </c>
      <c r="W1" s="29" t="s">
        <v>608</v>
      </c>
      <c r="X1" s="11" t="s">
        <v>1089</v>
      </c>
      <c r="Y1" s="11" t="s">
        <v>609</v>
      </c>
    </row>
    <row r="2" spans="1:25" x14ac:dyDescent="0.3">
      <c r="A2" s="12" t="s">
        <v>614</v>
      </c>
      <c r="B2" s="12" t="s">
        <v>3</v>
      </c>
      <c r="C2" s="12" t="s">
        <v>6</v>
      </c>
      <c r="D2" s="12" t="s">
        <v>553</v>
      </c>
      <c r="E2" s="13" t="s">
        <v>1047</v>
      </c>
      <c r="F2" s="12" t="s">
        <v>1096</v>
      </c>
      <c r="G2" s="13" t="s">
        <v>1029</v>
      </c>
      <c r="H2" s="13" t="s">
        <v>1030</v>
      </c>
      <c r="I2" s="13" t="s">
        <v>1027</v>
      </c>
      <c r="J2" s="12" t="s">
        <v>1095</v>
      </c>
      <c r="K2" s="13" t="s">
        <v>1050</v>
      </c>
      <c r="L2" s="12" t="s">
        <v>9</v>
      </c>
      <c r="M2" s="12" t="s">
        <v>9</v>
      </c>
      <c r="N2" s="12" t="s">
        <v>27</v>
      </c>
      <c r="O2" s="13" t="s">
        <v>559</v>
      </c>
      <c r="P2" s="12" t="s">
        <v>98</v>
      </c>
      <c r="Q2" s="12" t="s">
        <v>1035</v>
      </c>
      <c r="R2" s="12" t="s">
        <v>98</v>
      </c>
      <c r="S2" s="13" t="s">
        <v>582</v>
      </c>
      <c r="T2" s="14" t="s">
        <v>615</v>
      </c>
      <c r="U2" s="12" t="s">
        <v>603</v>
      </c>
      <c r="V2" s="12" t="s">
        <v>558</v>
      </c>
      <c r="W2" s="14" t="s">
        <v>37</v>
      </c>
      <c r="X2" s="12" t="s">
        <v>26</v>
      </c>
      <c r="Y2" s="12" t="s">
        <v>341</v>
      </c>
    </row>
    <row r="3" spans="1:25" x14ac:dyDescent="0.3">
      <c r="A3" s="15" t="s">
        <v>1081</v>
      </c>
      <c r="B3" s="15" t="s">
        <v>20</v>
      </c>
      <c r="C3" s="15" t="s">
        <v>5</v>
      </c>
      <c r="D3" s="15" t="s">
        <v>828</v>
      </c>
      <c r="E3" s="16" t="s">
        <v>1049</v>
      </c>
      <c r="F3" s="15" t="s">
        <v>1098</v>
      </c>
      <c r="G3" s="16" t="s">
        <v>545</v>
      </c>
      <c r="H3" s="16" t="s">
        <v>546</v>
      </c>
      <c r="I3" s="16" t="s">
        <v>547</v>
      </c>
      <c r="J3" s="15" t="s">
        <v>1097</v>
      </c>
      <c r="K3" s="16" t="s">
        <v>1051</v>
      </c>
      <c r="L3" s="15" t="s">
        <v>34</v>
      </c>
      <c r="M3" s="15" t="s">
        <v>16</v>
      </c>
      <c r="N3" s="15" t="s">
        <v>8</v>
      </c>
      <c r="O3" s="16" t="s">
        <v>560</v>
      </c>
      <c r="P3" s="15" t="s">
        <v>1052</v>
      </c>
      <c r="Q3" s="15" t="s">
        <v>35</v>
      </c>
      <c r="R3" s="15" t="s">
        <v>99</v>
      </c>
      <c r="S3" s="16" t="s">
        <v>576</v>
      </c>
      <c r="T3" s="15" t="s">
        <v>602</v>
      </c>
      <c r="U3" s="15" t="s">
        <v>595</v>
      </c>
      <c r="V3" s="15" t="s">
        <v>543</v>
      </c>
      <c r="W3" s="15" t="s">
        <v>36</v>
      </c>
      <c r="X3" s="15" t="s">
        <v>54</v>
      </c>
      <c r="Y3" s="15" t="s">
        <v>340</v>
      </c>
    </row>
    <row r="4" spans="1:25" x14ac:dyDescent="0.3">
      <c r="A4" s="17">
        <v>1000001</v>
      </c>
      <c r="B4" s="12" t="s">
        <v>62</v>
      </c>
      <c r="C4" s="12" t="s">
        <v>325</v>
      </c>
      <c r="D4" s="12" t="s">
        <v>830</v>
      </c>
      <c r="E4" s="12" t="s">
        <v>1039</v>
      </c>
      <c r="F4" s="12"/>
      <c r="G4" s="12" t="s">
        <v>474</v>
      </c>
      <c r="H4" s="12"/>
      <c r="I4" s="12"/>
      <c r="J4" s="12"/>
      <c r="K4" s="12"/>
      <c r="L4" s="12" t="s">
        <v>24</v>
      </c>
      <c r="M4" s="12" t="s">
        <v>10</v>
      </c>
      <c r="N4" s="12" t="s">
        <v>70</v>
      </c>
      <c r="O4" s="12" t="s">
        <v>561</v>
      </c>
      <c r="P4" s="12" t="s">
        <v>63</v>
      </c>
      <c r="Q4" s="19" t="s">
        <v>562</v>
      </c>
      <c r="R4" s="12" t="s">
        <v>100</v>
      </c>
      <c r="S4" s="12"/>
      <c r="T4" s="12"/>
      <c r="U4" s="12"/>
      <c r="V4" s="12">
        <v>1</v>
      </c>
      <c r="W4" s="12">
        <v>0.8</v>
      </c>
      <c r="X4" s="12">
        <v>5</v>
      </c>
      <c r="Y4" s="12">
        <v>5</v>
      </c>
    </row>
    <row r="5" spans="1:25" x14ac:dyDescent="0.3">
      <c r="A5" s="17">
        <v>1000002</v>
      </c>
      <c r="B5" s="12" t="s">
        <v>72</v>
      </c>
      <c r="C5" s="12" t="s">
        <v>91</v>
      </c>
      <c r="D5" s="12" t="s">
        <v>829</v>
      </c>
      <c r="E5" s="12" t="s">
        <v>1039</v>
      </c>
      <c r="F5" s="12"/>
      <c r="G5" s="12" t="s">
        <v>474</v>
      </c>
      <c r="H5" s="12"/>
      <c r="I5" s="12"/>
      <c r="J5" s="12"/>
      <c r="K5" s="12"/>
      <c r="L5" s="12" t="s">
        <v>23</v>
      </c>
      <c r="M5" s="12" t="s">
        <v>10</v>
      </c>
      <c r="N5" s="12" t="s">
        <v>71</v>
      </c>
      <c r="O5" s="12" t="s">
        <v>563</v>
      </c>
      <c r="P5" s="12">
        <v>1</v>
      </c>
      <c r="Q5" s="19" t="s">
        <v>564</v>
      </c>
      <c r="R5" s="12" t="s">
        <v>100</v>
      </c>
      <c r="S5" s="12"/>
      <c r="T5" s="12"/>
      <c r="U5" s="12"/>
      <c r="V5" s="12">
        <v>1</v>
      </c>
      <c r="W5" s="12">
        <v>0.8</v>
      </c>
      <c r="X5" s="12">
        <v>5</v>
      </c>
      <c r="Y5" s="12">
        <v>5</v>
      </c>
    </row>
    <row r="6" spans="1:25" x14ac:dyDescent="0.3">
      <c r="A6" s="17">
        <v>1000003</v>
      </c>
      <c r="B6" s="12" t="s">
        <v>73</v>
      </c>
      <c r="C6" s="12" t="s">
        <v>87</v>
      </c>
      <c r="D6" s="12" t="s">
        <v>831</v>
      </c>
      <c r="E6" s="12" t="s">
        <v>1041</v>
      </c>
      <c r="F6" s="12"/>
      <c r="G6" s="12" t="s">
        <v>474</v>
      </c>
      <c r="H6" s="12"/>
      <c r="I6" s="12"/>
      <c r="J6" s="12"/>
      <c r="K6" s="12"/>
      <c r="L6" s="12" t="s">
        <v>24</v>
      </c>
      <c r="M6" s="12" t="s">
        <v>10</v>
      </c>
      <c r="N6" s="12" t="s">
        <v>31</v>
      </c>
      <c r="O6" s="12" t="s">
        <v>561</v>
      </c>
      <c r="P6" s="12" t="s">
        <v>76</v>
      </c>
      <c r="Q6" s="19" t="s">
        <v>565</v>
      </c>
      <c r="R6" s="12" t="s">
        <v>100</v>
      </c>
      <c r="S6" s="12"/>
      <c r="T6" s="12"/>
      <c r="U6" s="12"/>
      <c r="V6" s="12">
        <v>1</v>
      </c>
      <c r="W6" s="12">
        <v>1.5</v>
      </c>
      <c r="X6" s="12">
        <v>10</v>
      </c>
      <c r="Y6" s="12">
        <v>5</v>
      </c>
    </row>
    <row r="7" spans="1:25" x14ac:dyDescent="0.3">
      <c r="A7" s="17">
        <v>1000004</v>
      </c>
      <c r="B7" s="12" t="s">
        <v>74</v>
      </c>
      <c r="C7" s="12" t="s">
        <v>89</v>
      </c>
      <c r="D7" s="12" t="s">
        <v>832</v>
      </c>
      <c r="E7" s="12" t="s">
        <v>1099</v>
      </c>
      <c r="F7" s="12">
        <v>3</v>
      </c>
      <c r="G7" s="12" t="s">
        <v>474</v>
      </c>
      <c r="H7" s="12"/>
      <c r="I7" s="12"/>
      <c r="J7" s="12"/>
      <c r="K7" s="12"/>
      <c r="L7" s="12" t="s">
        <v>23</v>
      </c>
      <c r="M7" s="12" t="s">
        <v>10</v>
      </c>
      <c r="N7" s="12" t="s">
        <v>31</v>
      </c>
      <c r="O7" s="12" t="s">
        <v>563</v>
      </c>
      <c r="P7" s="12" t="s">
        <v>1053</v>
      </c>
      <c r="Q7" s="19" t="s">
        <v>566</v>
      </c>
      <c r="R7" s="12" t="s">
        <v>100</v>
      </c>
      <c r="S7" s="12"/>
      <c r="T7" s="12"/>
      <c r="U7" s="12"/>
      <c r="V7" s="12">
        <v>1</v>
      </c>
      <c r="W7" s="12">
        <v>1.5</v>
      </c>
      <c r="X7" s="12">
        <v>13</v>
      </c>
      <c r="Y7" s="12">
        <v>5</v>
      </c>
    </row>
    <row r="8" spans="1:25" x14ac:dyDescent="0.3">
      <c r="A8" s="17">
        <v>1000005</v>
      </c>
      <c r="B8" s="12" t="s">
        <v>75</v>
      </c>
      <c r="C8" s="12" t="s">
        <v>88</v>
      </c>
      <c r="D8" s="12" t="s">
        <v>833</v>
      </c>
      <c r="E8" s="12" t="s">
        <v>1100</v>
      </c>
      <c r="F8" s="12">
        <v>5</v>
      </c>
      <c r="G8" s="12" t="s">
        <v>474</v>
      </c>
      <c r="H8" s="12"/>
      <c r="I8" s="12"/>
      <c r="J8" s="12"/>
      <c r="K8" s="12"/>
      <c r="L8" s="12" t="s">
        <v>24</v>
      </c>
      <c r="M8" s="12" t="s">
        <v>10</v>
      </c>
      <c r="N8" s="12" t="s">
        <v>31</v>
      </c>
      <c r="O8" s="12" t="s">
        <v>561</v>
      </c>
      <c r="P8" s="12" t="s">
        <v>1054</v>
      </c>
      <c r="Q8" s="19" t="s">
        <v>567</v>
      </c>
      <c r="R8" s="12" t="s">
        <v>100</v>
      </c>
      <c r="S8" s="12"/>
      <c r="T8" s="12"/>
      <c r="U8" s="12"/>
      <c r="V8" s="12">
        <v>1</v>
      </c>
      <c r="W8" s="12">
        <v>1.7</v>
      </c>
      <c r="X8" s="12">
        <v>15</v>
      </c>
      <c r="Y8" s="12">
        <v>5</v>
      </c>
    </row>
    <row r="9" spans="1:25" x14ac:dyDescent="0.3">
      <c r="A9" s="17">
        <v>1000006</v>
      </c>
      <c r="B9" s="12" t="s">
        <v>77</v>
      </c>
      <c r="C9" s="12" t="s">
        <v>90</v>
      </c>
      <c r="D9" s="12" t="s">
        <v>834</v>
      </c>
      <c r="E9" s="12" t="s">
        <v>1039</v>
      </c>
      <c r="F9" s="12"/>
      <c r="G9" s="12" t="s">
        <v>474</v>
      </c>
      <c r="H9" s="12"/>
      <c r="I9" s="12" t="s">
        <v>1103</v>
      </c>
      <c r="J9" s="12">
        <v>2</v>
      </c>
      <c r="K9" s="12"/>
      <c r="L9" s="12" t="s">
        <v>23</v>
      </c>
      <c r="M9" s="12" t="s">
        <v>10</v>
      </c>
      <c r="N9" s="12" t="s">
        <v>78</v>
      </c>
      <c r="O9" s="12" t="s">
        <v>563</v>
      </c>
      <c r="P9" s="12">
        <v>1</v>
      </c>
      <c r="Q9" s="19" t="s">
        <v>568</v>
      </c>
      <c r="R9" s="12" t="s">
        <v>100</v>
      </c>
      <c r="S9" s="12"/>
      <c r="T9" s="12"/>
      <c r="U9" s="12"/>
      <c r="V9" s="12">
        <v>1</v>
      </c>
      <c r="W9" s="12">
        <v>1.2</v>
      </c>
      <c r="X9" s="12">
        <v>12</v>
      </c>
      <c r="Y9" s="12">
        <v>5</v>
      </c>
    </row>
    <row r="10" spans="1:25" x14ac:dyDescent="0.3">
      <c r="A10" s="17">
        <v>1000007</v>
      </c>
      <c r="B10" s="12" t="s">
        <v>79</v>
      </c>
      <c r="C10" s="12" t="s">
        <v>417</v>
      </c>
      <c r="D10" s="12" t="s">
        <v>835</v>
      </c>
      <c r="E10" s="12" t="s">
        <v>1039</v>
      </c>
      <c r="F10" s="12"/>
      <c r="G10" s="12" t="s">
        <v>474</v>
      </c>
      <c r="H10" s="12"/>
      <c r="I10" s="12"/>
      <c r="J10" s="12"/>
      <c r="K10" s="12"/>
      <c r="L10" s="12" t="s">
        <v>24</v>
      </c>
      <c r="M10" s="12" t="s">
        <v>10</v>
      </c>
      <c r="N10" s="12" t="s">
        <v>81</v>
      </c>
      <c r="O10" s="12" t="s">
        <v>561</v>
      </c>
      <c r="P10" s="18" t="s">
        <v>80</v>
      </c>
      <c r="Q10" s="19" t="s">
        <v>569</v>
      </c>
      <c r="R10" s="12" t="s">
        <v>100</v>
      </c>
      <c r="S10" s="14" t="s">
        <v>577</v>
      </c>
      <c r="T10" s="14"/>
      <c r="U10" s="12" t="s">
        <v>619</v>
      </c>
      <c r="V10" s="12">
        <v>1</v>
      </c>
      <c r="W10" s="12">
        <v>1.5</v>
      </c>
      <c r="X10" s="12">
        <v>7</v>
      </c>
      <c r="Y10" s="12">
        <v>5</v>
      </c>
    </row>
    <row r="11" spans="1:25" x14ac:dyDescent="0.3">
      <c r="A11" s="17">
        <v>1000008</v>
      </c>
      <c r="B11" s="12" t="s">
        <v>94</v>
      </c>
      <c r="C11" s="12" t="s">
        <v>102</v>
      </c>
      <c r="D11" s="12" t="s">
        <v>836</v>
      </c>
      <c r="E11" s="12" t="s">
        <v>1039</v>
      </c>
      <c r="F11" s="12"/>
      <c r="G11" s="12" t="s">
        <v>474</v>
      </c>
      <c r="H11" s="12"/>
      <c r="I11" s="12"/>
      <c r="J11" s="12"/>
      <c r="K11" s="12"/>
      <c r="L11" s="12"/>
      <c r="M11" s="12" t="s">
        <v>10</v>
      </c>
      <c r="N11" s="12" t="s">
        <v>93</v>
      </c>
      <c r="O11" s="12"/>
      <c r="P11" s="12"/>
      <c r="Q11" s="12"/>
      <c r="R11" s="12" t="s">
        <v>101</v>
      </c>
      <c r="S11" s="14" t="s">
        <v>336</v>
      </c>
      <c r="T11" s="14">
        <v>0</v>
      </c>
      <c r="U11" s="12" t="s">
        <v>620</v>
      </c>
      <c r="V11" s="12">
        <v>1</v>
      </c>
      <c r="W11" s="12">
        <v>0.5</v>
      </c>
      <c r="X11" s="12">
        <v>9999</v>
      </c>
      <c r="Y11" s="12">
        <v>5</v>
      </c>
    </row>
    <row r="12" spans="1:25" x14ac:dyDescent="0.3">
      <c r="A12" s="17">
        <v>1000009</v>
      </c>
      <c r="B12" s="12" t="s">
        <v>95</v>
      </c>
      <c r="C12" s="12" t="s">
        <v>104</v>
      </c>
      <c r="D12" s="12" t="s">
        <v>837</v>
      </c>
      <c r="E12" s="12" t="s">
        <v>1039</v>
      </c>
      <c r="F12" s="12"/>
      <c r="G12" s="12" t="s">
        <v>474</v>
      </c>
      <c r="H12" s="12" t="s">
        <v>321</v>
      </c>
      <c r="I12" s="12"/>
      <c r="J12" s="12"/>
      <c r="K12" s="12"/>
      <c r="L12" s="12"/>
      <c r="M12" s="12" t="s">
        <v>10</v>
      </c>
      <c r="N12" s="12" t="s">
        <v>97</v>
      </c>
      <c r="O12" s="12"/>
      <c r="P12" s="12"/>
      <c r="Q12" s="12"/>
      <c r="R12" s="12" t="s">
        <v>101</v>
      </c>
      <c r="S12" s="12" t="s">
        <v>578</v>
      </c>
      <c r="T12" s="12" t="s">
        <v>599</v>
      </c>
      <c r="U12" s="12" t="s">
        <v>621</v>
      </c>
      <c r="V12" s="12">
        <v>1</v>
      </c>
      <c r="W12" s="12">
        <v>0.4</v>
      </c>
      <c r="X12" s="12">
        <v>9999</v>
      </c>
      <c r="Y12" s="12">
        <v>5</v>
      </c>
    </row>
    <row r="13" spans="1:25" x14ac:dyDescent="0.3">
      <c r="A13" s="17">
        <v>1000010</v>
      </c>
      <c r="B13" s="12" t="s">
        <v>103</v>
      </c>
      <c r="C13" s="12" t="s">
        <v>105</v>
      </c>
      <c r="D13" s="12" t="s">
        <v>838</v>
      </c>
      <c r="E13" s="12" t="s">
        <v>1039</v>
      </c>
      <c r="F13" s="12"/>
      <c r="G13" s="12" t="s">
        <v>474</v>
      </c>
      <c r="H13" s="12" t="s">
        <v>322</v>
      </c>
      <c r="I13" s="12"/>
      <c r="J13" s="12"/>
      <c r="K13" s="12"/>
      <c r="L13" s="12"/>
      <c r="M13" s="12" t="s">
        <v>10</v>
      </c>
      <c r="N13" s="12" t="s">
        <v>97</v>
      </c>
      <c r="O13" s="12"/>
      <c r="P13" s="12"/>
      <c r="Q13" s="12"/>
      <c r="R13" s="12" t="s">
        <v>106</v>
      </c>
      <c r="S13" s="14" t="s">
        <v>579</v>
      </c>
      <c r="T13" s="14">
        <v>0</v>
      </c>
      <c r="U13" s="12" t="s">
        <v>622</v>
      </c>
      <c r="V13" s="12">
        <v>1</v>
      </c>
      <c r="W13" s="12">
        <v>0.4</v>
      </c>
      <c r="X13" s="12">
        <v>9999</v>
      </c>
      <c r="Y13" s="12">
        <v>5</v>
      </c>
    </row>
    <row r="14" spans="1:25" x14ac:dyDescent="0.3">
      <c r="A14" s="17">
        <v>1000011</v>
      </c>
      <c r="B14" s="12" t="s">
        <v>109</v>
      </c>
      <c r="C14" s="12" t="s">
        <v>416</v>
      </c>
      <c r="D14" s="12" t="s">
        <v>839</v>
      </c>
      <c r="E14" s="12" t="s">
        <v>1039</v>
      </c>
      <c r="F14" s="12"/>
      <c r="G14" s="12" t="s">
        <v>474</v>
      </c>
      <c r="H14" s="12"/>
      <c r="I14" s="12"/>
      <c r="J14" s="12"/>
      <c r="K14" s="12"/>
      <c r="L14" s="12"/>
      <c r="M14" s="12" t="s">
        <v>10</v>
      </c>
      <c r="N14" s="12" t="s">
        <v>110</v>
      </c>
      <c r="O14" s="12"/>
      <c r="P14" s="12"/>
      <c r="Q14" s="12"/>
      <c r="R14" s="12" t="s">
        <v>116</v>
      </c>
      <c r="S14" s="14" t="s">
        <v>577</v>
      </c>
      <c r="T14" s="14">
        <v>0</v>
      </c>
      <c r="U14" s="12" t="s">
        <v>623</v>
      </c>
      <c r="V14" s="12">
        <v>1</v>
      </c>
      <c r="W14" s="12">
        <v>6</v>
      </c>
      <c r="X14" s="12">
        <v>9999</v>
      </c>
      <c r="Y14" s="12">
        <v>5</v>
      </c>
    </row>
    <row r="15" spans="1:25" x14ac:dyDescent="0.3">
      <c r="A15" s="17">
        <v>1000012</v>
      </c>
      <c r="B15" s="12" t="s">
        <v>112</v>
      </c>
      <c r="C15" s="12" t="s">
        <v>418</v>
      </c>
      <c r="D15" s="12" t="s">
        <v>840</v>
      </c>
      <c r="E15" s="12" t="s">
        <v>1039</v>
      </c>
      <c r="F15" s="12"/>
      <c r="G15" s="12" t="s">
        <v>474</v>
      </c>
      <c r="H15" s="12"/>
      <c r="I15" s="12"/>
      <c r="J15" s="12"/>
      <c r="K15" s="12"/>
      <c r="L15" s="12"/>
      <c r="M15" s="12" t="s">
        <v>10</v>
      </c>
      <c r="N15" s="12" t="s">
        <v>115</v>
      </c>
      <c r="O15" s="12"/>
      <c r="P15" s="12"/>
      <c r="Q15" s="12"/>
      <c r="R15" s="12" t="s">
        <v>117</v>
      </c>
      <c r="S15" s="14" t="s">
        <v>577</v>
      </c>
      <c r="T15" s="14">
        <v>0</v>
      </c>
      <c r="U15" s="12" t="s">
        <v>624</v>
      </c>
      <c r="V15" s="12">
        <v>1</v>
      </c>
      <c r="W15" s="12">
        <v>0.3</v>
      </c>
      <c r="X15" s="12">
        <v>9999</v>
      </c>
      <c r="Y15" s="12">
        <v>5</v>
      </c>
    </row>
    <row r="16" spans="1:25" x14ac:dyDescent="0.3">
      <c r="A16" s="17">
        <v>1000013</v>
      </c>
      <c r="B16" s="12" t="s">
        <v>126</v>
      </c>
      <c r="C16" s="12" t="s">
        <v>127</v>
      </c>
      <c r="D16" s="12" t="s">
        <v>841</v>
      </c>
      <c r="E16" s="12" t="s">
        <v>1043</v>
      </c>
      <c r="F16" s="12"/>
      <c r="G16" s="12" t="s">
        <v>474</v>
      </c>
      <c r="H16" s="12"/>
      <c r="I16" s="12"/>
      <c r="J16" s="12"/>
      <c r="K16" s="12"/>
      <c r="L16" s="12"/>
      <c r="M16" s="12" t="s">
        <v>10</v>
      </c>
      <c r="N16" s="12" t="s">
        <v>120</v>
      </c>
      <c r="O16" s="12"/>
      <c r="P16" s="12"/>
      <c r="Q16" s="12"/>
      <c r="R16" s="12" t="s">
        <v>128</v>
      </c>
      <c r="S16" s="14" t="s">
        <v>577</v>
      </c>
      <c r="T16" s="14">
        <v>0</v>
      </c>
      <c r="U16" s="12" t="s">
        <v>625</v>
      </c>
      <c r="V16" s="12">
        <v>1</v>
      </c>
      <c r="W16" s="12">
        <v>1.5</v>
      </c>
      <c r="X16" s="12">
        <v>9999</v>
      </c>
      <c r="Y16" s="12">
        <v>5</v>
      </c>
    </row>
    <row r="17" spans="1:25" x14ac:dyDescent="0.3">
      <c r="A17" s="17">
        <v>1000014</v>
      </c>
      <c r="B17" s="12" t="s">
        <v>118</v>
      </c>
      <c r="C17" s="12" t="s">
        <v>544</v>
      </c>
      <c r="D17" s="12" t="s">
        <v>842</v>
      </c>
      <c r="E17" s="12" t="s">
        <v>1043</v>
      </c>
      <c r="F17" s="12"/>
      <c r="G17" s="12" t="s">
        <v>474</v>
      </c>
      <c r="H17" s="12" t="s">
        <v>319</v>
      </c>
      <c r="I17" s="12"/>
      <c r="J17" s="12"/>
      <c r="K17" s="12"/>
      <c r="L17" s="12" t="s">
        <v>24</v>
      </c>
      <c r="M17" s="12" t="s">
        <v>10</v>
      </c>
      <c r="N17" s="12" t="s">
        <v>120</v>
      </c>
      <c r="O17" s="12" t="s">
        <v>561</v>
      </c>
      <c r="P17" s="12" t="s">
        <v>119</v>
      </c>
      <c r="Q17" s="19" t="s">
        <v>570</v>
      </c>
      <c r="R17" s="12" t="s">
        <v>100</v>
      </c>
      <c r="S17" s="14" t="s">
        <v>336</v>
      </c>
      <c r="T17" s="14">
        <v>1</v>
      </c>
      <c r="U17" s="12" t="s">
        <v>626</v>
      </c>
      <c r="V17" s="12">
        <v>1</v>
      </c>
      <c r="W17" s="12">
        <v>2</v>
      </c>
      <c r="X17" s="12">
        <v>20</v>
      </c>
      <c r="Y17" s="12">
        <v>5</v>
      </c>
    </row>
    <row r="18" spans="1:25" x14ac:dyDescent="0.3">
      <c r="A18" s="17">
        <v>1000015</v>
      </c>
      <c r="B18" s="12" t="s">
        <v>121</v>
      </c>
      <c r="C18" s="12" t="s">
        <v>122</v>
      </c>
      <c r="D18" s="12" t="s">
        <v>843</v>
      </c>
      <c r="E18" s="12" t="s">
        <v>1043</v>
      </c>
      <c r="F18" s="12"/>
      <c r="G18" s="12" t="s">
        <v>474</v>
      </c>
      <c r="H18" s="12" t="s">
        <v>322</v>
      </c>
      <c r="I18" s="12"/>
      <c r="J18" s="12"/>
      <c r="K18" s="12"/>
      <c r="L18" s="12"/>
      <c r="M18" s="12" t="s">
        <v>10</v>
      </c>
      <c r="N18" s="12" t="s">
        <v>120</v>
      </c>
      <c r="O18" s="12" t="s">
        <v>563</v>
      </c>
      <c r="P18" s="12">
        <v>1</v>
      </c>
      <c r="Q18" s="19" t="s">
        <v>571</v>
      </c>
      <c r="R18" s="12" t="s">
        <v>123</v>
      </c>
      <c r="S18" s="14" t="s">
        <v>577</v>
      </c>
      <c r="T18" s="14">
        <v>0</v>
      </c>
      <c r="U18" s="12" t="s">
        <v>627</v>
      </c>
      <c r="V18" s="12">
        <v>1</v>
      </c>
      <c r="W18" s="12">
        <v>1.8</v>
      </c>
      <c r="X18" s="12">
        <v>15</v>
      </c>
      <c r="Y18" s="12">
        <v>5</v>
      </c>
    </row>
    <row r="19" spans="1:25" x14ac:dyDescent="0.3">
      <c r="A19" s="17">
        <v>1000016</v>
      </c>
      <c r="B19" s="12" t="s">
        <v>129</v>
      </c>
      <c r="C19" s="12" t="s">
        <v>130</v>
      </c>
      <c r="D19" s="12" t="s">
        <v>844</v>
      </c>
      <c r="E19" s="12" t="s">
        <v>1039</v>
      </c>
      <c r="F19" s="12"/>
      <c r="G19" s="12" t="s">
        <v>474</v>
      </c>
      <c r="H19" s="12"/>
      <c r="I19" s="12"/>
      <c r="J19" s="12"/>
      <c r="K19" s="12"/>
      <c r="L19" s="12" t="s">
        <v>23</v>
      </c>
      <c r="M19" s="12" t="s">
        <v>10</v>
      </c>
      <c r="N19" s="12" t="s">
        <v>110</v>
      </c>
      <c r="O19" s="12" t="s">
        <v>563</v>
      </c>
      <c r="P19" s="12">
        <v>1</v>
      </c>
      <c r="Q19" s="19" t="s">
        <v>572</v>
      </c>
      <c r="R19" s="12" t="s">
        <v>131</v>
      </c>
      <c r="S19" s="14" t="s">
        <v>577</v>
      </c>
      <c r="T19" s="14">
        <v>0</v>
      </c>
      <c r="U19" s="12" t="s">
        <v>628</v>
      </c>
      <c r="V19" s="12">
        <v>1</v>
      </c>
      <c r="W19" s="12">
        <v>1</v>
      </c>
      <c r="X19" s="12">
        <v>7</v>
      </c>
      <c r="Y19" s="12">
        <v>5</v>
      </c>
    </row>
    <row r="20" spans="1:25" x14ac:dyDescent="0.3">
      <c r="A20" s="17">
        <v>1000017</v>
      </c>
      <c r="B20" s="12" t="s">
        <v>132</v>
      </c>
      <c r="C20" s="12" t="s">
        <v>133</v>
      </c>
      <c r="D20" s="12" t="s">
        <v>845</v>
      </c>
      <c r="E20" s="12" t="s">
        <v>1039</v>
      </c>
      <c r="F20" s="12"/>
      <c r="G20" s="12" t="s">
        <v>134</v>
      </c>
      <c r="H20" s="12"/>
      <c r="I20" s="12"/>
      <c r="J20" s="12"/>
      <c r="K20" s="12"/>
      <c r="L20" s="12"/>
      <c r="M20" s="12" t="s">
        <v>10</v>
      </c>
      <c r="N20" s="12" t="s">
        <v>135</v>
      </c>
      <c r="O20" s="12"/>
      <c r="P20" s="12"/>
      <c r="Q20" s="12"/>
      <c r="R20" s="12" t="s">
        <v>136</v>
      </c>
      <c r="S20" s="12" t="s">
        <v>580</v>
      </c>
      <c r="T20" s="12" t="s">
        <v>600</v>
      </c>
      <c r="U20" s="12" t="s">
        <v>629</v>
      </c>
      <c r="V20" s="12">
        <v>1</v>
      </c>
      <c r="W20" s="12">
        <v>0.3</v>
      </c>
      <c r="X20" s="12">
        <v>9999</v>
      </c>
      <c r="Y20" s="12">
        <v>5</v>
      </c>
    </row>
    <row r="21" spans="1:25" x14ac:dyDescent="0.3">
      <c r="A21" s="17">
        <v>1000018</v>
      </c>
      <c r="B21" s="12" t="s">
        <v>150</v>
      </c>
      <c r="C21" s="12" t="s">
        <v>137</v>
      </c>
      <c r="D21" s="12" t="s">
        <v>846</v>
      </c>
      <c r="E21" s="12" t="s">
        <v>1039</v>
      </c>
      <c r="F21" s="12"/>
      <c r="G21" s="12" t="s">
        <v>134</v>
      </c>
      <c r="H21" s="12"/>
      <c r="I21" s="12"/>
      <c r="J21" s="12"/>
      <c r="K21" s="12"/>
      <c r="L21" s="12"/>
      <c r="M21" s="12" t="s">
        <v>10</v>
      </c>
      <c r="N21" s="12" t="s">
        <v>138</v>
      </c>
      <c r="O21" s="12"/>
      <c r="P21" s="12"/>
      <c r="Q21" s="12"/>
      <c r="R21" s="12" t="s">
        <v>136</v>
      </c>
      <c r="S21" s="12" t="s">
        <v>581</v>
      </c>
      <c r="T21" s="12" t="s">
        <v>601</v>
      </c>
      <c r="U21" s="12" t="s">
        <v>630</v>
      </c>
      <c r="V21" s="12">
        <v>1</v>
      </c>
      <c r="W21" s="12">
        <v>0.3</v>
      </c>
      <c r="X21" s="12">
        <v>9999</v>
      </c>
      <c r="Y21" s="12">
        <v>5</v>
      </c>
    </row>
    <row r="22" spans="1:25" ht="49.5" x14ac:dyDescent="0.3">
      <c r="A22" s="17">
        <v>1000019</v>
      </c>
      <c r="B22" s="12" t="s">
        <v>139</v>
      </c>
      <c r="C22" s="9" t="s">
        <v>1060</v>
      </c>
      <c r="D22" s="12" t="s">
        <v>847</v>
      </c>
      <c r="E22" s="12" t="s">
        <v>1039</v>
      </c>
      <c r="F22" s="12"/>
      <c r="G22" s="12" t="s">
        <v>134</v>
      </c>
      <c r="H22" s="12"/>
      <c r="I22" s="12"/>
      <c r="J22" s="12"/>
      <c r="K22" s="12"/>
      <c r="L22" s="12"/>
      <c r="M22" s="12" t="s">
        <v>10</v>
      </c>
      <c r="N22" s="12" t="s">
        <v>140</v>
      </c>
      <c r="O22" s="12"/>
      <c r="P22" s="12"/>
      <c r="Q22" s="12"/>
      <c r="R22" s="12" t="s">
        <v>141</v>
      </c>
      <c r="S22" s="12" t="s">
        <v>583</v>
      </c>
      <c r="T22" s="12" t="s">
        <v>598</v>
      </c>
      <c r="U22" s="12" t="s">
        <v>631</v>
      </c>
      <c r="V22" s="12">
        <v>1</v>
      </c>
      <c r="W22" s="12">
        <v>0.5</v>
      </c>
      <c r="X22" s="12">
        <v>9999</v>
      </c>
      <c r="Y22" s="12">
        <v>5</v>
      </c>
    </row>
    <row r="23" spans="1:25" x14ac:dyDescent="0.3">
      <c r="A23" s="17">
        <v>1000020</v>
      </c>
      <c r="B23" s="12" t="s">
        <v>149</v>
      </c>
      <c r="C23" s="12" t="s">
        <v>146</v>
      </c>
      <c r="D23" s="12" t="s">
        <v>848</v>
      </c>
      <c r="E23" s="12" t="s">
        <v>1039</v>
      </c>
      <c r="F23" s="12"/>
      <c r="G23" s="12" t="s">
        <v>474</v>
      </c>
      <c r="H23" s="12"/>
      <c r="I23" s="12"/>
      <c r="J23" s="12"/>
      <c r="K23" s="12"/>
      <c r="L23" s="12"/>
      <c r="M23" s="12" t="s">
        <v>10</v>
      </c>
      <c r="N23" s="12" t="s">
        <v>147</v>
      </c>
      <c r="O23" s="12"/>
      <c r="P23" s="12"/>
      <c r="Q23" s="12"/>
      <c r="R23" s="12" t="s">
        <v>141</v>
      </c>
      <c r="S23" s="14" t="s">
        <v>584</v>
      </c>
      <c r="T23" s="14">
        <v>0</v>
      </c>
      <c r="U23" s="12" t="s">
        <v>632</v>
      </c>
      <c r="V23" s="12">
        <v>1</v>
      </c>
      <c r="W23" s="12">
        <v>0.5</v>
      </c>
      <c r="X23" s="12">
        <v>9999</v>
      </c>
      <c r="Y23" s="12">
        <v>5</v>
      </c>
    </row>
    <row r="24" spans="1:25" x14ac:dyDescent="0.3">
      <c r="A24" s="17">
        <v>1000021</v>
      </c>
      <c r="B24" s="12" t="s">
        <v>160</v>
      </c>
      <c r="C24" s="12" t="s">
        <v>419</v>
      </c>
      <c r="D24" s="12" t="s">
        <v>849</v>
      </c>
      <c r="E24" s="12" t="s">
        <v>1067</v>
      </c>
      <c r="F24" s="12"/>
      <c r="G24" s="12" t="s">
        <v>326</v>
      </c>
      <c r="H24" s="12"/>
      <c r="I24" s="12"/>
      <c r="J24" s="12"/>
      <c r="K24" s="12"/>
      <c r="L24" s="12"/>
      <c r="M24" s="12" t="s">
        <v>10</v>
      </c>
      <c r="N24" s="12" t="s">
        <v>161</v>
      </c>
      <c r="O24" s="12"/>
      <c r="P24" s="12"/>
      <c r="Q24" s="12"/>
      <c r="R24" s="12"/>
      <c r="S24" s="14" t="s">
        <v>577</v>
      </c>
      <c r="T24" s="14">
        <v>0</v>
      </c>
      <c r="U24" s="12" t="s">
        <v>633</v>
      </c>
      <c r="V24" s="12">
        <v>1</v>
      </c>
      <c r="W24" s="12">
        <v>0</v>
      </c>
      <c r="X24" s="12">
        <v>9999</v>
      </c>
      <c r="Y24" s="12">
        <v>5</v>
      </c>
    </row>
    <row r="25" spans="1:25" x14ac:dyDescent="0.3">
      <c r="A25" s="17">
        <v>1000022</v>
      </c>
      <c r="B25" s="12" t="s">
        <v>166</v>
      </c>
      <c r="C25" s="12" t="s">
        <v>420</v>
      </c>
      <c r="D25" s="12" t="s">
        <v>850</v>
      </c>
      <c r="E25" s="12" t="s">
        <v>1067</v>
      </c>
      <c r="F25" s="12"/>
      <c r="G25" s="12" t="s">
        <v>323</v>
      </c>
      <c r="H25" s="12"/>
      <c r="I25" s="12"/>
      <c r="J25" s="12"/>
      <c r="K25" s="12"/>
      <c r="L25" s="12"/>
      <c r="M25" s="12" t="s">
        <v>10</v>
      </c>
      <c r="N25" s="12" t="s">
        <v>167</v>
      </c>
      <c r="O25" s="12"/>
      <c r="P25" s="12"/>
      <c r="Q25" s="12"/>
      <c r="R25" s="12"/>
      <c r="S25" s="14" t="s">
        <v>577</v>
      </c>
      <c r="T25" s="14">
        <v>0</v>
      </c>
      <c r="U25" s="12" t="s">
        <v>634</v>
      </c>
      <c r="V25" s="12">
        <v>1</v>
      </c>
      <c r="W25" s="12">
        <v>0</v>
      </c>
      <c r="X25" s="12">
        <v>9999</v>
      </c>
      <c r="Y25" s="12">
        <v>5</v>
      </c>
    </row>
    <row r="26" spans="1:25" x14ac:dyDescent="0.3">
      <c r="A26" s="17">
        <v>1000023</v>
      </c>
      <c r="B26" s="12" t="s">
        <v>175</v>
      </c>
      <c r="C26" s="12" t="s">
        <v>421</v>
      </c>
      <c r="D26" s="12" t="s">
        <v>851</v>
      </c>
      <c r="E26" s="12" t="s">
        <v>1044</v>
      </c>
      <c r="F26" s="12"/>
      <c r="G26" s="12" t="s">
        <v>323</v>
      </c>
      <c r="H26" s="12"/>
      <c r="I26" s="12"/>
      <c r="J26" s="12"/>
      <c r="K26" s="12"/>
      <c r="L26" s="12"/>
      <c r="M26" s="12" t="s">
        <v>10</v>
      </c>
      <c r="N26" s="12" t="s">
        <v>167</v>
      </c>
      <c r="O26" s="12"/>
      <c r="P26" s="12"/>
      <c r="Q26" s="12"/>
      <c r="R26" s="12"/>
      <c r="S26" s="14" t="s">
        <v>577</v>
      </c>
      <c r="T26" s="14">
        <v>0</v>
      </c>
      <c r="U26" s="12" t="s">
        <v>635</v>
      </c>
      <c r="V26" s="12">
        <v>1</v>
      </c>
      <c r="W26" s="12">
        <v>0</v>
      </c>
      <c r="X26" s="12">
        <v>9999</v>
      </c>
      <c r="Y26" s="12">
        <v>5</v>
      </c>
    </row>
    <row r="27" spans="1:25" x14ac:dyDescent="0.3">
      <c r="A27" s="12">
        <v>1010001</v>
      </c>
      <c r="B27" s="12" t="s">
        <v>214</v>
      </c>
      <c r="C27" s="12" t="s">
        <v>215</v>
      </c>
      <c r="D27" s="12" t="s">
        <v>852</v>
      </c>
      <c r="E27" s="12" t="s">
        <v>1039</v>
      </c>
      <c r="F27" s="12"/>
      <c r="G27" s="12" t="s">
        <v>474</v>
      </c>
      <c r="H27" s="12"/>
      <c r="I27" s="12"/>
      <c r="J27" s="12"/>
      <c r="K27" s="12"/>
      <c r="L27" s="12" t="s">
        <v>23</v>
      </c>
      <c r="M27" s="12" t="s">
        <v>10</v>
      </c>
      <c r="N27" s="12" t="s">
        <v>216</v>
      </c>
      <c r="O27" s="12" t="s">
        <v>563</v>
      </c>
      <c r="P27" s="12"/>
      <c r="Q27" s="19" t="s">
        <v>573</v>
      </c>
      <c r="R27" s="12" t="s">
        <v>141</v>
      </c>
      <c r="S27" s="12"/>
      <c r="T27" s="12"/>
      <c r="U27" s="12"/>
      <c r="V27" s="12">
        <v>1</v>
      </c>
      <c r="W27" s="12">
        <v>3</v>
      </c>
      <c r="X27" s="12">
        <v>9999</v>
      </c>
      <c r="Y27" s="12">
        <v>5</v>
      </c>
    </row>
    <row r="28" spans="1:25" x14ac:dyDescent="0.3">
      <c r="A28" s="12">
        <v>1010002</v>
      </c>
      <c r="B28" s="12" t="s">
        <v>205</v>
      </c>
      <c r="C28" s="12" t="s">
        <v>207</v>
      </c>
      <c r="D28" s="12" t="s">
        <v>853</v>
      </c>
      <c r="E28" s="12" t="s">
        <v>1039</v>
      </c>
      <c r="F28" s="12"/>
      <c r="G28" s="12" t="s">
        <v>474</v>
      </c>
      <c r="H28" s="12"/>
      <c r="I28" s="12"/>
      <c r="J28" s="12"/>
      <c r="K28" s="12"/>
      <c r="L28" s="12" t="s">
        <v>24</v>
      </c>
      <c r="M28" s="12" t="s">
        <v>10</v>
      </c>
      <c r="N28" s="12" t="s">
        <v>210</v>
      </c>
      <c r="O28" s="12" t="s">
        <v>561</v>
      </c>
      <c r="P28" s="12"/>
      <c r="Q28" s="19" t="s">
        <v>574</v>
      </c>
      <c r="R28" s="12" t="s">
        <v>141</v>
      </c>
      <c r="S28" s="12"/>
      <c r="T28" s="12"/>
      <c r="U28" s="12"/>
      <c r="V28" s="12">
        <v>1</v>
      </c>
      <c r="W28" s="12">
        <v>3</v>
      </c>
      <c r="X28" s="12">
        <v>9999</v>
      </c>
      <c r="Y28" s="12">
        <v>5</v>
      </c>
    </row>
    <row r="29" spans="1:25" x14ac:dyDescent="0.3">
      <c r="A29" s="12">
        <v>1010003</v>
      </c>
      <c r="B29" s="12" t="s">
        <v>206</v>
      </c>
      <c r="C29" s="12" t="s">
        <v>208</v>
      </c>
      <c r="D29" s="12" t="s">
        <v>854</v>
      </c>
      <c r="E29" s="12" t="s">
        <v>1101</v>
      </c>
      <c r="F29" s="12">
        <v>2</v>
      </c>
      <c r="G29" s="12" t="s">
        <v>474</v>
      </c>
      <c r="H29" s="12"/>
      <c r="I29" s="12"/>
      <c r="J29" s="12"/>
      <c r="K29" s="12"/>
      <c r="L29" s="12" t="s">
        <v>516</v>
      </c>
      <c r="M29" s="12" t="s">
        <v>10</v>
      </c>
      <c r="N29" s="12" t="s">
        <v>211</v>
      </c>
      <c r="O29" s="12" t="s">
        <v>563</v>
      </c>
      <c r="P29" s="12" t="s">
        <v>209</v>
      </c>
      <c r="Q29" s="19" t="s">
        <v>575</v>
      </c>
      <c r="R29" s="12" t="s">
        <v>141</v>
      </c>
      <c r="S29" s="12"/>
      <c r="T29" s="12"/>
      <c r="U29" s="12"/>
      <c r="V29" s="12">
        <v>1</v>
      </c>
      <c r="W29" s="12">
        <v>4</v>
      </c>
      <c r="X29" s="12">
        <v>9999</v>
      </c>
      <c r="Y29" s="12">
        <v>5</v>
      </c>
    </row>
    <row r="30" spans="1:25" x14ac:dyDescent="0.3">
      <c r="A30" s="12">
        <v>1100001</v>
      </c>
      <c r="B30" s="12" t="s">
        <v>391</v>
      </c>
      <c r="C30" s="12" t="s">
        <v>387</v>
      </c>
      <c r="D30" s="12" t="s">
        <v>855</v>
      </c>
      <c r="E30" s="12" t="s">
        <v>1068</v>
      </c>
      <c r="F30" s="12"/>
      <c r="G30" s="12" t="s">
        <v>326</v>
      </c>
      <c r="H30" s="12"/>
      <c r="I30" s="12"/>
      <c r="J30" s="12"/>
      <c r="K30" s="12"/>
      <c r="L30" s="12"/>
      <c r="M30" s="12"/>
      <c r="N30" s="12" t="s">
        <v>392</v>
      </c>
      <c r="O30" s="12"/>
      <c r="P30" s="12"/>
      <c r="Q30" s="12"/>
      <c r="R30" s="12" t="s">
        <v>136</v>
      </c>
      <c r="S30" s="14" t="s">
        <v>577</v>
      </c>
      <c r="T30" s="14">
        <v>0</v>
      </c>
      <c r="U30" s="12" t="s">
        <v>636</v>
      </c>
      <c r="V30" s="12">
        <v>1</v>
      </c>
      <c r="W30" s="12">
        <v>9999</v>
      </c>
      <c r="X30" s="12">
        <v>9999</v>
      </c>
      <c r="Y30" s="12">
        <v>9999</v>
      </c>
    </row>
    <row r="31" spans="1:25" x14ac:dyDescent="0.3">
      <c r="A31" s="12">
        <v>1100002</v>
      </c>
      <c r="B31" s="12" t="s">
        <v>391</v>
      </c>
      <c r="C31" s="12" t="s">
        <v>388</v>
      </c>
      <c r="D31" s="12" t="s">
        <v>856</v>
      </c>
      <c r="E31" s="12" t="s">
        <v>1069</v>
      </c>
      <c r="F31" s="12"/>
      <c r="G31" s="12" t="s">
        <v>323</v>
      </c>
      <c r="H31" s="12"/>
      <c r="I31" s="12"/>
      <c r="J31" s="12"/>
      <c r="K31" s="12"/>
      <c r="L31" s="12"/>
      <c r="M31" s="12"/>
      <c r="N31" s="12" t="s">
        <v>393</v>
      </c>
      <c r="O31" s="12"/>
      <c r="P31" s="12"/>
      <c r="Q31" s="12"/>
      <c r="R31" s="12" t="s">
        <v>136</v>
      </c>
      <c r="S31" s="14" t="s">
        <v>577</v>
      </c>
      <c r="T31" s="14">
        <v>0</v>
      </c>
      <c r="U31" s="12" t="s">
        <v>637</v>
      </c>
      <c r="V31" s="12">
        <v>1</v>
      </c>
      <c r="W31" s="12">
        <v>9999</v>
      </c>
      <c r="X31" s="12">
        <v>9999</v>
      </c>
      <c r="Y31" s="12">
        <v>9999</v>
      </c>
    </row>
    <row r="32" spans="1:25" x14ac:dyDescent="0.3">
      <c r="A32" s="12">
        <v>1100003</v>
      </c>
      <c r="B32" s="12" t="s">
        <v>391</v>
      </c>
      <c r="C32" s="12" t="s">
        <v>389</v>
      </c>
      <c r="D32" s="12" t="s">
        <v>857</v>
      </c>
      <c r="E32" s="12" t="s">
        <v>1068</v>
      </c>
      <c r="F32" s="12"/>
      <c r="G32" s="12" t="s">
        <v>323</v>
      </c>
      <c r="H32" s="12"/>
      <c r="I32" s="12"/>
      <c r="J32" s="12"/>
      <c r="K32" s="12"/>
      <c r="L32" s="12"/>
      <c r="M32" s="12"/>
      <c r="N32" s="12" t="s">
        <v>393</v>
      </c>
      <c r="O32" s="12"/>
      <c r="P32" s="12"/>
      <c r="Q32" s="12"/>
      <c r="R32" s="12" t="s">
        <v>136</v>
      </c>
      <c r="S32" s="14" t="s">
        <v>577</v>
      </c>
      <c r="T32" s="14">
        <v>0</v>
      </c>
      <c r="U32" s="12" t="s">
        <v>638</v>
      </c>
      <c r="V32" s="12">
        <v>1</v>
      </c>
      <c r="W32" s="12">
        <v>9999</v>
      </c>
      <c r="X32" s="12">
        <v>9999</v>
      </c>
      <c r="Y32" s="12">
        <v>9999</v>
      </c>
    </row>
    <row r="33" spans="1:25" x14ac:dyDescent="0.3">
      <c r="A33" s="12">
        <v>1100004</v>
      </c>
      <c r="B33" s="12" t="s">
        <v>391</v>
      </c>
      <c r="C33" s="12" t="s">
        <v>390</v>
      </c>
      <c r="D33" s="12" t="s">
        <v>858</v>
      </c>
      <c r="E33" s="12" t="s">
        <v>1068</v>
      </c>
      <c r="F33" s="12"/>
      <c r="G33" s="12" t="s">
        <v>326</v>
      </c>
      <c r="H33" s="12"/>
      <c r="I33" s="12"/>
      <c r="J33" s="12"/>
      <c r="K33" s="12"/>
      <c r="L33" s="12"/>
      <c r="M33" s="12"/>
      <c r="N33" s="12" t="s">
        <v>394</v>
      </c>
      <c r="O33" s="12"/>
      <c r="P33" s="12"/>
      <c r="Q33" s="12"/>
      <c r="R33" s="12" t="s">
        <v>395</v>
      </c>
      <c r="S33" s="14" t="s">
        <v>577</v>
      </c>
      <c r="T33" s="14">
        <v>0</v>
      </c>
      <c r="U33" s="12" t="s">
        <v>639</v>
      </c>
      <c r="V33" s="12">
        <v>1</v>
      </c>
      <c r="W33" s="12">
        <v>9999</v>
      </c>
      <c r="X33" s="12">
        <v>9999</v>
      </c>
      <c r="Y33" s="12">
        <v>9999</v>
      </c>
    </row>
    <row r="34" spans="1:25" x14ac:dyDescent="0.3">
      <c r="A34" s="12">
        <v>1100005</v>
      </c>
      <c r="B34" s="12" t="s">
        <v>405</v>
      </c>
      <c r="C34" s="12" t="s">
        <v>406</v>
      </c>
      <c r="D34" s="12" t="s">
        <v>859</v>
      </c>
      <c r="E34" s="12" t="s">
        <v>1068</v>
      </c>
      <c r="F34" s="12"/>
      <c r="G34" s="12" t="s">
        <v>326</v>
      </c>
      <c r="H34" s="12"/>
      <c r="I34" s="12"/>
      <c r="J34" s="12"/>
      <c r="K34" s="12"/>
      <c r="L34" s="12"/>
      <c r="M34" s="12"/>
      <c r="N34" s="12" t="s">
        <v>392</v>
      </c>
      <c r="O34" s="12"/>
      <c r="P34" s="12"/>
      <c r="Q34" s="12"/>
      <c r="R34" s="12" t="s">
        <v>136</v>
      </c>
      <c r="S34" s="14" t="s">
        <v>577</v>
      </c>
      <c r="T34" s="14">
        <v>0</v>
      </c>
      <c r="U34" s="12" t="s">
        <v>640</v>
      </c>
      <c r="V34" s="12">
        <v>1</v>
      </c>
      <c r="W34" s="12">
        <v>9999</v>
      </c>
      <c r="X34" s="12">
        <v>9999</v>
      </c>
      <c r="Y34" s="12">
        <v>9999</v>
      </c>
    </row>
    <row r="35" spans="1:25" x14ac:dyDescent="0.3">
      <c r="A35" s="12">
        <v>1100006</v>
      </c>
      <c r="B35" s="12" t="s">
        <v>405</v>
      </c>
      <c r="C35" s="12" t="s">
        <v>407</v>
      </c>
      <c r="D35" s="12" t="s">
        <v>860</v>
      </c>
      <c r="E35" s="12" t="s">
        <v>1068</v>
      </c>
      <c r="F35" s="12"/>
      <c r="G35" s="12" t="s">
        <v>323</v>
      </c>
      <c r="H35" s="12"/>
      <c r="I35" s="12"/>
      <c r="J35" s="12"/>
      <c r="K35" s="12"/>
      <c r="L35" s="12"/>
      <c r="M35" s="12"/>
      <c r="N35" s="12" t="s">
        <v>393</v>
      </c>
      <c r="O35" s="12"/>
      <c r="P35" s="12"/>
      <c r="Q35" s="12"/>
      <c r="R35" s="12" t="s">
        <v>136</v>
      </c>
      <c r="S35" s="14" t="s">
        <v>577</v>
      </c>
      <c r="T35" s="14">
        <v>0</v>
      </c>
      <c r="U35" s="12" t="s">
        <v>641</v>
      </c>
      <c r="V35" s="12">
        <v>1</v>
      </c>
      <c r="W35" s="12">
        <v>9999</v>
      </c>
      <c r="X35" s="12">
        <v>9999</v>
      </c>
      <c r="Y35" s="12">
        <v>9999</v>
      </c>
    </row>
    <row r="36" spans="1:25" x14ac:dyDescent="0.3">
      <c r="A36" s="12">
        <v>1100007</v>
      </c>
      <c r="B36" s="12" t="s">
        <v>405</v>
      </c>
      <c r="C36" s="12" t="s">
        <v>408</v>
      </c>
      <c r="D36" s="12" t="s">
        <v>861</v>
      </c>
      <c r="E36" s="12" t="s">
        <v>1068</v>
      </c>
      <c r="F36" s="12"/>
      <c r="G36" s="12" t="s">
        <v>323</v>
      </c>
      <c r="H36" s="20"/>
      <c r="I36" s="12"/>
      <c r="J36" s="12"/>
      <c r="K36" s="12"/>
      <c r="L36" s="12"/>
      <c r="M36" s="12"/>
      <c r="N36" s="12" t="s">
        <v>393</v>
      </c>
      <c r="O36" s="12"/>
      <c r="P36" s="12"/>
      <c r="Q36" s="12"/>
      <c r="R36" s="12" t="s">
        <v>136</v>
      </c>
      <c r="S36" s="14" t="s">
        <v>577</v>
      </c>
      <c r="T36" s="14">
        <v>0</v>
      </c>
      <c r="U36" s="12" t="s">
        <v>642</v>
      </c>
      <c r="V36" s="12">
        <v>1</v>
      </c>
      <c r="W36" s="12">
        <v>9999</v>
      </c>
      <c r="X36" s="12">
        <v>9999</v>
      </c>
      <c r="Y36" s="12">
        <v>9999</v>
      </c>
    </row>
    <row r="37" spans="1:25" x14ac:dyDescent="0.3">
      <c r="A37" s="12">
        <v>1100008</v>
      </c>
      <c r="B37" s="12" t="s">
        <v>405</v>
      </c>
      <c r="C37" s="12" t="s">
        <v>409</v>
      </c>
      <c r="D37" s="12" t="s">
        <v>862</v>
      </c>
      <c r="E37" s="12" t="s">
        <v>1044</v>
      </c>
      <c r="F37" s="12"/>
      <c r="G37" s="12" t="s">
        <v>326</v>
      </c>
      <c r="H37" s="12"/>
      <c r="I37" s="12"/>
      <c r="J37" s="12"/>
      <c r="K37" s="12"/>
      <c r="L37" s="12"/>
      <c r="M37" s="12"/>
      <c r="N37" s="12" t="s">
        <v>394</v>
      </c>
      <c r="O37" s="12"/>
      <c r="P37" s="12"/>
      <c r="Q37" s="12"/>
      <c r="R37" s="12" t="s">
        <v>395</v>
      </c>
      <c r="S37" s="14" t="s">
        <v>577</v>
      </c>
      <c r="T37" s="14">
        <v>0</v>
      </c>
      <c r="U37" s="12" t="s">
        <v>643</v>
      </c>
      <c r="V37" s="12">
        <v>1</v>
      </c>
      <c r="W37" s="12">
        <v>9999</v>
      </c>
      <c r="X37" s="12">
        <v>9999</v>
      </c>
      <c r="Y37" s="12">
        <v>9999</v>
      </c>
    </row>
    <row r="38" spans="1:25" x14ac:dyDescent="0.3">
      <c r="A38" s="12">
        <v>1100009</v>
      </c>
      <c r="B38" s="12" t="s">
        <v>413</v>
      </c>
      <c r="C38" s="12" t="s">
        <v>412</v>
      </c>
      <c r="D38" s="12" t="s">
        <v>863</v>
      </c>
      <c r="E38" s="12" t="s">
        <v>1070</v>
      </c>
      <c r="F38" s="12"/>
      <c r="G38" s="12" t="s">
        <v>323</v>
      </c>
      <c r="H38" s="12"/>
      <c r="I38" s="12" t="s">
        <v>1104</v>
      </c>
      <c r="J38" s="12">
        <v>5</v>
      </c>
      <c r="K38" s="12"/>
      <c r="L38" s="12"/>
      <c r="M38" s="12"/>
      <c r="N38" s="12" t="s">
        <v>393</v>
      </c>
      <c r="O38" s="12"/>
      <c r="P38" s="12"/>
      <c r="Q38" s="12"/>
      <c r="R38" s="12" t="s">
        <v>395</v>
      </c>
      <c r="S38" s="14" t="s">
        <v>577</v>
      </c>
      <c r="T38" s="14">
        <v>0</v>
      </c>
      <c r="U38" s="12" t="s">
        <v>644</v>
      </c>
      <c r="V38" s="12">
        <v>1</v>
      </c>
      <c r="W38" s="12">
        <v>9999</v>
      </c>
      <c r="X38" s="12">
        <v>9999</v>
      </c>
      <c r="Y38" s="12">
        <v>9999</v>
      </c>
    </row>
    <row r="39" spans="1:25" x14ac:dyDescent="0.3">
      <c r="A39" s="12">
        <v>1100010</v>
      </c>
      <c r="B39" s="12" t="s">
        <v>458</v>
      </c>
      <c r="C39" s="12" t="s">
        <v>459</v>
      </c>
      <c r="D39" s="12" t="s">
        <v>864</v>
      </c>
      <c r="E39" s="12" t="s">
        <v>1040</v>
      </c>
      <c r="F39" s="12"/>
      <c r="G39" s="12" t="s">
        <v>474</v>
      </c>
      <c r="H39" s="12"/>
      <c r="I39" s="12"/>
      <c r="J39" s="12"/>
      <c r="K39" s="12"/>
      <c r="L39" s="12"/>
      <c r="M39" s="12"/>
      <c r="N39" s="12" t="s">
        <v>463</v>
      </c>
      <c r="O39" s="12"/>
      <c r="P39" s="12"/>
      <c r="Q39" s="12"/>
      <c r="R39" s="12" t="s">
        <v>395</v>
      </c>
      <c r="S39" s="14" t="s">
        <v>577</v>
      </c>
      <c r="T39" s="14">
        <v>0</v>
      </c>
      <c r="U39" s="12" t="s">
        <v>645</v>
      </c>
      <c r="V39" s="12">
        <v>1</v>
      </c>
      <c r="W39" s="12">
        <v>9999</v>
      </c>
      <c r="X39" s="12">
        <v>9999</v>
      </c>
      <c r="Y39" s="12">
        <v>9999</v>
      </c>
    </row>
    <row r="40" spans="1:25" x14ac:dyDescent="0.3">
      <c r="A40" s="12">
        <v>1100011</v>
      </c>
      <c r="B40" s="12" t="s">
        <v>458</v>
      </c>
      <c r="C40" s="12" t="s">
        <v>460</v>
      </c>
      <c r="D40" s="12" t="s">
        <v>865</v>
      </c>
      <c r="E40" s="12" t="s">
        <v>1058</v>
      </c>
      <c r="F40" s="12"/>
      <c r="G40" s="12" t="s">
        <v>474</v>
      </c>
      <c r="H40" s="12"/>
      <c r="I40" s="12"/>
      <c r="J40" s="12"/>
      <c r="K40" s="12"/>
      <c r="L40" s="12"/>
      <c r="M40" s="12"/>
      <c r="N40" s="12" t="s">
        <v>463</v>
      </c>
      <c r="O40" s="12"/>
      <c r="P40" s="12"/>
      <c r="Q40" s="12"/>
      <c r="R40" s="12" t="s">
        <v>395</v>
      </c>
      <c r="S40" s="14" t="s">
        <v>577</v>
      </c>
      <c r="T40" s="14">
        <v>0</v>
      </c>
      <c r="U40" s="12" t="s">
        <v>646</v>
      </c>
      <c r="V40" s="12">
        <v>1</v>
      </c>
      <c r="W40" s="12">
        <v>9999</v>
      </c>
      <c r="X40" s="12">
        <v>9999</v>
      </c>
      <c r="Y40" s="12">
        <v>9999</v>
      </c>
    </row>
    <row r="41" spans="1:25" x14ac:dyDescent="0.3">
      <c r="A41" s="12">
        <v>1100012</v>
      </c>
      <c r="B41" s="12" t="s">
        <v>458</v>
      </c>
      <c r="C41" s="12" t="s">
        <v>461</v>
      </c>
      <c r="D41" s="12" t="s">
        <v>866</v>
      </c>
      <c r="E41" s="12" t="s">
        <v>1040</v>
      </c>
      <c r="F41" s="12"/>
      <c r="G41" s="12" t="s">
        <v>474</v>
      </c>
      <c r="H41" s="12"/>
      <c r="I41" s="12"/>
      <c r="J41" s="12"/>
      <c r="K41" s="12"/>
      <c r="L41" s="12"/>
      <c r="M41" s="12"/>
      <c r="N41" s="12" t="s">
        <v>464</v>
      </c>
      <c r="O41" s="12"/>
      <c r="P41" s="12"/>
      <c r="Q41" s="12"/>
      <c r="R41" s="12" t="s">
        <v>395</v>
      </c>
      <c r="S41" s="14" t="s">
        <v>577</v>
      </c>
      <c r="T41" s="14">
        <v>0</v>
      </c>
      <c r="U41" s="12" t="s">
        <v>647</v>
      </c>
      <c r="V41" s="12">
        <v>1</v>
      </c>
      <c r="W41" s="12">
        <v>9999</v>
      </c>
      <c r="X41" s="12">
        <v>9999</v>
      </c>
      <c r="Y41" s="12">
        <v>9999</v>
      </c>
    </row>
    <row r="42" spans="1:25" x14ac:dyDescent="0.3">
      <c r="A42" s="12">
        <v>1100013</v>
      </c>
      <c r="B42" s="12" t="s">
        <v>458</v>
      </c>
      <c r="C42" s="12" t="s">
        <v>462</v>
      </c>
      <c r="D42" s="12" t="s">
        <v>867</v>
      </c>
      <c r="E42" s="12" t="s">
        <v>1058</v>
      </c>
      <c r="F42" s="12"/>
      <c r="G42" s="12" t="s">
        <v>474</v>
      </c>
      <c r="H42" s="12"/>
      <c r="I42" s="12"/>
      <c r="J42" s="12"/>
      <c r="K42" s="12"/>
      <c r="L42" s="12"/>
      <c r="M42" s="12"/>
      <c r="N42" s="12" t="s">
        <v>465</v>
      </c>
      <c r="O42" s="12"/>
      <c r="P42" s="12"/>
      <c r="Q42" s="12"/>
      <c r="R42" s="12" t="s">
        <v>395</v>
      </c>
      <c r="S42" s="14" t="s">
        <v>577</v>
      </c>
      <c r="T42" s="14">
        <v>0</v>
      </c>
      <c r="U42" s="12" t="s">
        <v>648</v>
      </c>
      <c r="V42" s="12">
        <v>1</v>
      </c>
      <c r="W42" s="12">
        <v>9999</v>
      </c>
      <c r="X42" s="12">
        <v>9999</v>
      </c>
      <c r="Y42" s="12">
        <v>9999</v>
      </c>
    </row>
    <row r="43" spans="1:25" x14ac:dyDescent="0.3">
      <c r="A43" s="12">
        <v>1100014</v>
      </c>
      <c r="B43" s="12" t="s">
        <v>469</v>
      </c>
      <c r="C43" s="12" t="s">
        <v>470</v>
      </c>
      <c r="D43" s="12" t="s">
        <v>868</v>
      </c>
      <c r="E43" s="12" t="s">
        <v>1073</v>
      </c>
      <c r="F43" s="12">
        <v>1</v>
      </c>
      <c r="G43" s="12" t="s">
        <v>476</v>
      </c>
      <c r="H43" s="12"/>
      <c r="I43" s="12"/>
      <c r="J43" s="12"/>
      <c r="K43" s="12"/>
      <c r="L43" s="12"/>
      <c r="M43" s="12"/>
      <c r="N43" s="12" t="s">
        <v>464</v>
      </c>
      <c r="O43" s="12"/>
      <c r="P43" s="12">
        <v>1</v>
      </c>
      <c r="Q43" s="12"/>
      <c r="R43" s="12" t="s">
        <v>395</v>
      </c>
      <c r="S43" s="14" t="s">
        <v>336</v>
      </c>
      <c r="T43" s="14">
        <v>0</v>
      </c>
      <c r="U43" s="12" t="s">
        <v>649</v>
      </c>
      <c r="V43" s="12">
        <v>1</v>
      </c>
      <c r="W43" s="12">
        <v>9999</v>
      </c>
      <c r="X43" s="12">
        <v>9999</v>
      </c>
      <c r="Y43" s="12">
        <v>6</v>
      </c>
    </row>
    <row r="44" spans="1:25" x14ac:dyDescent="0.3">
      <c r="A44" s="12">
        <v>1100015</v>
      </c>
      <c r="B44" s="12" t="s">
        <v>469</v>
      </c>
      <c r="C44" s="12" t="s">
        <v>471</v>
      </c>
      <c r="D44" s="12" t="s">
        <v>869</v>
      </c>
      <c r="E44" s="12" t="s">
        <v>1102</v>
      </c>
      <c r="F44" s="12">
        <v>1</v>
      </c>
      <c r="G44" s="12" t="s">
        <v>476</v>
      </c>
      <c r="H44" s="12"/>
      <c r="I44" s="12"/>
      <c r="J44" s="12"/>
      <c r="K44" s="12"/>
      <c r="L44" s="12"/>
      <c r="M44" s="12"/>
      <c r="N44" s="12" t="s">
        <v>477</v>
      </c>
      <c r="O44" s="12"/>
      <c r="P44" s="12">
        <v>1</v>
      </c>
      <c r="Q44" s="12"/>
      <c r="R44" s="12" t="s">
        <v>395</v>
      </c>
      <c r="S44" s="14" t="s">
        <v>336</v>
      </c>
      <c r="T44" s="14">
        <v>0</v>
      </c>
      <c r="U44" s="12" t="s">
        <v>650</v>
      </c>
      <c r="V44" s="12">
        <v>1</v>
      </c>
      <c r="W44" s="12">
        <v>9999</v>
      </c>
      <c r="X44" s="12">
        <v>9999</v>
      </c>
      <c r="Y44" s="12">
        <v>5</v>
      </c>
    </row>
    <row r="45" spans="1:25" x14ac:dyDescent="0.3">
      <c r="A45" s="12">
        <v>1100016</v>
      </c>
      <c r="B45" s="12" t="s">
        <v>469</v>
      </c>
      <c r="C45" s="12" t="s">
        <v>472</v>
      </c>
      <c r="D45" s="12" t="s">
        <v>870</v>
      </c>
      <c r="E45" s="12" t="s">
        <v>1102</v>
      </c>
      <c r="F45" s="12">
        <v>1</v>
      </c>
      <c r="G45" s="12" t="s">
        <v>476</v>
      </c>
      <c r="H45" s="12"/>
      <c r="I45" s="12"/>
      <c r="J45" s="12"/>
      <c r="K45" s="12"/>
      <c r="L45" s="12"/>
      <c r="M45" s="12"/>
      <c r="N45" s="12" t="s">
        <v>464</v>
      </c>
      <c r="O45" s="12"/>
      <c r="P45" s="12">
        <v>1</v>
      </c>
      <c r="Q45" s="12"/>
      <c r="R45" s="12" t="s">
        <v>395</v>
      </c>
      <c r="S45" s="14" t="s">
        <v>336</v>
      </c>
      <c r="T45" s="14">
        <v>0</v>
      </c>
      <c r="U45" s="12" t="s">
        <v>651</v>
      </c>
      <c r="V45" s="12">
        <v>1</v>
      </c>
      <c r="W45" s="12">
        <v>9999</v>
      </c>
      <c r="X45" s="12">
        <v>9999</v>
      </c>
      <c r="Y45" s="12">
        <v>4</v>
      </c>
    </row>
    <row r="46" spans="1:25" x14ac:dyDescent="0.3">
      <c r="A46" s="12">
        <v>1100017</v>
      </c>
      <c r="B46" s="12" t="s">
        <v>469</v>
      </c>
      <c r="C46" s="12" t="s">
        <v>473</v>
      </c>
      <c r="D46" s="12" t="s">
        <v>871</v>
      </c>
      <c r="E46" s="12" t="s">
        <v>1102</v>
      </c>
      <c r="F46" s="12">
        <v>1</v>
      </c>
      <c r="G46" s="12" t="s">
        <v>476</v>
      </c>
      <c r="H46" s="12"/>
      <c r="I46" s="12"/>
      <c r="J46" s="12"/>
      <c r="K46" s="12"/>
      <c r="L46" s="12"/>
      <c r="M46" s="12"/>
      <c r="N46" s="12" t="s">
        <v>464</v>
      </c>
      <c r="O46" s="12"/>
      <c r="P46" s="12">
        <v>1</v>
      </c>
      <c r="Q46" s="12"/>
      <c r="R46" s="12" t="s">
        <v>395</v>
      </c>
      <c r="S46" s="14" t="s">
        <v>336</v>
      </c>
      <c r="T46" s="14">
        <v>0</v>
      </c>
      <c r="U46" s="12" t="s">
        <v>652</v>
      </c>
      <c r="V46" s="12">
        <v>1</v>
      </c>
      <c r="W46" s="12">
        <v>9999</v>
      </c>
      <c r="X46" s="12">
        <v>9999</v>
      </c>
      <c r="Y46" s="12">
        <v>3</v>
      </c>
    </row>
    <row r="47" spans="1:25" x14ac:dyDescent="0.3">
      <c r="A47" s="12">
        <v>1100018</v>
      </c>
      <c r="B47" s="12" t="s">
        <v>512</v>
      </c>
      <c r="C47" s="12" t="s">
        <v>513</v>
      </c>
      <c r="D47" s="12" t="s">
        <v>872</v>
      </c>
      <c r="E47" s="12" t="s">
        <v>1058</v>
      </c>
      <c r="F47" s="12"/>
      <c r="G47" s="12" t="s">
        <v>514</v>
      </c>
      <c r="H47" s="12"/>
      <c r="I47" s="12"/>
      <c r="J47" s="12"/>
      <c r="K47" s="12"/>
      <c r="L47" s="12" t="s">
        <v>515</v>
      </c>
      <c r="M47" s="12" t="s">
        <v>10</v>
      </c>
      <c r="N47" s="12" t="s">
        <v>517</v>
      </c>
      <c r="O47" s="12" t="s">
        <v>563</v>
      </c>
      <c r="P47" s="12">
        <v>1</v>
      </c>
      <c r="Q47" s="19" t="s">
        <v>573</v>
      </c>
      <c r="R47" s="12" t="s">
        <v>518</v>
      </c>
      <c r="S47" s="14" t="s">
        <v>577</v>
      </c>
      <c r="T47" s="14">
        <v>0</v>
      </c>
      <c r="U47" s="12" t="s">
        <v>653</v>
      </c>
      <c r="V47" s="12">
        <v>1</v>
      </c>
      <c r="W47" s="12">
        <v>9999</v>
      </c>
      <c r="X47" s="12">
        <v>9999</v>
      </c>
      <c r="Y47" s="12">
        <v>4</v>
      </c>
    </row>
    <row r="48" spans="1:25" x14ac:dyDescent="0.3">
      <c r="A48" s="12">
        <v>1100019</v>
      </c>
      <c r="B48" s="12" t="s">
        <v>522</v>
      </c>
      <c r="C48" s="12" t="s">
        <v>523</v>
      </c>
      <c r="D48" s="12" t="s">
        <v>873</v>
      </c>
      <c r="E48" s="12" t="s">
        <v>1071</v>
      </c>
      <c r="F48" s="12"/>
      <c r="G48" s="12" t="s">
        <v>527</v>
      </c>
      <c r="H48" s="12"/>
      <c r="I48" s="12"/>
      <c r="J48" s="12"/>
      <c r="K48" s="12"/>
      <c r="L48" s="12"/>
      <c r="M48" s="12"/>
      <c r="N48" s="12">
        <v>0</v>
      </c>
      <c r="O48" s="12"/>
      <c r="P48" s="12"/>
      <c r="Q48" s="12"/>
      <c r="R48" s="12" t="s">
        <v>395</v>
      </c>
      <c r="S48" s="14" t="s">
        <v>577</v>
      </c>
      <c r="T48" s="14">
        <v>0</v>
      </c>
      <c r="U48" s="12" t="s">
        <v>654</v>
      </c>
      <c r="V48" s="12">
        <v>1</v>
      </c>
      <c r="W48" s="12">
        <v>9999</v>
      </c>
      <c r="X48" s="12">
        <v>9999</v>
      </c>
      <c r="Y48" s="12">
        <v>9999</v>
      </c>
    </row>
    <row r="49" spans="1:25" x14ac:dyDescent="0.3">
      <c r="A49" s="12">
        <v>1100020</v>
      </c>
      <c r="B49" s="12" t="s">
        <v>522</v>
      </c>
      <c r="C49" s="12" t="s">
        <v>524</v>
      </c>
      <c r="D49" s="12" t="s">
        <v>874</v>
      </c>
      <c r="E49" s="12" t="s">
        <v>1068</v>
      </c>
      <c r="F49" s="12"/>
      <c r="G49" s="12" t="s">
        <v>528</v>
      </c>
      <c r="H49" s="12"/>
      <c r="I49" s="12"/>
      <c r="J49" s="12"/>
      <c r="K49" s="12"/>
      <c r="L49" s="12"/>
      <c r="M49" s="12"/>
      <c r="N49" s="12">
        <v>0</v>
      </c>
      <c r="O49" s="12"/>
      <c r="P49" s="12"/>
      <c r="Q49" s="12"/>
      <c r="R49" s="12" t="s">
        <v>395</v>
      </c>
      <c r="S49" s="14" t="s">
        <v>577</v>
      </c>
      <c r="T49" s="14">
        <v>0</v>
      </c>
      <c r="U49" s="12" t="s">
        <v>655</v>
      </c>
      <c r="V49" s="12">
        <v>1</v>
      </c>
      <c r="W49" s="12">
        <v>9999</v>
      </c>
      <c r="X49" s="12">
        <v>9999</v>
      </c>
      <c r="Y49" s="12">
        <v>9999</v>
      </c>
    </row>
    <row r="50" spans="1:25" x14ac:dyDescent="0.3">
      <c r="A50" s="12">
        <v>1100021</v>
      </c>
      <c r="B50" s="12" t="s">
        <v>522</v>
      </c>
      <c r="C50" s="12" t="s">
        <v>525</v>
      </c>
      <c r="D50" s="12" t="s">
        <v>875</v>
      </c>
      <c r="E50" s="12" t="s">
        <v>1068</v>
      </c>
      <c r="F50" s="12"/>
      <c r="G50" s="12" t="s">
        <v>529</v>
      </c>
      <c r="H50" s="12"/>
      <c r="I50" s="12"/>
      <c r="J50" s="12"/>
      <c r="K50" s="12"/>
      <c r="L50" s="12"/>
      <c r="M50" s="12"/>
      <c r="N50" s="12">
        <v>0</v>
      </c>
      <c r="O50" s="12"/>
      <c r="P50" s="12"/>
      <c r="Q50" s="12"/>
      <c r="R50" s="12" t="s">
        <v>395</v>
      </c>
      <c r="S50" s="14" t="s">
        <v>577</v>
      </c>
      <c r="T50" s="14">
        <v>0</v>
      </c>
      <c r="U50" s="12" t="s">
        <v>656</v>
      </c>
      <c r="V50" s="12">
        <v>1</v>
      </c>
      <c r="W50" s="12">
        <v>9999</v>
      </c>
      <c r="X50" s="12">
        <v>9999</v>
      </c>
      <c r="Y50" s="12">
        <v>9999</v>
      </c>
    </row>
    <row r="51" spans="1:25" x14ac:dyDescent="0.3">
      <c r="A51" s="12">
        <v>1100022</v>
      </c>
      <c r="B51" s="12" t="s">
        <v>522</v>
      </c>
      <c r="C51" s="12" t="s">
        <v>526</v>
      </c>
      <c r="D51" s="12" t="s">
        <v>876</v>
      </c>
      <c r="E51" s="12" t="s">
        <v>1068</v>
      </c>
      <c r="F51" s="12"/>
      <c r="G51" s="12" t="s">
        <v>528</v>
      </c>
      <c r="H51" s="12"/>
      <c r="I51" s="12"/>
      <c r="J51" s="12"/>
      <c r="K51" s="12"/>
      <c r="L51" s="12"/>
      <c r="M51" s="12"/>
      <c r="N51" s="12">
        <v>0</v>
      </c>
      <c r="O51" s="12"/>
      <c r="P51" s="12"/>
      <c r="Q51" s="12"/>
      <c r="R51" s="12" t="s">
        <v>395</v>
      </c>
      <c r="S51" s="14" t="s">
        <v>577</v>
      </c>
      <c r="T51" s="14">
        <v>0</v>
      </c>
      <c r="U51" s="12" t="s">
        <v>657</v>
      </c>
      <c r="V51" s="12">
        <v>1</v>
      </c>
      <c r="W51" s="12">
        <v>9999</v>
      </c>
      <c r="X51" s="12">
        <v>9999</v>
      </c>
      <c r="Y51" s="12">
        <v>9999</v>
      </c>
    </row>
  </sheetData>
  <phoneticPr fontId="1" type="noConversion"/>
  <conditionalFormatting sqref="A4:A51">
    <cfRule type="duplicateValues" dxfId="31" priority="2"/>
  </conditionalFormatting>
  <conditionalFormatting sqref="A3:Y3">
    <cfRule type="duplicateValues" dxfId="26" priority="1"/>
  </conditionalFormatting>
  <dataValidations count="4">
    <dataValidation type="list" allowBlank="1" showInputMessage="1" showErrorMessage="1" sqref="O4:O51">
      <formula1>"Physical,Cartridge,Laser"</formula1>
    </dataValidation>
    <dataValidation type="list" allowBlank="1" showInputMessage="1" showErrorMessage="1" sqref="E4:E51">
      <formula1>"ALL,RA,RB,One,Direct"</formula1>
    </dataValidation>
    <dataValidation type="list" allowBlank="1" showInputMessage="1" showErrorMessage="1" sqref="G4:G51">
      <formula1>"Enemy,Self,Help,HideMonster,LightBlock,EmptyBlock,DarkBlock,ObstructBlock,Fort,Satellite"</formula1>
    </dataValidation>
    <dataValidation type="list" allowBlank="1" showInputMessage="1" showErrorMessage="1" sqref="I4:I51">
      <formula1>"None,Diffuse,Round"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H2" location="TargetLimit" display="TargetLimit"/>
    <hyperlink ref="H3" location="TargetLimit" display="TargetLimit"/>
    <hyperlink ref="O2" location="DamageType" display="DamageType"/>
    <hyperlink ref="O3" location="DamageType" display="DamageType"/>
    <hyperlink ref="S2" location="SpecialEffect" display="SpecialEffect"/>
    <hyperlink ref="S3" location="SpecialEffect" display="SpecialEffect"/>
    <hyperlink ref="E2" location="SelectType" display="SelectType"/>
    <hyperlink ref="E3" location="SelectType" display="SelectType"/>
    <hyperlink ref="K2" location="TargetLimit" display="TargetLimit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66</v>
      </c>
      <c r="B3" s="7" t="s">
        <v>64</v>
      </c>
      <c r="C3" s="7" t="s">
        <v>65</v>
      </c>
      <c r="D3" s="7"/>
      <c r="E3" s="7"/>
      <c r="F3" s="7"/>
      <c r="G3" s="7"/>
      <c r="H3" s="7"/>
      <c r="I3" s="7" t="s">
        <v>68</v>
      </c>
      <c r="J3" s="7" t="s">
        <v>69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67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92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F14" sqref="F14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793</v>
      </c>
      <c r="B1" s="11" t="s">
        <v>1105</v>
      </c>
      <c r="C1" s="11" t="s">
        <v>7</v>
      </c>
      <c r="D1" s="11" t="s">
        <v>1106</v>
      </c>
      <c r="E1" s="11" t="s">
        <v>1057</v>
      </c>
      <c r="F1" s="11" t="s">
        <v>1107</v>
      </c>
      <c r="G1" s="11" t="s">
        <v>606</v>
      </c>
      <c r="H1" s="10" t="s">
        <v>1062</v>
      </c>
      <c r="I1" s="29" t="s">
        <v>1108</v>
      </c>
      <c r="J1" s="11" t="s">
        <v>1109</v>
      </c>
      <c r="K1" s="29" t="s">
        <v>1110</v>
      </c>
      <c r="L1" s="29" t="s">
        <v>610</v>
      </c>
      <c r="M1" s="29" t="s">
        <v>1063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553</v>
      </c>
      <c r="E2" s="13" t="s">
        <v>1038</v>
      </c>
      <c r="F2" s="12" t="s">
        <v>1096</v>
      </c>
      <c r="G2" s="13" t="s">
        <v>1028</v>
      </c>
      <c r="H2" s="12" t="s">
        <v>28</v>
      </c>
      <c r="I2" s="14" t="s">
        <v>12</v>
      </c>
      <c r="J2" s="12" t="s">
        <v>558</v>
      </c>
      <c r="K2" s="14" t="s">
        <v>11</v>
      </c>
      <c r="L2" s="22" t="s">
        <v>51</v>
      </c>
      <c r="M2" s="14" t="s">
        <v>821</v>
      </c>
    </row>
    <row r="3" spans="1:15" x14ac:dyDescent="0.3">
      <c r="A3" s="15" t="s">
        <v>2</v>
      </c>
      <c r="B3" s="15" t="s">
        <v>4</v>
      </c>
      <c r="C3" s="15" t="s">
        <v>19</v>
      </c>
      <c r="D3" s="15" t="s">
        <v>828</v>
      </c>
      <c r="E3" s="16" t="s">
        <v>1048</v>
      </c>
      <c r="F3" s="15" t="s">
        <v>1098</v>
      </c>
      <c r="G3" s="16" t="s">
        <v>1061</v>
      </c>
      <c r="H3" s="15" t="s">
        <v>61</v>
      </c>
      <c r="I3" s="15" t="s">
        <v>554</v>
      </c>
      <c r="J3" s="15" t="s">
        <v>543</v>
      </c>
      <c r="K3" s="15" t="s">
        <v>14</v>
      </c>
      <c r="L3" s="16" t="s">
        <v>213</v>
      </c>
      <c r="M3" s="15" t="s">
        <v>822</v>
      </c>
    </row>
    <row r="4" spans="1:15" x14ac:dyDescent="0.3">
      <c r="A4" s="17">
        <v>2000001</v>
      </c>
      <c r="B4" s="12" t="s">
        <v>25</v>
      </c>
      <c r="C4" s="12" t="s">
        <v>275</v>
      </c>
      <c r="D4" s="12" t="s">
        <v>877</v>
      </c>
      <c r="E4" s="12" t="s">
        <v>1059</v>
      </c>
      <c r="F4" s="12"/>
      <c r="G4" s="12" t="s">
        <v>1036</v>
      </c>
      <c r="H4" s="12" t="s">
        <v>29</v>
      </c>
      <c r="I4" s="12" t="s">
        <v>13</v>
      </c>
      <c r="J4" s="12">
        <v>1</v>
      </c>
      <c r="K4" s="12">
        <v>0.5</v>
      </c>
      <c r="L4" s="12" t="s">
        <v>18</v>
      </c>
      <c r="M4" s="12" t="s">
        <v>827</v>
      </c>
      <c r="O4" s="2">
        <v>1</v>
      </c>
    </row>
    <row r="5" spans="1:15" x14ac:dyDescent="0.3">
      <c r="A5" s="12">
        <v>2000002</v>
      </c>
      <c r="B5" s="12" t="s">
        <v>205</v>
      </c>
      <c r="C5" s="12" t="s">
        <v>207</v>
      </c>
      <c r="D5" s="12" t="s">
        <v>878</v>
      </c>
      <c r="E5" s="12" t="s">
        <v>1072</v>
      </c>
      <c r="F5" s="12"/>
      <c r="G5" s="12" t="s">
        <v>1064</v>
      </c>
      <c r="H5" s="12" t="s">
        <v>30</v>
      </c>
      <c r="I5" s="12" t="s">
        <v>21</v>
      </c>
      <c r="J5" s="12">
        <v>1</v>
      </c>
      <c r="K5" s="12">
        <v>0</v>
      </c>
      <c r="L5" s="12" t="s">
        <v>212</v>
      </c>
      <c r="M5" s="12" t="s">
        <v>823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206</v>
      </c>
      <c r="C6" s="12" t="s">
        <v>208</v>
      </c>
      <c r="D6" s="12" t="s">
        <v>879</v>
      </c>
      <c r="E6" s="12" t="s">
        <v>1070</v>
      </c>
      <c r="F6" s="12"/>
      <c r="G6" s="12" t="s">
        <v>1064</v>
      </c>
      <c r="H6" s="12" t="s">
        <v>30</v>
      </c>
      <c r="I6" s="12" t="s">
        <v>21</v>
      </c>
      <c r="J6" s="12">
        <v>1</v>
      </c>
      <c r="K6" s="12">
        <v>0</v>
      </c>
      <c r="L6" s="12" t="s">
        <v>212</v>
      </c>
      <c r="M6" s="12" t="s">
        <v>824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217</v>
      </c>
      <c r="C7" s="12" t="s">
        <v>220</v>
      </c>
      <c r="D7" s="12" t="s">
        <v>880</v>
      </c>
      <c r="E7" s="12" t="s">
        <v>1068</v>
      </c>
      <c r="F7" s="12"/>
      <c r="G7" s="12" t="s">
        <v>1064</v>
      </c>
      <c r="H7" s="12" t="s">
        <v>30</v>
      </c>
      <c r="I7" s="12" t="s">
        <v>22</v>
      </c>
      <c r="J7" s="12">
        <v>1</v>
      </c>
      <c r="K7" s="12">
        <v>0</v>
      </c>
      <c r="L7" s="12" t="s">
        <v>204</v>
      </c>
      <c r="M7" s="12" t="s">
        <v>825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218</v>
      </c>
      <c r="C8" s="12" t="s">
        <v>219</v>
      </c>
      <c r="D8" s="12" t="s">
        <v>881</v>
      </c>
      <c r="E8" s="12" t="s">
        <v>1068</v>
      </c>
      <c r="F8" s="12"/>
      <c r="G8" s="12" t="s">
        <v>1064</v>
      </c>
      <c r="H8" s="12" t="s">
        <v>30</v>
      </c>
      <c r="I8" s="12" t="s">
        <v>22</v>
      </c>
      <c r="J8" s="12">
        <v>1</v>
      </c>
      <c r="K8" s="12">
        <v>0</v>
      </c>
      <c r="L8" s="12" t="s">
        <v>204</v>
      </c>
      <c r="M8" s="12" t="s">
        <v>826</v>
      </c>
      <c r="O8" s="2">
        <f>IF(表4[[#This Row],[name]]&lt;&gt;B7,O7+1,O7)</f>
        <v>5</v>
      </c>
    </row>
  </sheetData>
  <phoneticPr fontId="1" type="noConversion"/>
  <conditionalFormatting sqref="A4:A8">
    <cfRule type="duplicateValues" dxfId="16" priority="2"/>
  </conditionalFormatting>
  <conditionalFormatting sqref="A3:M3">
    <cfRule type="duplicateValues" dxfId="0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76"/>
  <sheetViews>
    <sheetView showGridLines="0" workbookViewId="0">
      <selection activeCell="D30" sqref="D30"/>
    </sheetView>
  </sheetViews>
  <sheetFormatPr defaultColWidth="8.75" defaultRowHeight="14.25" x14ac:dyDescent="0.2"/>
  <cols>
    <col min="1" max="1" width="10.75" style="3" bestFit="1" customWidth="1"/>
    <col min="2" max="2" width="9.875" style="3" bestFit="1" customWidth="1"/>
    <col min="3" max="3" width="58.875" style="3" bestFit="1" customWidth="1"/>
    <col min="4" max="4" width="58.875" style="3" customWidth="1"/>
    <col min="5" max="5" width="56.125" style="3" bestFit="1" customWidth="1"/>
    <col min="6" max="6" width="91.375" style="3" customWidth="1"/>
    <col min="7" max="16384" width="8.75" style="3"/>
  </cols>
  <sheetData>
    <row r="1" spans="1:16" s="4" customFormat="1" ht="60" customHeight="1" x14ac:dyDescent="0.2">
      <c r="A1" s="11" t="s">
        <v>0</v>
      </c>
      <c r="B1" s="11" t="s">
        <v>41</v>
      </c>
      <c r="C1" s="11" t="s">
        <v>7</v>
      </c>
      <c r="D1" s="11" t="s">
        <v>612</v>
      </c>
      <c r="E1" s="10" t="s">
        <v>613</v>
      </c>
      <c r="F1" s="10" t="s">
        <v>597</v>
      </c>
      <c r="G1" s="5"/>
      <c r="H1" s="5"/>
      <c r="I1" s="5"/>
      <c r="J1" s="5"/>
      <c r="K1" s="5"/>
      <c r="L1" s="5"/>
      <c r="M1" s="5"/>
      <c r="N1" s="5"/>
      <c r="O1" s="5"/>
      <c r="P1" s="5"/>
    </row>
    <row r="2" spans="1:16" ht="16.5" x14ac:dyDescent="0.2">
      <c r="A2" s="12" t="s">
        <v>611</v>
      </c>
      <c r="B2" s="12" t="s">
        <v>42</v>
      </c>
      <c r="C2" s="12" t="s">
        <v>42</v>
      </c>
      <c r="D2" s="12" t="s">
        <v>553</v>
      </c>
      <c r="E2" s="13" t="s">
        <v>151</v>
      </c>
      <c r="F2" s="12" t="s">
        <v>603</v>
      </c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ht="16.5" x14ac:dyDescent="0.2">
      <c r="A3" s="15" t="s">
        <v>2</v>
      </c>
      <c r="B3" s="15" t="s">
        <v>43</v>
      </c>
      <c r="C3" s="15" t="s">
        <v>47</v>
      </c>
      <c r="D3" s="15" t="s">
        <v>828</v>
      </c>
      <c r="E3" s="16" t="s">
        <v>55</v>
      </c>
      <c r="F3" s="15" t="s">
        <v>596</v>
      </c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ht="16.5" x14ac:dyDescent="0.3">
      <c r="A4" s="17">
        <v>3000001</v>
      </c>
      <c r="B4" s="12" t="s">
        <v>152</v>
      </c>
      <c r="C4" s="12" t="s">
        <v>153</v>
      </c>
      <c r="D4" s="12" t="s">
        <v>883</v>
      </c>
      <c r="E4" s="12" t="s">
        <v>331</v>
      </c>
      <c r="F4" s="14" t="s">
        <v>658</v>
      </c>
      <c r="G4" s="7"/>
      <c r="H4" s="2"/>
      <c r="I4" s="7"/>
      <c r="J4" s="7"/>
      <c r="K4" s="8"/>
      <c r="L4" s="7"/>
      <c r="M4" s="7"/>
      <c r="N4" s="7"/>
      <c r="O4" s="7"/>
      <c r="P4" s="7"/>
    </row>
    <row r="5" spans="1:16" ht="16.5" x14ac:dyDescent="0.3">
      <c r="A5" s="17">
        <v>3000002</v>
      </c>
      <c r="B5" s="12" t="s">
        <v>154</v>
      </c>
      <c r="C5" s="12" t="s">
        <v>155</v>
      </c>
      <c r="D5" s="12" t="s">
        <v>884</v>
      </c>
      <c r="E5" s="12" t="s">
        <v>334</v>
      </c>
      <c r="F5" s="14" t="s">
        <v>659</v>
      </c>
      <c r="G5" s="7"/>
      <c r="H5" s="2"/>
      <c r="I5" s="7"/>
      <c r="J5" s="7"/>
      <c r="K5" s="7"/>
      <c r="L5" s="7"/>
      <c r="M5" s="7"/>
      <c r="N5" s="7"/>
      <c r="O5" s="7"/>
      <c r="P5" s="7"/>
    </row>
    <row r="6" spans="1:16" ht="16.5" x14ac:dyDescent="0.3">
      <c r="A6" s="17">
        <v>3000003</v>
      </c>
      <c r="B6" s="12" t="s">
        <v>156</v>
      </c>
      <c r="C6" s="12" t="s">
        <v>157</v>
      </c>
      <c r="D6" s="12" t="s">
        <v>885</v>
      </c>
      <c r="E6" s="12" t="s">
        <v>329</v>
      </c>
      <c r="F6" s="14" t="s">
        <v>660</v>
      </c>
      <c r="G6" s="7"/>
      <c r="H6" s="2"/>
      <c r="I6" s="7"/>
      <c r="J6" s="7"/>
      <c r="K6" s="7"/>
      <c r="L6" s="7"/>
      <c r="M6" s="7"/>
      <c r="N6" s="7"/>
      <c r="O6" s="7"/>
      <c r="P6" s="7"/>
    </row>
    <row r="7" spans="1:16" ht="16.5" x14ac:dyDescent="0.3">
      <c r="A7" s="17">
        <v>3000004</v>
      </c>
      <c r="B7" s="12" t="s">
        <v>169</v>
      </c>
      <c r="C7" s="12" t="s">
        <v>170</v>
      </c>
      <c r="D7" s="12" t="s">
        <v>886</v>
      </c>
      <c r="E7" s="12" t="s">
        <v>168</v>
      </c>
      <c r="F7" s="14" t="s">
        <v>661</v>
      </c>
      <c r="G7" s="7"/>
      <c r="H7" s="2"/>
      <c r="I7" s="7"/>
      <c r="J7" s="7"/>
      <c r="K7" s="7"/>
      <c r="L7" s="7"/>
      <c r="M7" s="7"/>
      <c r="N7" s="7"/>
      <c r="O7" s="7"/>
      <c r="P7" s="7"/>
    </row>
    <row r="8" spans="1:16" ht="16.5" x14ac:dyDescent="0.3">
      <c r="A8" s="17">
        <v>3000005</v>
      </c>
      <c r="B8" s="12" t="s">
        <v>176</v>
      </c>
      <c r="C8" s="12" t="s">
        <v>423</v>
      </c>
      <c r="D8" s="12" t="s">
        <v>887</v>
      </c>
      <c r="E8" s="12" t="s">
        <v>372</v>
      </c>
      <c r="F8" s="14" t="s">
        <v>662</v>
      </c>
      <c r="G8" s="7"/>
      <c r="H8" s="2"/>
      <c r="I8" s="7"/>
      <c r="J8" s="7"/>
      <c r="K8" s="7"/>
      <c r="L8" s="7"/>
      <c r="M8" s="7"/>
      <c r="N8" s="7"/>
      <c r="O8" s="7"/>
      <c r="P8" s="7"/>
    </row>
    <row r="9" spans="1:16" ht="16.5" x14ac:dyDescent="0.3">
      <c r="A9" s="17">
        <v>3000006</v>
      </c>
      <c r="B9" s="12" t="s">
        <v>177</v>
      </c>
      <c r="C9" s="12" t="s">
        <v>424</v>
      </c>
      <c r="D9" s="12" t="s">
        <v>888</v>
      </c>
      <c r="E9" s="12" t="s">
        <v>372</v>
      </c>
      <c r="F9" s="14" t="s">
        <v>663</v>
      </c>
      <c r="G9" s="7"/>
      <c r="H9" s="2"/>
      <c r="I9" s="7"/>
      <c r="J9" s="7"/>
      <c r="K9" s="7"/>
      <c r="L9" s="7"/>
      <c r="M9" s="7"/>
      <c r="N9" s="7"/>
      <c r="O9" s="7"/>
      <c r="P9" s="7"/>
    </row>
    <row r="10" spans="1:16" ht="16.5" x14ac:dyDescent="0.3">
      <c r="A10" s="17">
        <v>3000007</v>
      </c>
      <c r="B10" s="12" t="s">
        <v>179</v>
      </c>
      <c r="C10" s="12" t="s">
        <v>180</v>
      </c>
      <c r="D10" s="12" t="s">
        <v>882</v>
      </c>
      <c r="E10" s="12" t="s">
        <v>334</v>
      </c>
      <c r="F10" s="14" t="s">
        <v>664</v>
      </c>
      <c r="G10" s="7"/>
      <c r="H10" s="2"/>
      <c r="I10" s="7"/>
      <c r="J10" s="7"/>
      <c r="K10" s="7"/>
      <c r="L10" s="7"/>
      <c r="M10" s="7"/>
      <c r="N10" s="7"/>
      <c r="O10" s="7"/>
      <c r="P10" s="7"/>
    </row>
    <row r="11" spans="1:16" ht="16.5" x14ac:dyDescent="0.3">
      <c r="A11" s="17">
        <v>3000008</v>
      </c>
      <c r="B11" s="12" t="s">
        <v>181</v>
      </c>
      <c r="C11" s="12" t="s">
        <v>182</v>
      </c>
      <c r="D11" s="12" t="s">
        <v>889</v>
      </c>
      <c r="E11" s="12" t="s">
        <v>335</v>
      </c>
      <c r="F11" s="14" t="s">
        <v>665</v>
      </c>
      <c r="G11" s="7"/>
      <c r="H11" s="2"/>
      <c r="I11" s="7"/>
      <c r="J11" s="7"/>
      <c r="K11" s="7"/>
      <c r="L11" s="7"/>
      <c r="M11" s="7"/>
      <c r="N11" s="7"/>
      <c r="O11" s="7"/>
      <c r="P11" s="7"/>
    </row>
    <row r="12" spans="1:16" ht="16.5" x14ac:dyDescent="0.3">
      <c r="A12" s="17">
        <v>3000009</v>
      </c>
      <c r="B12" s="12" t="s">
        <v>184</v>
      </c>
      <c r="C12" s="12" t="s">
        <v>183</v>
      </c>
      <c r="D12" s="12" t="s">
        <v>890</v>
      </c>
      <c r="E12" s="12" t="s">
        <v>334</v>
      </c>
      <c r="F12" s="14" t="s">
        <v>666</v>
      </c>
      <c r="G12" s="7"/>
      <c r="H12" s="2"/>
      <c r="I12" s="7"/>
      <c r="J12" s="7"/>
      <c r="K12" s="7"/>
      <c r="L12" s="7"/>
      <c r="M12" s="7"/>
      <c r="N12" s="7"/>
      <c r="O12" s="7"/>
      <c r="P12" s="7"/>
    </row>
    <row r="13" spans="1:16" ht="16.5" x14ac:dyDescent="0.3">
      <c r="A13" s="17">
        <v>3000010</v>
      </c>
      <c r="B13" s="12" t="s">
        <v>186</v>
      </c>
      <c r="C13" s="12" t="s">
        <v>185</v>
      </c>
      <c r="D13" s="12" t="s">
        <v>891</v>
      </c>
      <c r="E13" s="12" t="s">
        <v>374</v>
      </c>
      <c r="F13" s="14" t="s">
        <v>667</v>
      </c>
      <c r="G13" s="7"/>
      <c r="H13" s="2"/>
      <c r="I13" s="7"/>
      <c r="J13" s="7"/>
      <c r="K13" s="7"/>
      <c r="L13" s="7"/>
      <c r="M13" s="7"/>
      <c r="N13" s="7"/>
      <c r="O13" s="7"/>
      <c r="P13" s="7"/>
    </row>
    <row r="14" spans="1:16" ht="16.5" x14ac:dyDescent="0.3">
      <c r="A14" s="17">
        <v>3000011</v>
      </c>
      <c r="B14" s="12" t="s">
        <v>187</v>
      </c>
      <c r="C14" s="12" t="s">
        <v>188</v>
      </c>
      <c r="D14" s="12" t="s">
        <v>892</v>
      </c>
      <c r="E14" s="12" t="s">
        <v>374</v>
      </c>
      <c r="F14" s="14" t="s">
        <v>668</v>
      </c>
      <c r="G14" s="7"/>
      <c r="H14" s="2"/>
      <c r="I14" s="7"/>
      <c r="J14" s="7"/>
      <c r="K14" s="7"/>
      <c r="L14" s="7"/>
      <c r="M14" s="7"/>
      <c r="N14" s="7"/>
      <c r="O14" s="7"/>
      <c r="P14" s="7"/>
    </row>
    <row r="15" spans="1:16" ht="16.5" x14ac:dyDescent="0.3">
      <c r="A15" s="17">
        <v>3000012</v>
      </c>
      <c r="B15" s="12" t="s">
        <v>189</v>
      </c>
      <c r="C15" s="12" t="s">
        <v>190</v>
      </c>
      <c r="D15" s="12" t="s">
        <v>893</v>
      </c>
      <c r="E15" s="12" t="s">
        <v>336</v>
      </c>
      <c r="F15" s="14" t="s">
        <v>669</v>
      </c>
      <c r="G15" s="7"/>
      <c r="H15" s="2"/>
      <c r="I15" s="7"/>
      <c r="J15" s="7"/>
      <c r="K15" s="7"/>
      <c r="L15" s="7"/>
      <c r="M15" s="7"/>
      <c r="N15" s="7"/>
      <c r="O15" s="7"/>
      <c r="P15" s="7"/>
    </row>
    <row r="16" spans="1:16" ht="16.5" x14ac:dyDescent="0.3">
      <c r="A16" s="17">
        <v>3000013</v>
      </c>
      <c r="B16" s="12" t="s">
        <v>191</v>
      </c>
      <c r="C16" s="12" t="s">
        <v>192</v>
      </c>
      <c r="D16" s="12" t="s">
        <v>894</v>
      </c>
      <c r="E16" s="12" t="s">
        <v>336</v>
      </c>
      <c r="F16" s="14" t="s">
        <v>670</v>
      </c>
      <c r="G16" s="7"/>
      <c r="H16" s="2"/>
      <c r="I16" s="7"/>
      <c r="J16" s="7"/>
      <c r="K16" s="7"/>
      <c r="L16" s="7"/>
      <c r="M16" s="7"/>
      <c r="N16" s="7"/>
      <c r="O16" s="7"/>
      <c r="P16" s="7"/>
    </row>
    <row r="17" spans="1:16" ht="16.5" x14ac:dyDescent="0.3">
      <c r="A17" s="17">
        <v>3000014</v>
      </c>
      <c r="B17" s="12" t="s">
        <v>193</v>
      </c>
      <c r="C17" s="12" t="s">
        <v>425</v>
      </c>
      <c r="D17" s="12" t="s">
        <v>895</v>
      </c>
      <c r="E17" s="12" t="s">
        <v>333</v>
      </c>
      <c r="F17" s="14" t="s">
        <v>671</v>
      </c>
      <c r="G17" s="7"/>
      <c r="H17" s="2"/>
      <c r="I17" s="7"/>
      <c r="J17" s="7"/>
      <c r="K17" s="7"/>
      <c r="L17" s="7"/>
      <c r="M17" s="7"/>
      <c r="N17" s="7"/>
      <c r="O17" s="7"/>
      <c r="P17" s="7"/>
    </row>
    <row r="18" spans="1:16" ht="16.5" x14ac:dyDescent="0.3">
      <c r="A18" s="17">
        <v>3000015</v>
      </c>
      <c r="B18" s="12" t="s">
        <v>194</v>
      </c>
      <c r="C18" s="12" t="s">
        <v>195</v>
      </c>
      <c r="D18" s="12" t="s">
        <v>896</v>
      </c>
      <c r="E18" s="12" t="s">
        <v>328</v>
      </c>
      <c r="F18" s="14" t="s">
        <v>672</v>
      </c>
      <c r="G18" s="7"/>
      <c r="H18" s="2"/>
      <c r="I18" s="7"/>
      <c r="J18" s="7"/>
      <c r="K18" s="7"/>
      <c r="L18" s="7"/>
      <c r="M18" s="7"/>
      <c r="N18" s="7"/>
      <c r="O18" s="7"/>
      <c r="P18" s="7"/>
    </row>
    <row r="19" spans="1:16" ht="16.5" x14ac:dyDescent="0.3">
      <c r="A19" s="17">
        <v>3000016</v>
      </c>
      <c r="B19" s="12" t="s">
        <v>199</v>
      </c>
      <c r="C19" s="12" t="s">
        <v>422</v>
      </c>
      <c r="D19" s="12" t="s">
        <v>897</v>
      </c>
      <c r="E19" s="12" t="s">
        <v>197</v>
      </c>
      <c r="F19" s="14" t="s">
        <v>673</v>
      </c>
      <c r="G19" s="7"/>
      <c r="H19" s="2"/>
      <c r="I19" s="7"/>
      <c r="J19" s="7"/>
      <c r="K19" s="7"/>
      <c r="L19" s="7"/>
      <c r="M19" s="7"/>
      <c r="N19" s="7"/>
      <c r="O19" s="7"/>
      <c r="P19" s="7"/>
    </row>
    <row r="20" spans="1:16" ht="16.5" x14ac:dyDescent="0.3">
      <c r="A20" s="17">
        <v>3000017</v>
      </c>
      <c r="B20" s="12" t="s">
        <v>200</v>
      </c>
      <c r="C20" s="12" t="s">
        <v>203</v>
      </c>
      <c r="D20" s="12" t="s">
        <v>898</v>
      </c>
      <c r="E20" s="12" t="s">
        <v>337</v>
      </c>
      <c r="F20" s="14" t="s">
        <v>674</v>
      </c>
      <c r="G20" s="7"/>
      <c r="H20" s="2"/>
      <c r="I20" s="7"/>
      <c r="J20" s="7"/>
      <c r="K20" s="7"/>
      <c r="L20" s="7"/>
      <c r="M20" s="7"/>
      <c r="N20" s="7"/>
      <c r="O20" s="7"/>
      <c r="P20" s="7"/>
    </row>
    <row r="21" spans="1:16" ht="16.5" x14ac:dyDescent="0.3">
      <c r="A21" s="17">
        <v>3000018</v>
      </c>
      <c r="B21" s="12" t="s">
        <v>205</v>
      </c>
      <c r="C21" s="12" t="s">
        <v>223</v>
      </c>
      <c r="D21" s="12" t="s">
        <v>899</v>
      </c>
      <c r="E21" s="9" t="s">
        <v>221</v>
      </c>
      <c r="F21" s="14" t="s">
        <v>675</v>
      </c>
      <c r="G21" s="7"/>
      <c r="H21" s="2"/>
      <c r="I21" s="7"/>
      <c r="J21" s="7"/>
      <c r="K21" s="7"/>
      <c r="L21" s="7"/>
      <c r="M21" s="7"/>
      <c r="N21" s="7"/>
      <c r="O21" s="7"/>
      <c r="P21" s="7"/>
    </row>
    <row r="22" spans="1:16" ht="16.5" x14ac:dyDescent="0.3">
      <c r="A22" s="17">
        <v>3000019</v>
      </c>
      <c r="B22" s="12" t="s">
        <v>206</v>
      </c>
      <c r="C22" s="12" t="s">
        <v>224</v>
      </c>
      <c r="D22" s="12" t="s">
        <v>900</v>
      </c>
      <c r="E22" s="9" t="s">
        <v>221</v>
      </c>
      <c r="F22" s="14" t="s">
        <v>676</v>
      </c>
      <c r="G22" s="7"/>
      <c r="H22" s="2"/>
      <c r="I22" s="7"/>
      <c r="J22" s="7"/>
      <c r="K22" s="7"/>
      <c r="L22" s="7"/>
      <c r="M22" s="7"/>
      <c r="N22" s="7"/>
      <c r="O22" s="7"/>
      <c r="P22" s="7"/>
    </row>
    <row r="23" spans="1:16" ht="16.5" x14ac:dyDescent="0.3">
      <c r="A23" s="17">
        <v>3000020</v>
      </c>
      <c r="B23" s="12" t="s">
        <v>217</v>
      </c>
      <c r="C23" s="12" t="s">
        <v>225</v>
      </c>
      <c r="D23" s="12" t="s">
        <v>901</v>
      </c>
      <c r="E23" s="9" t="s">
        <v>221</v>
      </c>
      <c r="F23" s="14" t="s">
        <v>677</v>
      </c>
      <c r="G23" s="7"/>
      <c r="H23" s="2"/>
      <c r="I23" s="7"/>
      <c r="J23" s="7"/>
      <c r="K23" s="7"/>
      <c r="L23" s="7"/>
      <c r="M23" s="7"/>
      <c r="N23" s="7"/>
      <c r="O23" s="7"/>
      <c r="P23" s="7"/>
    </row>
    <row r="24" spans="1:16" ht="16.5" x14ac:dyDescent="0.3">
      <c r="A24" s="17">
        <v>3000021</v>
      </c>
      <c r="B24" s="12" t="s">
        <v>218</v>
      </c>
      <c r="C24" s="12" t="s">
        <v>226</v>
      </c>
      <c r="D24" s="12" t="s">
        <v>902</v>
      </c>
      <c r="E24" s="9" t="s">
        <v>221</v>
      </c>
      <c r="F24" s="14" t="s">
        <v>678</v>
      </c>
      <c r="G24" s="7"/>
      <c r="H24" s="2"/>
      <c r="I24" s="7"/>
      <c r="J24" s="7"/>
      <c r="K24" s="7"/>
      <c r="L24" s="7"/>
      <c r="M24" s="7"/>
      <c r="N24" s="7"/>
      <c r="O24" s="7"/>
      <c r="P24" s="7"/>
    </row>
    <row r="25" spans="1:16" ht="16.5" x14ac:dyDescent="0.3">
      <c r="A25" s="23">
        <v>3100001</v>
      </c>
      <c r="B25" s="12" t="s">
        <v>342</v>
      </c>
      <c r="C25" s="12" t="s">
        <v>343</v>
      </c>
      <c r="D25" s="12" t="s">
        <v>903</v>
      </c>
      <c r="E25" s="12" t="s">
        <v>351</v>
      </c>
      <c r="F25" s="14" t="s">
        <v>679</v>
      </c>
      <c r="H25" s="2"/>
    </row>
    <row r="26" spans="1:16" ht="16.5" x14ac:dyDescent="0.3">
      <c r="A26" s="23">
        <v>3100002</v>
      </c>
      <c r="B26" s="12" t="s">
        <v>350</v>
      </c>
      <c r="C26" s="12" t="s">
        <v>349</v>
      </c>
      <c r="D26" s="12" t="s">
        <v>904</v>
      </c>
      <c r="E26" s="12" t="s">
        <v>348</v>
      </c>
      <c r="F26" s="14" t="s">
        <v>680</v>
      </c>
      <c r="H26" s="2"/>
    </row>
    <row r="27" spans="1:16" ht="16.5" x14ac:dyDescent="0.3">
      <c r="A27" s="23">
        <v>3100003</v>
      </c>
      <c r="B27" s="12" t="s">
        <v>357</v>
      </c>
      <c r="C27" s="12" t="s">
        <v>355</v>
      </c>
      <c r="D27" s="12" t="s">
        <v>905</v>
      </c>
      <c r="E27" s="12" t="s">
        <v>351</v>
      </c>
      <c r="F27" s="14" t="s">
        <v>681</v>
      </c>
      <c r="H27" s="2"/>
    </row>
    <row r="28" spans="1:16" ht="16.5" x14ac:dyDescent="0.3">
      <c r="A28" s="23">
        <v>3100004</v>
      </c>
      <c r="B28" s="12" t="s">
        <v>357</v>
      </c>
      <c r="C28" s="12" t="s">
        <v>356</v>
      </c>
      <c r="D28" s="12" t="s">
        <v>906</v>
      </c>
      <c r="E28" s="12" t="s">
        <v>348</v>
      </c>
      <c r="F28" s="14" t="s">
        <v>682</v>
      </c>
      <c r="H28" s="2"/>
    </row>
    <row r="29" spans="1:16" ht="16.5" x14ac:dyDescent="0.3">
      <c r="A29" s="23">
        <v>3100005</v>
      </c>
      <c r="B29" s="12" t="s">
        <v>360</v>
      </c>
      <c r="C29" s="12" t="s">
        <v>370</v>
      </c>
      <c r="D29" s="12" t="s">
        <v>907</v>
      </c>
      <c r="E29" s="12" t="s">
        <v>348</v>
      </c>
      <c r="F29" s="14" t="s">
        <v>683</v>
      </c>
      <c r="H29" s="2"/>
    </row>
    <row r="30" spans="1:16" ht="16.5" x14ac:dyDescent="0.3">
      <c r="A30" s="23">
        <v>3100006</v>
      </c>
      <c r="B30" s="12" t="s">
        <v>360</v>
      </c>
      <c r="C30" s="12" t="s">
        <v>375</v>
      </c>
      <c r="D30" s="12" t="s">
        <v>908</v>
      </c>
      <c r="E30" s="12" t="s">
        <v>348</v>
      </c>
      <c r="F30" s="14" t="s">
        <v>684</v>
      </c>
      <c r="H30" s="2"/>
    </row>
    <row r="31" spans="1:16" ht="16.5" x14ac:dyDescent="0.3">
      <c r="A31" s="23">
        <v>3100007</v>
      </c>
      <c r="B31" s="12" t="s">
        <v>376</v>
      </c>
      <c r="C31" s="12" t="s">
        <v>378</v>
      </c>
      <c r="D31" s="12" t="s">
        <v>909</v>
      </c>
      <c r="E31" s="12" t="s">
        <v>348</v>
      </c>
      <c r="F31" s="14" t="s">
        <v>685</v>
      </c>
      <c r="H31" s="2"/>
    </row>
    <row r="32" spans="1:16" ht="16.5" x14ac:dyDescent="0.3">
      <c r="A32" s="23">
        <v>3100008</v>
      </c>
      <c r="B32" s="12" t="s">
        <v>376</v>
      </c>
      <c r="C32" s="12" t="s">
        <v>382</v>
      </c>
      <c r="D32" s="12" t="s">
        <v>910</v>
      </c>
      <c r="E32" s="12" t="s">
        <v>334</v>
      </c>
      <c r="F32" s="14" t="s">
        <v>686</v>
      </c>
      <c r="H32" s="2"/>
    </row>
    <row r="33" spans="1:8" ht="16.5" x14ac:dyDescent="0.3">
      <c r="A33" s="23">
        <v>3100009</v>
      </c>
      <c r="B33" s="12" t="s">
        <v>379</v>
      </c>
      <c r="C33" s="12" t="s">
        <v>380</v>
      </c>
      <c r="D33" s="12" t="s">
        <v>911</v>
      </c>
      <c r="E33" s="12" t="s">
        <v>348</v>
      </c>
      <c r="F33" s="14" t="s">
        <v>687</v>
      </c>
      <c r="H33" s="2"/>
    </row>
    <row r="34" spans="1:8" ht="16.5" x14ac:dyDescent="0.3">
      <c r="A34" s="23">
        <v>3100010</v>
      </c>
      <c r="B34" s="12" t="s">
        <v>396</v>
      </c>
      <c r="C34" s="12" t="s">
        <v>397</v>
      </c>
      <c r="D34" s="12" t="s">
        <v>912</v>
      </c>
      <c r="E34" s="12" t="s">
        <v>329</v>
      </c>
      <c r="F34" s="14" t="s">
        <v>688</v>
      </c>
      <c r="H34" s="2"/>
    </row>
    <row r="35" spans="1:8" ht="16.5" x14ac:dyDescent="0.3">
      <c r="A35" s="23">
        <v>3100011</v>
      </c>
      <c r="B35" s="12" t="s">
        <v>401</v>
      </c>
      <c r="C35" s="12" t="s">
        <v>403</v>
      </c>
      <c r="D35" s="12" t="s">
        <v>913</v>
      </c>
      <c r="E35" s="12" t="s">
        <v>404</v>
      </c>
      <c r="F35" s="14" t="s">
        <v>689</v>
      </c>
      <c r="H35" s="2"/>
    </row>
    <row r="36" spans="1:8" ht="16.5" x14ac:dyDescent="0.3">
      <c r="A36" s="23">
        <v>3100012</v>
      </c>
      <c r="B36" s="12" t="s">
        <v>428</v>
      </c>
      <c r="C36" s="12" t="s">
        <v>429</v>
      </c>
      <c r="D36" s="12" t="s">
        <v>914</v>
      </c>
      <c r="E36" s="12" t="s">
        <v>329</v>
      </c>
      <c r="F36" s="14" t="s">
        <v>690</v>
      </c>
      <c r="H36" s="2"/>
    </row>
    <row r="37" spans="1:8" ht="16.5" x14ac:dyDescent="0.3">
      <c r="A37" s="23">
        <v>3100013</v>
      </c>
      <c r="B37" s="12" t="s">
        <v>428</v>
      </c>
      <c r="C37" s="12" t="s">
        <v>430</v>
      </c>
      <c r="D37" s="12" t="s">
        <v>915</v>
      </c>
      <c r="E37" s="12" t="s">
        <v>335</v>
      </c>
      <c r="F37" s="14" t="s">
        <v>691</v>
      </c>
      <c r="H37" s="2"/>
    </row>
    <row r="38" spans="1:8" ht="16.5" x14ac:dyDescent="0.3">
      <c r="A38" s="23">
        <v>3100014</v>
      </c>
      <c r="B38" s="12" t="s">
        <v>431</v>
      </c>
      <c r="C38" s="12" t="s">
        <v>432</v>
      </c>
      <c r="D38" s="12" t="s">
        <v>916</v>
      </c>
      <c r="E38" s="12" t="s">
        <v>329</v>
      </c>
      <c r="F38" s="14" t="s">
        <v>692</v>
      </c>
      <c r="H38" s="2"/>
    </row>
    <row r="39" spans="1:8" ht="16.5" x14ac:dyDescent="0.3">
      <c r="A39" s="23">
        <v>3100015</v>
      </c>
      <c r="B39" s="12" t="s">
        <v>431</v>
      </c>
      <c r="C39" s="12" t="s">
        <v>433</v>
      </c>
      <c r="D39" s="12" t="s">
        <v>917</v>
      </c>
      <c r="E39" s="12" t="s">
        <v>335</v>
      </c>
      <c r="F39" s="14" t="s">
        <v>693</v>
      </c>
      <c r="H39" s="2"/>
    </row>
    <row r="40" spans="1:8" ht="16.5" x14ac:dyDescent="0.3">
      <c r="A40" s="23">
        <v>3100016</v>
      </c>
      <c r="B40" s="12" t="s">
        <v>437</v>
      </c>
      <c r="C40" s="12" t="s">
        <v>434</v>
      </c>
      <c r="D40" s="12" t="s">
        <v>918</v>
      </c>
      <c r="E40" s="12" t="s">
        <v>329</v>
      </c>
      <c r="F40" s="14" t="s">
        <v>694</v>
      </c>
      <c r="H40" s="2"/>
    </row>
    <row r="41" spans="1:8" ht="16.5" x14ac:dyDescent="0.3">
      <c r="A41" s="23">
        <v>3100017</v>
      </c>
      <c r="B41" s="12" t="s">
        <v>431</v>
      </c>
      <c r="C41" s="12" t="s">
        <v>435</v>
      </c>
      <c r="D41" s="12" t="s">
        <v>919</v>
      </c>
      <c r="E41" s="12" t="s">
        <v>335</v>
      </c>
      <c r="F41" s="14" t="s">
        <v>695</v>
      </c>
      <c r="H41" s="2"/>
    </row>
    <row r="42" spans="1:8" ht="16.5" x14ac:dyDescent="0.3">
      <c r="A42" s="23">
        <v>3100018</v>
      </c>
      <c r="B42" s="12" t="s">
        <v>438</v>
      </c>
      <c r="C42" s="12" t="s">
        <v>439</v>
      </c>
      <c r="D42" s="12" t="s">
        <v>920</v>
      </c>
      <c r="E42" s="12" t="s">
        <v>479</v>
      </c>
      <c r="F42" s="14" t="s">
        <v>696</v>
      </c>
      <c r="H42" s="2"/>
    </row>
    <row r="43" spans="1:8" ht="16.5" x14ac:dyDescent="0.3">
      <c r="A43" s="23">
        <v>3100019</v>
      </c>
      <c r="B43" s="12" t="s">
        <v>438</v>
      </c>
      <c r="C43" s="12" t="s">
        <v>440</v>
      </c>
      <c r="D43" s="12" t="s">
        <v>921</v>
      </c>
      <c r="E43" s="12" t="s">
        <v>444</v>
      </c>
      <c r="F43" s="14" t="s">
        <v>697</v>
      </c>
      <c r="H43" s="2"/>
    </row>
    <row r="44" spans="1:8" ht="16.5" x14ac:dyDescent="0.3">
      <c r="A44" s="23">
        <v>3100020</v>
      </c>
      <c r="B44" s="12" t="s">
        <v>438</v>
      </c>
      <c r="C44" s="12" t="s">
        <v>441</v>
      </c>
      <c r="D44" s="12" t="s">
        <v>922</v>
      </c>
      <c r="E44" s="12" t="s">
        <v>444</v>
      </c>
      <c r="F44" s="14" t="s">
        <v>698</v>
      </c>
      <c r="H44" s="2"/>
    </row>
    <row r="45" spans="1:8" ht="16.5" x14ac:dyDescent="0.3">
      <c r="A45" s="23">
        <v>3100021</v>
      </c>
      <c r="B45" s="12" t="s">
        <v>438</v>
      </c>
      <c r="C45" s="12" t="s">
        <v>442</v>
      </c>
      <c r="D45" s="12" t="s">
        <v>923</v>
      </c>
      <c r="E45" s="12" t="s">
        <v>478</v>
      </c>
      <c r="F45" s="14" t="s">
        <v>699</v>
      </c>
      <c r="H45" s="2"/>
    </row>
    <row r="46" spans="1:8" ht="16.5" x14ac:dyDescent="0.3">
      <c r="A46" s="23">
        <v>3100022</v>
      </c>
      <c r="B46" s="12" t="s">
        <v>445</v>
      </c>
      <c r="C46" s="12" t="s">
        <v>446</v>
      </c>
      <c r="D46" s="12" t="s">
        <v>924</v>
      </c>
      <c r="E46" s="12" t="s">
        <v>444</v>
      </c>
      <c r="F46" s="14" t="s">
        <v>700</v>
      </c>
      <c r="H46" s="2"/>
    </row>
    <row r="47" spans="1:8" ht="16.5" x14ac:dyDescent="0.3">
      <c r="A47" s="23">
        <v>3100023</v>
      </c>
      <c r="B47" s="12" t="s">
        <v>445</v>
      </c>
      <c r="C47" s="12" t="s">
        <v>447</v>
      </c>
      <c r="D47" s="12" t="s">
        <v>925</v>
      </c>
      <c r="E47" s="12" t="s">
        <v>550</v>
      </c>
      <c r="F47" s="14" t="s">
        <v>701</v>
      </c>
      <c r="H47" s="2"/>
    </row>
    <row r="48" spans="1:8" ht="16.5" x14ac:dyDescent="0.3">
      <c r="A48" s="23">
        <v>3100024</v>
      </c>
      <c r="B48" s="12" t="s">
        <v>445</v>
      </c>
      <c r="C48" s="12" t="s">
        <v>448</v>
      </c>
      <c r="D48" s="12" t="s">
        <v>926</v>
      </c>
      <c r="E48" s="12" t="s">
        <v>444</v>
      </c>
      <c r="F48" s="14" t="s">
        <v>702</v>
      </c>
      <c r="H48" s="2"/>
    </row>
    <row r="49" spans="1:8" ht="16.5" x14ac:dyDescent="0.3">
      <c r="A49" s="23">
        <v>3100025</v>
      </c>
      <c r="B49" s="12" t="s">
        <v>445</v>
      </c>
      <c r="C49" s="12" t="s">
        <v>449</v>
      </c>
      <c r="D49" s="12" t="s">
        <v>927</v>
      </c>
      <c r="E49" s="12" t="s">
        <v>444</v>
      </c>
      <c r="F49" s="14" t="s">
        <v>703</v>
      </c>
      <c r="H49" s="2"/>
    </row>
    <row r="50" spans="1:8" ht="16.5" x14ac:dyDescent="0.3">
      <c r="A50" s="23">
        <v>3100026</v>
      </c>
      <c r="B50" s="12" t="s">
        <v>451</v>
      </c>
      <c r="C50" s="12" t="s">
        <v>452</v>
      </c>
      <c r="D50" s="12" t="s">
        <v>928</v>
      </c>
      <c r="E50" s="12" t="s">
        <v>444</v>
      </c>
      <c r="F50" s="14" t="s">
        <v>704</v>
      </c>
      <c r="H50" s="2"/>
    </row>
    <row r="51" spans="1:8" ht="16.5" x14ac:dyDescent="0.3">
      <c r="A51" s="23">
        <v>3100027</v>
      </c>
      <c r="B51" s="12" t="s">
        <v>451</v>
      </c>
      <c r="C51" s="12" t="s">
        <v>453</v>
      </c>
      <c r="D51" s="12" t="s">
        <v>929</v>
      </c>
      <c r="E51" s="12" t="s">
        <v>444</v>
      </c>
      <c r="F51" s="14" t="s">
        <v>705</v>
      </c>
      <c r="H51" s="2"/>
    </row>
    <row r="52" spans="1:8" ht="16.5" x14ac:dyDescent="0.3">
      <c r="A52" s="23">
        <v>3100028</v>
      </c>
      <c r="B52" s="12" t="s">
        <v>451</v>
      </c>
      <c r="C52" s="12" t="s">
        <v>454</v>
      </c>
      <c r="D52" s="12" t="s">
        <v>930</v>
      </c>
      <c r="E52" s="12" t="s">
        <v>444</v>
      </c>
      <c r="F52" s="14" t="s">
        <v>706</v>
      </c>
      <c r="H52" s="2"/>
    </row>
    <row r="53" spans="1:8" ht="16.5" x14ac:dyDescent="0.3">
      <c r="A53" s="23">
        <v>3100029</v>
      </c>
      <c r="B53" s="12" t="s">
        <v>451</v>
      </c>
      <c r="C53" s="12" t="s">
        <v>455</v>
      </c>
      <c r="D53" s="12" t="s">
        <v>931</v>
      </c>
      <c r="E53" s="12" t="s">
        <v>444</v>
      </c>
      <c r="F53" s="14" t="s">
        <v>707</v>
      </c>
      <c r="H53" s="2"/>
    </row>
    <row r="54" spans="1:8" ht="16.5" x14ac:dyDescent="0.3">
      <c r="A54" s="23">
        <v>3100030</v>
      </c>
      <c r="B54" s="12" t="s">
        <v>456</v>
      </c>
      <c r="C54" s="12" t="s">
        <v>457</v>
      </c>
      <c r="D54" s="12" t="s">
        <v>932</v>
      </c>
      <c r="E54" s="12" t="s">
        <v>487</v>
      </c>
      <c r="F54" s="14" t="s">
        <v>708</v>
      </c>
      <c r="H54" s="2"/>
    </row>
    <row r="55" spans="1:8" ht="16.5" x14ac:dyDescent="0.3">
      <c r="A55" s="23">
        <v>3100031</v>
      </c>
      <c r="B55" s="12" t="s">
        <v>481</v>
      </c>
      <c r="C55" s="12" t="s">
        <v>483</v>
      </c>
      <c r="D55" s="12" t="s">
        <v>933</v>
      </c>
      <c r="E55" s="12" t="s">
        <v>335</v>
      </c>
      <c r="F55" s="14" t="s">
        <v>709</v>
      </c>
      <c r="H55" s="2"/>
    </row>
    <row r="56" spans="1:8" ht="16.5" x14ac:dyDescent="0.3">
      <c r="A56" s="23">
        <v>3100032</v>
      </c>
      <c r="B56" s="12" t="s">
        <v>481</v>
      </c>
      <c r="C56" s="12" t="s">
        <v>484</v>
      </c>
      <c r="D56" s="12" t="s">
        <v>934</v>
      </c>
      <c r="E56" s="12" t="s">
        <v>335</v>
      </c>
      <c r="F56" s="14" t="s">
        <v>710</v>
      </c>
      <c r="H56" s="2"/>
    </row>
    <row r="57" spans="1:8" ht="16.5" x14ac:dyDescent="0.3">
      <c r="A57" s="23">
        <v>3100033</v>
      </c>
      <c r="B57" s="12" t="s">
        <v>481</v>
      </c>
      <c r="C57" s="12" t="s">
        <v>485</v>
      </c>
      <c r="D57" s="12" t="s">
        <v>935</v>
      </c>
      <c r="E57" s="12" t="s">
        <v>335</v>
      </c>
      <c r="F57" s="14" t="s">
        <v>711</v>
      </c>
      <c r="H57" s="2"/>
    </row>
    <row r="58" spans="1:8" ht="16.5" x14ac:dyDescent="0.3">
      <c r="A58" s="23">
        <v>3100034</v>
      </c>
      <c r="B58" s="12" t="s">
        <v>481</v>
      </c>
      <c r="C58" s="12" t="s">
        <v>486</v>
      </c>
      <c r="D58" s="12" t="s">
        <v>936</v>
      </c>
      <c r="E58" s="12" t="s">
        <v>335</v>
      </c>
      <c r="F58" s="14" t="s">
        <v>712</v>
      </c>
      <c r="H58" s="2"/>
    </row>
    <row r="59" spans="1:8" ht="16.5" x14ac:dyDescent="0.3">
      <c r="A59" s="23">
        <v>3100035</v>
      </c>
      <c r="B59" s="12" t="s">
        <v>488</v>
      </c>
      <c r="C59" s="12" t="s">
        <v>489</v>
      </c>
      <c r="D59" s="12" t="s">
        <v>937</v>
      </c>
      <c r="E59" s="12" t="s">
        <v>480</v>
      </c>
      <c r="F59" s="14" t="s">
        <v>713</v>
      </c>
      <c r="H59" s="2"/>
    </row>
    <row r="60" spans="1:8" ht="16.5" x14ac:dyDescent="0.3">
      <c r="A60" s="23">
        <v>3100036</v>
      </c>
      <c r="B60" s="12" t="s">
        <v>490</v>
      </c>
      <c r="C60" s="12" t="s">
        <v>496</v>
      </c>
      <c r="D60" s="12" t="s">
        <v>938</v>
      </c>
      <c r="E60" s="12" t="s">
        <v>492</v>
      </c>
      <c r="F60" s="14" t="s">
        <v>714</v>
      </c>
      <c r="H60" s="2"/>
    </row>
    <row r="61" spans="1:8" ht="16.5" x14ac:dyDescent="0.3">
      <c r="A61" s="23">
        <v>3100037</v>
      </c>
      <c r="B61" s="12" t="s">
        <v>490</v>
      </c>
      <c r="C61" s="12" t="s">
        <v>497</v>
      </c>
      <c r="D61" s="12" t="s">
        <v>939</v>
      </c>
      <c r="E61" s="12" t="s">
        <v>492</v>
      </c>
      <c r="F61" s="14" t="s">
        <v>715</v>
      </c>
      <c r="H61" s="2"/>
    </row>
    <row r="62" spans="1:8" ht="16.5" x14ac:dyDescent="0.3">
      <c r="A62" s="23">
        <v>3100038</v>
      </c>
      <c r="B62" s="12" t="s">
        <v>490</v>
      </c>
      <c r="C62" s="12" t="s">
        <v>498</v>
      </c>
      <c r="D62" s="12" t="s">
        <v>940</v>
      </c>
      <c r="E62" s="12" t="s">
        <v>492</v>
      </c>
      <c r="F62" s="14" t="s">
        <v>716</v>
      </c>
      <c r="H62" s="2"/>
    </row>
    <row r="63" spans="1:8" ht="16.5" x14ac:dyDescent="0.3">
      <c r="A63" s="23">
        <v>3100039</v>
      </c>
      <c r="B63" s="12" t="s">
        <v>490</v>
      </c>
      <c r="C63" s="12" t="s">
        <v>491</v>
      </c>
      <c r="D63" s="12" t="s">
        <v>941</v>
      </c>
      <c r="E63" s="12" t="s">
        <v>492</v>
      </c>
      <c r="F63" s="14" t="s">
        <v>717</v>
      </c>
      <c r="H63" s="2"/>
    </row>
    <row r="64" spans="1:8" ht="16.5" x14ac:dyDescent="0.3">
      <c r="A64" s="23">
        <v>3100040</v>
      </c>
      <c r="B64" s="12" t="s">
        <v>502</v>
      </c>
      <c r="C64" s="12" t="s">
        <v>503</v>
      </c>
      <c r="D64" s="12" t="s">
        <v>942</v>
      </c>
      <c r="E64" s="12" t="s">
        <v>492</v>
      </c>
      <c r="F64" s="14" t="s">
        <v>718</v>
      </c>
      <c r="H64" s="2"/>
    </row>
    <row r="65" spans="1:8" ht="16.5" x14ac:dyDescent="0.3">
      <c r="A65" s="23">
        <v>3100041</v>
      </c>
      <c r="B65" s="12" t="s">
        <v>502</v>
      </c>
      <c r="C65" s="12" t="s">
        <v>503</v>
      </c>
      <c r="D65" s="12" t="s">
        <v>943</v>
      </c>
      <c r="E65" s="12" t="s">
        <v>492</v>
      </c>
      <c r="F65" s="14" t="s">
        <v>719</v>
      </c>
      <c r="H65" s="2"/>
    </row>
    <row r="66" spans="1:8" ht="16.5" x14ac:dyDescent="0.3">
      <c r="A66" s="23">
        <v>3100042</v>
      </c>
      <c r="B66" s="12" t="s">
        <v>502</v>
      </c>
      <c r="C66" s="12" t="s">
        <v>503</v>
      </c>
      <c r="D66" s="12" t="s">
        <v>944</v>
      </c>
      <c r="E66" s="12" t="s">
        <v>492</v>
      </c>
      <c r="F66" s="14" t="s">
        <v>720</v>
      </c>
      <c r="H66" s="2"/>
    </row>
    <row r="67" spans="1:8" ht="16.5" x14ac:dyDescent="0.3">
      <c r="A67" s="23">
        <v>3100043</v>
      </c>
      <c r="B67" s="12" t="s">
        <v>502</v>
      </c>
      <c r="C67" s="12" t="s">
        <v>503</v>
      </c>
      <c r="D67" s="12" t="s">
        <v>945</v>
      </c>
      <c r="E67" s="12" t="s">
        <v>492</v>
      </c>
      <c r="F67" s="14" t="s">
        <v>721</v>
      </c>
      <c r="H67" s="2"/>
    </row>
    <row r="68" spans="1:8" ht="16.5" x14ac:dyDescent="0.3">
      <c r="A68" s="23">
        <v>3100044</v>
      </c>
      <c r="B68" s="12" t="s">
        <v>510</v>
      </c>
      <c r="C68" s="12" t="s">
        <v>511</v>
      </c>
      <c r="D68" s="12" t="s">
        <v>946</v>
      </c>
      <c r="E68" s="12" t="s">
        <v>480</v>
      </c>
      <c r="F68" s="14" t="s">
        <v>722</v>
      </c>
      <c r="H68" s="2"/>
    </row>
    <row r="69" spans="1:8" ht="16.5" x14ac:dyDescent="0.3">
      <c r="A69" s="23">
        <v>3100045</v>
      </c>
      <c r="B69" s="12" t="s">
        <v>530</v>
      </c>
      <c r="C69" s="12" t="s">
        <v>531</v>
      </c>
      <c r="D69" s="12" t="s">
        <v>947</v>
      </c>
      <c r="E69" s="12" t="s">
        <v>492</v>
      </c>
      <c r="F69" s="14" t="s">
        <v>723</v>
      </c>
      <c r="H69" s="2"/>
    </row>
    <row r="70" spans="1:8" ht="16.5" x14ac:dyDescent="0.3">
      <c r="A70" s="23">
        <v>3100046</v>
      </c>
      <c r="B70" s="12" t="s">
        <v>530</v>
      </c>
      <c r="C70" s="12" t="s">
        <v>532</v>
      </c>
      <c r="D70" s="12" t="s">
        <v>948</v>
      </c>
      <c r="E70" s="12" t="s">
        <v>492</v>
      </c>
      <c r="F70" s="14" t="s">
        <v>724</v>
      </c>
      <c r="H70" s="2"/>
    </row>
    <row r="71" spans="1:8" ht="16.5" x14ac:dyDescent="0.3">
      <c r="A71" s="23">
        <v>3100047</v>
      </c>
      <c r="B71" s="12" t="s">
        <v>530</v>
      </c>
      <c r="C71" s="12" t="s">
        <v>533</v>
      </c>
      <c r="D71" s="12" t="s">
        <v>949</v>
      </c>
      <c r="E71" s="12" t="s">
        <v>492</v>
      </c>
      <c r="F71" s="14" t="s">
        <v>725</v>
      </c>
      <c r="H71" s="2"/>
    </row>
    <row r="72" spans="1:8" ht="16.5" x14ac:dyDescent="0.3">
      <c r="A72" s="23">
        <v>3100048</v>
      </c>
      <c r="B72" s="12" t="s">
        <v>530</v>
      </c>
      <c r="C72" s="12" t="s">
        <v>534</v>
      </c>
      <c r="D72" s="12" t="s">
        <v>950</v>
      </c>
      <c r="E72" s="12" t="s">
        <v>492</v>
      </c>
      <c r="F72" s="14" t="s">
        <v>726</v>
      </c>
      <c r="H72" s="2"/>
    </row>
    <row r="73" spans="1:8" ht="16.5" x14ac:dyDescent="0.3">
      <c r="A73" s="23">
        <v>3100049</v>
      </c>
      <c r="B73" s="12" t="s">
        <v>538</v>
      </c>
      <c r="C73" s="12" t="s">
        <v>539</v>
      </c>
      <c r="D73" s="12" t="s">
        <v>951</v>
      </c>
      <c r="E73" s="12" t="s">
        <v>492</v>
      </c>
      <c r="F73" s="14" t="s">
        <v>727</v>
      </c>
      <c r="H73" s="2"/>
    </row>
    <row r="74" spans="1:8" ht="16.5" x14ac:dyDescent="0.3">
      <c r="A74" s="23">
        <v>3100050</v>
      </c>
      <c r="B74" s="12" t="s">
        <v>538</v>
      </c>
      <c r="C74" s="12" t="s">
        <v>540</v>
      </c>
      <c r="D74" s="12" t="s">
        <v>952</v>
      </c>
      <c r="E74" s="12" t="s">
        <v>492</v>
      </c>
      <c r="F74" s="14" t="s">
        <v>728</v>
      </c>
      <c r="H74" s="2"/>
    </row>
    <row r="75" spans="1:8" ht="16.5" x14ac:dyDescent="0.3">
      <c r="A75" s="23">
        <v>3100051</v>
      </c>
      <c r="B75" s="12" t="s">
        <v>538</v>
      </c>
      <c r="C75" s="12" t="s">
        <v>541</v>
      </c>
      <c r="D75" s="12" t="s">
        <v>953</v>
      </c>
      <c r="E75" s="12" t="s">
        <v>492</v>
      </c>
      <c r="F75" s="14" t="s">
        <v>729</v>
      </c>
      <c r="H75" s="2"/>
    </row>
    <row r="76" spans="1:8" ht="16.5" x14ac:dyDescent="0.3">
      <c r="A76" s="23">
        <v>3100052</v>
      </c>
      <c r="B76" s="12" t="s">
        <v>538</v>
      </c>
      <c r="C76" s="12" t="s">
        <v>542</v>
      </c>
      <c r="D76" s="12" t="s">
        <v>954</v>
      </c>
      <c r="E76" s="12" t="s">
        <v>492</v>
      </c>
      <c r="F76" s="14" t="s">
        <v>730</v>
      </c>
      <c r="H76" s="2"/>
    </row>
  </sheetData>
  <phoneticPr fontId="1" type="noConversion"/>
  <conditionalFormatting sqref="F4:F76">
    <cfRule type="duplicateValues" dxfId="23" priority="11"/>
  </conditionalFormatting>
  <conditionalFormatting sqref="A3:F3">
    <cfRule type="duplicateValues" dxfId="22" priority="4"/>
  </conditionalFormatting>
  <conditionalFormatting sqref="A4:A76">
    <cfRule type="duplicateValues" dxfId="21" priority="1"/>
  </conditionalFormatting>
  <hyperlinks>
    <hyperlink ref="E2" location="PassiveType" display="PassiveType"/>
    <hyperlink ref="E3" location="PassiveType" display="Passive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73"/>
  <sheetViews>
    <sheetView showGridLines="0" workbookViewId="0">
      <pane xSplit="1" ySplit="1" topLeftCell="B2" activePane="bottomRight" state="frozen"/>
      <selection pane="topRight" activeCell="B1" sqref="B1"/>
      <selection pane="bottomLeft" activeCell="A4" sqref="A4"/>
      <selection pane="bottomRight" activeCell="D13" sqref="D13"/>
    </sheetView>
  </sheetViews>
  <sheetFormatPr defaultColWidth="8.75" defaultRowHeight="14.25" x14ac:dyDescent="0.2"/>
  <cols>
    <col min="1" max="1" width="9.625" bestFit="1" customWidth="1"/>
    <col min="2" max="2" width="8.25" bestFit="1" customWidth="1"/>
    <col min="3" max="3" width="71.375" bestFit="1" customWidth="1"/>
    <col min="4" max="4" width="19.75" customWidth="1"/>
    <col min="5" max="5" width="20.375" bestFit="1" customWidth="1"/>
    <col min="6" max="7" width="9.125" bestFit="1" customWidth="1"/>
    <col min="8" max="8" width="39.25" customWidth="1"/>
    <col min="9" max="9" width="15.125" bestFit="1" customWidth="1"/>
    <col min="10" max="10" width="11.125" bestFit="1" customWidth="1"/>
    <col min="11" max="11" width="29.625" bestFit="1" customWidth="1"/>
    <col min="12" max="12" width="40.875" bestFit="1" customWidth="1"/>
    <col min="14" max="14" width="14.875" bestFit="1" customWidth="1"/>
  </cols>
  <sheetData>
    <row r="1" spans="1:22" s="4" customFormat="1" ht="95.25" customHeight="1" x14ac:dyDescent="0.2">
      <c r="A1" s="29" t="s">
        <v>793</v>
      </c>
      <c r="B1" s="29" t="s">
        <v>812</v>
      </c>
      <c r="C1" s="29" t="s">
        <v>813</v>
      </c>
      <c r="D1" s="29" t="s">
        <v>814</v>
      </c>
      <c r="E1" s="29" t="s">
        <v>815</v>
      </c>
      <c r="F1" s="29" t="s">
        <v>816</v>
      </c>
      <c r="G1" s="29" t="s">
        <v>791</v>
      </c>
      <c r="H1" s="29" t="s">
        <v>817</v>
      </c>
      <c r="I1" s="29" t="s">
        <v>818</v>
      </c>
      <c r="J1" s="29" t="s">
        <v>819</v>
      </c>
      <c r="K1" s="21" t="s">
        <v>794</v>
      </c>
      <c r="L1" s="21" t="s">
        <v>820</v>
      </c>
    </row>
    <row r="2" spans="1:22" s="2" customFormat="1" ht="16.5" x14ac:dyDescent="0.3">
      <c r="A2" s="12" t="s">
        <v>795</v>
      </c>
      <c r="B2" s="12" t="s">
        <v>796</v>
      </c>
      <c r="C2" s="12" t="s">
        <v>796</v>
      </c>
      <c r="D2" s="12" t="s">
        <v>796</v>
      </c>
      <c r="E2" s="12" t="s">
        <v>797</v>
      </c>
      <c r="F2" s="12" t="s">
        <v>798</v>
      </c>
      <c r="G2" s="12" t="s">
        <v>798</v>
      </c>
      <c r="H2" s="12" t="s">
        <v>799</v>
      </c>
      <c r="I2" s="12" t="s">
        <v>796</v>
      </c>
      <c r="J2" s="12" t="s">
        <v>798</v>
      </c>
      <c r="K2" s="32" t="s">
        <v>800</v>
      </c>
      <c r="L2" s="12" t="s">
        <v>801</v>
      </c>
      <c r="M2" s="4"/>
      <c r="N2" s="4"/>
      <c r="O2" s="4"/>
      <c r="P2" s="4"/>
      <c r="Q2" s="4"/>
      <c r="R2"/>
      <c r="S2"/>
      <c r="T2"/>
      <c r="U2"/>
      <c r="V2"/>
    </row>
    <row r="3" spans="1:22" ht="15" x14ac:dyDescent="0.2">
      <c r="A3" s="15" t="s">
        <v>1026</v>
      </c>
      <c r="B3" s="15" t="s">
        <v>802</v>
      </c>
      <c r="C3" s="15" t="s">
        <v>803</v>
      </c>
      <c r="D3" s="15" t="s">
        <v>828</v>
      </c>
      <c r="E3" s="15" t="s">
        <v>804</v>
      </c>
      <c r="F3" s="15" t="s">
        <v>805</v>
      </c>
      <c r="G3" s="15" t="s">
        <v>806</v>
      </c>
      <c r="H3" s="15" t="s">
        <v>807</v>
      </c>
      <c r="I3" s="15" t="s">
        <v>808</v>
      </c>
      <c r="J3" s="15" t="s">
        <v>809</v>
      </c>
      <c r="K3" s="16" t="s">
        <v>810</v>
      </c>
      <c r="L3" s="15" t="s">
        <v>811</v>
      </c>
      <c r="N3" s="31" t="s">
        <v>792</v>
      </c>
    </row>
    <row r="4" spans="1:22" ht="16.5" x14ac:dyDescent="0.2">
      <c r="A4" s="12">
        <v>4000001</v>
      </c>
      <c r="B4" s="12" t="s">
        <v>82</v>
      </c>
      <c r="C4" s="12" t="s">
        <v>83</v>
      </c>
      <c r="D4" s="12" t="s">
        <v>956</v>
      </c>
      <c r="E4" s="12" t="b">
        <v>0</v>
      </c>
      <c r="F4" s="12">
        <v>10</v>
      </c>
      <c r="G4" s="12">
        <v>1</v>
      </c>
      <c r="H4" s="12"/>
      <c r="I4" s="12"/>
      <c r="J4" s="12">
        <v>1</v>
      </c>
      <c r="K4" s="12" t="s">
        <v>85</v>
      </c>
      <c r="L4" s="12"/>
      <c r="N4" s="30">
        <v>1</v>
      </c>
    </row>
    <row r="5" spans="1:22" ht="16.5" x14ac:dyDescent="0.2">
      <c r="A5" s="12">
        <v>4000002</v>
      </c>
      <c r="B5" s="12" t="s">
        <v>109</v>
      </c>
      <c r="C5" s="12" t="s">
        <v>111</v>
      </c>
      <c r="D5" s="12" t="s">
        <v>957</v>
      </c>
      <c r="E5" s="12" t="b">
        <v>0</v>
      </c>
      <c r="F5" s="12">
        <v>10</v>
      </c>
      <c r="G5" s="12">
        <v>10</v>
      </c>
      <c r="H5" s="12"/>
      <c r="I5" s="12"/>
      <c r="J5" s="12">
        <v>1</v>
      </c>
      <c r="K5" s="12" t="s">
        <v>467</v>
      </c>
      <c r="L5" s="12"/>
      <c r="N5" s="30">
        <v>2</v>
      </c>
    </row>
    <row r="6" spans="1:22" ht="16.5" x14ac:dyDescent="0.2">
      <c r="A6" s="12">
        <v>4000003</v>
      </c>
      <c r="B6" s="12" t="s">
        <v>113</v>
      </c>
      <c r="C6" s="12" t="s">
        <v>114</v>
      </c>
      <c r="D6" s="12" t="s">
        <v>958</v>
      </c>
      <c r="E6" s="12" t="b">
        <v>0</v>
      </c>
      <c r="F6" s="12">
        <v>10</v>
      </c>
      <c r="G6" s="12">
        <v>10</v>
      </c>
      <c r="H6" s="12"/>
      <c r="I6" s="12"/>
      <c r="J6" s="12">
        <v>1</v>
      </c>
      <c r="K6" s="12" t="s">
        <v>96</v>
      </c>
      <c r="L6" s="12"/>
      <c r="N6" s="30">
        <v>3</v>
      </c>
    </row>
    <row r="7" spans="1:22" ht="16.5" x14ac:dyDescent="0.2">
      <c r="A7" s="12">
        <v>4000004</v>
      </c>
      <c r="B7" s="12" t="s">
        <v>124</v>
      </c>
      <c r="C7" s="12" t="s">
        <v>125</v>
      </c>
      <c r="D7" s="12" t="s">
        <v>959</v>
      </c>
      <c r="E7" s="12" t="b">
        <v>0</v>
      </c>
      <c r="F7" s="12">
        <v>10</v>
      </c>
      <c r="G7" s="12">
        <v>10</v>
      </c>
      <c r="H7" s="12"/>
      <c r="I7" s="12"/>
      <c r="J7" s="12">
        <v>1</v>
      </c>
      <c r="K7" s="12" t="s">
        <v>107</v>
      </c>
      <c r="L7" s="12"/>
      <c r="N7" s="30">
        <v>4</v>
      </c>
    </row>
    <row r="8" spans="1:22" ht="16.5" x14ac:dyDescent="0.2">
      <c r="A8" s="12">
        <v>4000005</v>
      </c>
      <c r="B8" s="12" t="s">
        <v>142</v>
      </c>
      <c r="C8" s="12" t="s">
        <v>143</v>
      </c>
      <c r="D8" s="12" t="s">
        <v>960</v>
      </c>
      <c r="E8" s="12" t="b">
        <v>0</v>
      </c>
      <c r="F8" s="12">
        <v>10</v>
      </c>
      <c r="G8" s="12">
        <v>99</v>
      </c>
      <c r="H8" s="12"/>
      <c r="I8" s="12"/>
      <c r="J8" s="12">
        <v>1</v>
      </c>
      <c r="K8" s="12" t="s">
        <v>144</v>
      </c>
      <c r="L8" s="12" t="s">
        <v>731</v>
      </c>
      <c r="N8" s="30">
        <v>5</v>
      </c>
    </row>
    <row r="9" spans="1:22" ht="16.5" x14ac:dyDescent="0.2">
      <c r="A9" s="12">
        <v>4100027</v>
      </c>
      <c r="B9" s="12" t="s">
        <v>466</v>
      </c>
      <c r="C9" s="12" t="s">
        <v>459</v>
      </c>
      <c r="D9" s="12" t="s">
        <v>961</v>
      </c>
      <c r="E9" s="12" t="b">
        <v>0</v>
      </c>
      <c r="F9" s="12">
        <v>10</v>
      </c>
      <c r="G9" s="12">
        <v>5</v>
      </c>
      <c r="H9" s="12"/>
      <c r="I9" s="12"/>
      <c r="J9" s="12">
        <v>1</v>
      </c>
      <c r="K9" s="12" t="s">
        <v>96</v>
      </c>
      <c r="L9" s="12"/>
      <c r="N9" s="30">
        <v>6</v>
      </c>
    </row>
    <row r="10" spans="1:22" ht="16.5" x14ac:dyDescent="0.2">
      <c r="A10" s="12">
        <v>4100028</v>
      </c>
      <c r="B10" s="12" t="s">
        <v>466</v>
      </c>
      <c r="C10" s="12" t="s">
        <v>460</v>
      </c>
      <c r="D10" s="12" t="s">
        <v>962</v>
      </c>
      <c r="E10" s="12" t="b">
        <v>0</v>
      </c>
      <c r="F10" s="12">
        <v>10</v>
      </c>
      <c r="G10" s="12">
        <v>8</v>
      </c>
      <c r="H10" s="12"/>
      <c r="I10" s="12"/>
      <c r="J10" s="12">
        <v>1</v>
      </c>
      <c r="K10" s="12" t="s">
        <v>96</v>
      </c>
      <c r="L10" s="12"/>
      <c r="N10" s="30">
        <v>7</v>
      </c>
    </row>
    <row r="11" spans="1:22" ht="16.5" x14ac:dyDescent="0.2">
      <c r="A11" s="12">
        <v>4100029</v>
      </c>
      <c r="B11" s="12" t="s">
        <v>466</v>
      </c>
      <c r="C11" s="12" t="s">
        <v>461</v>
      </c>
      <c r="D11" s="12" t="s">
        <v>963</v>
      </c>
      <c r="E11" s="12" t="b">
        <v>0</v>
      </c>
      <c r="F11" s="12">
        <v>10</v>
      </c>
      <c r="G11" s="12">
        <v>12</v>
      </c>
      <c r="H11" s="12"/>
      <c r="I11" s="12"/>
      <c r="J11" s="12">
        <v>1</v>
      </c>
      <c r="K11" s="12" t="s">
        <v>96</v>
      </c>
      <c r="L11" s="12"/>
      <c r="N11" s="30">
        <v>8</v>
      </c>
    </row>
    <row r="12" spans="1:22" ht="16.5" x14ac:dyDescent="0.2">
      <c r="A12" s="12">
        <v>4100030</v>
      </c>
      <c r="B12" s="12" t="s">
        <v>466</v>
      </c>
      <c r="C12" s="12" t="s">
        <v>462</v>
      </c>
      <c r="D12" s="12" t="s">
        <v>964</v>
      </c>
      <c r="E12" s="12" t="b">
        <v>0</v>
      </c>
      <c r="F12" s="12">
        <v>10</v>
      </c>
      <c r="G12" s="12">
        <v>15</v>
      </c>
      <c r="H12" s="12"/>
      <c r="I12" s="12"/>
      <c r="J12" s="12">
        <v>1</v>
      </c>
      <c r="K12" s="12" t="s">
        <v>96</v>
      </c>
      <c r="L12" s="12"/>
      <c r="N12" s="30">
        <v>9</v>
      </c>
    </row>
    <row r="13" spans="1:22" ht="16.5" x14ac:dyDescent="0.2">
      <c r="A13" s="12">
        <v>4100039</v>
      </c>
      <c r="B13" s="12" t="s">
        <v>502</v>
      </c>
      <c r="C13" s="12" t="s">
        <v>504</v>
      </c>
      <c r="D13" s="12" t="s">
        <v>965</v>
      </c>
      <c r="E13" s="12" t="b">
        <v>0</v>
      </c>
      <c r="F13" s="12">
        <v>5</v>
      </c>
      <c r="G13" s="12">
        <v>99</v>
      </c>
      <c r="H13" s="12">
        <v>1</v>
      </c>
      <c r="I13" s="12"/>
      <c r="J13" s="12">
        <v>1</v>
      </c>
      <c r="K13" s="12" t="s">
        <v>336</v>
      </c>
      <c r="L13" s="12" t="s">
        <v>732</v>
      </c>
      <c r="N13" s="30">
        <v>10</v>
      </c>
    </row>
    <row r="14" spans="1:22" ht="16.5" x14ac:dyDescent="0.2">
      <c r="A14" s="12">
        <v>4100040</v>
      </c>
      <c r="B14" s="12" t="s">
        <v>502</v>
      </c>
      <c r="C14" s="12" t="s">
        <v>955</v>
      </c>
      <c r="D14" s="12" t="s">
        <v>966</v>
      </c>
      <c r="E14" s="12" t="b">
        <v>0</v>
      </c>
      <c r="F14" s="12">
        <v>5</v>
      </c>
      <c r="G14" s="12">
        <v>99</v>
      </c>
      <c r="H14" s="12">
        <v>1</v>
      </c>
      <c r="I14" s="12"/>
      <c r="J14" s="12">
        <v>1</v>
      </c>
      <c r="K14" s="12" t="s">
        <v>336</v>
      </c>
      <c r="L14" s="12" t="s">
        <v>733</v>
      </c>
      <c r="N14" s="30">
        <v>11</v>
      </c>
    </row>
    <row r="15" spans="1:22" ht="16.5" x14ac:dyDescent="0.2">
      <c r="A15" s="12">
        <v>4100041</v>
      </c>
      <c r="B15" s="12" t="s">
        <v>502</v>
      </c>
      <c r="C15" s="12" t="s">
        <v>505</v>
      </c>
      <c r="D15" s="12" t="s">
        <v>967</v>
      </c>
      <c r="E15" s="12" t="b">
        <v>0</v>
      </c>
      <c r="F15" s="12">
        <v>5</v>
      </c>
      <c r="G15" s="12">
        <v>99</v>
      </c>
      <c r="H15" s="12">
        <v>1</v>
      </c>
      <c r="I15" s="12"/>
      <c r="J15" s="12">
        <v>1</v>
      </c>
      <c r="K15" s="12" t="s">
        <v>336</v>
      </c>
      <c r="L15" s="12" t="s">
        <v>734</v>
      </c>
      <c r="N15" s="30">
        <v>12</v>
      </c>
    </row>
    <row r="16" spans="1:22" ht="16.5" x14ac:dyDescent="0.2">
      <c r="A16" s="12">
        <v>4100042</v>
      </c>
      <c r="B16" s="12" t="s">
        <v>502</v>
      </c>
      <c r="C16" s="12" t="s">
        <v>504</v>
      </c>
      <c r="D16" s="12" t="s">
        <v>968</v>
      </c>
      <c r="E16" s="12" t="b">
        <v>0</v>
      </c>
      <c r="F16" s="12">
        <v>5</v>
      </c>
      <c r="G16" s="12">
        <v>99</v>
      </c>
      <c r="H16" s="12">
        <v>1</v>
      </c>
      <c r="I16" s="12"/>
      <c r="J16" s="12">
        <v>1</v>
      </c>
      <c r="K16" s="12" t="s">
        <v>336</v>
      </c>
      <c r="L16" s="12" t="s">
        <v>735</v>
      </c>
      <c r="N16" s="30">
        <v>13</v>
      </c>
    </row>
    <row r="17" spans="1:14" ht="16.5" x14ac:dyDescent="0.2">
      <c r="A17" s="12">
        <v>4100043</v>
      </c>
      <c r="B17" s="12" t="s">
        <v>519</v>
      </c>
      <c r="C17" s="12" t="s">
        <v>505</v>
      </c>
      <c r="D17" s="12" t="s">
        <v>969</v>
      </c>
      <c r="E17" s="12" t="b">
        <v>0</v>
      </c>
      <c r="F17" s="12">
        <v>10</v>
      </c>
      <c r="G17" s="12">
        <v>10</v>
      </c>
      <c r="H17" s="12">
        <v>2</v>
      </c>
      <c r="I17" s="12"/>
      <c r="J17" s="12">
        <v>1</v>
      </c>
      <c r="K17" s="12" t="s">
        <v>336</v>
      </c>
      <c r="L17" s="12" t="s">
        <v>736</v>
      </c>
      <c r="N17" s="30">
        <v>14</v>
      </c>
    </row>
    <row r="18" spans="1:14" ht="16.5" x14ac:dyDescent="0.2">
      <c r="A18" s="12">
        <v>4000006</v>
      </c>
      <c r="B18" s="12" t="s">
        <v>158</v>
      </c>
      <c r="C18" s="12" t="s">
        <v>159</v>
      </c>
      <c r="D18" s="12" t="s">
        <v>970</v>
      </c>
      <c r="E18" s="12" t="b">
        <v>1</v>
      </c>
      <c r="F18" s="12">
        <v>1</v>
      </c>
      <c r="G18" s="12">
        <v>10</v>
      </c>
      <c r="H18" s="12"/>
      <c r="I18" s="12"/>
      <c r="J18" s="12">
        <v>1</v>
      </c>
      <c r="K18" s="12" t="s">
        <v>368</v>
      </c>
      <c r="L18" s="12" t="s">
        <v>737</v>
      </c>
      <c r="N18" s="30">
        <v>1</v>
      </c>
    </row>
    <row r="19" spans="1:14" ht="16.5" x14ac:dyDescent="0.2">
      <c r="A19" s="12">
        <v>4000007</v>
      </c>
      <c r="B19" s="12" t="s">
        <v>163</v>
      </c>
      <c r="C19" s="12" t="s">
        <v>165</v>
      </c>
      <c r="D19" s="12" t="s">
        <v>971</v>
      </c>
      <c r="E19" s="12" t="b">
        <v>1</v>
      </c>
      <c r="F19" s="12">
        <v>1</v>
      </c>
      <c r="G19" s="12">
        <v>10</v>
      </c>
      <c r="H19" s="12"/>
      <c r="I19" s="12"/>
      <c r="J19" s="12">
        <v>1</v>
      </c>
      <c r="K19" s="12" t="s">
        <v>162</v>
      </c>
      <c r="L19" s="12" t="s">
        <v>738</v>
      </c>
      <c r="N19" s="30">
        <v>2</v>
      </c>
    </row>
    <row r="20" spans="1:14" ht="16.5" x14ac:dyDescent="0.2">
      <c r="A20" s="12">
        <v>4000008</v>
      </c>
      <c r="B20" s="12" t="s">
        <v>173</v>
      </c>
      <c r="C20" s="12" t="s">
        <v>174</v>
      </c>
      <c r="D20" s="12" t="s">
        <v>972</v>
      </c>
      <c r="E20" s="12" t="b">
        <v>1</v>
      </c>
      <c r="F20" s="12">
        <v>1</v>
      </c>
      <c r="G20" s="12">
        <v>10</v>
      </c>
      <c r="H20" s="12"/>
      <c r="I20" s="12"/>
      <c r="J20" s="12">
        <v>1</v>
      </c>
      <c r="K20" s="12" t="s">
        <v>171</v>
      </c>
      <c r="L20" s="12" t="s">
        <v>739</v>
      </c>
      <c r="N20" s="30">
        <v>3</v>
      </c>
    </row>
    <row r="21" spans="1:14" ht="16.5" x14ac:dyDescent="0.2">
      <c r="A21" s="12">
        <v>4000009</v>
      </c>
      <c r="B21" s="12" t="s">
        <v>154</v>
      </c>
      <c r="C21" s="12" t="s">
        <v>155</v>
      </c>
      <c r="D21" s="12" t="s">
        <v>973</v>
      </c>
      <c r="E21" s="12" t="b">
        <v>1</v>
      </c>
      <c r="F21" s="12">
        <v>10</v>
      </c>
      <c r="G21" s="12">
        <v>99</v>
      </c>
      <c r="H21" s="12"/>
      <c r="I21" s="12"/>
      <c r="J21" s="12">
        <v>1</v>
      </c>
      <c r="K21" s="12" t="s">
        <v>365</v>
      </c>
      <c r="L21" s="12" t="s">
        <v>740</v>
      </c>
      <c r="N21" s="30">
        <v>4</v>
      </c>
    </row>
    <row r="22" spans="1:14" ht="16.5" x14ac:dyDescent="0.2">
      <c r="A22" s="12">
        <v>4000010</v>
      </c>
      <c r="B22" s="12" t="s">
        <v>156</v>
      </c>
      <c r="C22" s="12" t="s">
        <v>157</v>
      </c>
      <c r="D22" s="12" t="s">
        <v>974</v>
      </c>
      <c r="E22" s="12" t="b">
        <v>1</v>
      </c>
      <c r="F22" s="12">
        <v>10</v>
      </c>
      <c r="G22" s="12">
        <v>99</v>
      </c>
      <c r="H22" s="12"/>
      <c r="I22" s="12"/>
      <c r="J22" s="12">
        <v>1</v>
      </c>
      <c r="K22" s="12" t="s">
        <v>363</v>
      </c>
      <c r="L22" s="12" t="s">
        <v>741</v>
      </c>
      <c r="N22" s="30">
        <v>5</v>
      </c>
    </row>
    <row r="23" spans="1:14" ht="16.5" x14ac:dyDescent="0.2">
      <c r="A23" s="12">
        <v>4000011</v>
      </c>
      <c r="B23" s="12" t="s">
        <v>179</v>
      </c>
      <c r="C23" s="12" t="s">
        <v>180</v>
      </c>
      <c r="D23" s="12" t="s">
        <v>975</v>
      </c>
      <c r="E23" s="12" t="b">
        <v>1</v>
      </c>
      <c r="F23" s="12">
        <v>10</v>
      </c>
      <c r="G23" s="12">
        <v>99</v>
      </c>
      <c r="H23" s="12"/>
      <c r="I23" s="12"/>
      <c r="J23" s="12">
        <v>1</v>
      </c>
      <c r="K23" s="12" t="s">
        <v>178</v>
      </c>
      <c r="L23" s="12" t="s">
        <v>742</v>
      </c>
      <c r="N23" s="30">
        <v>6</v>
      </c>
    </row>
    <row r="24" spans="1:14" ht="16.5" x14ac:dyDescent="0.2">
      <c r="A24" s="12">
        <v>4000012</v>
      </c>
      <c r="B24" s="12" t="s">
        <v>181</v>
      </c>
      <c r="C24" s="12" t="s">
        <v>182</v>
      </c>
      <c r="D24" s="12" t="s">
        <v>976</v>
      </c>
      <c r="E24" s="12" t="b">
        <v>1</v>
      </c>
      <c r="F24" s="12">
        <v>10</v>
      </c>
      <c r="G24" s="12">
        <v>99</v>
      </c>
      <c r="H24" s="12"/>
      <c r="I24" s="12"/>
      <c r="J24" s="12">
        <v>1</v>
      </c>
      <c r="K24" s="12" t="s">
        <v>364</v>
      </c>
      <c r="L24" s="12" t="s">
        <v>743</v>
      </c>
      <c r="N24" s="30">
        <v>7</v>
      </c>
    </row>
    <row r="25" spans="1:14" ht="16.5" x14ac:dyDescent="0.2">
      <c r="A25" s="12">
        <v>4000013</v>
      </c>
      <c r="B25" s="12" t="s">
        <v>184</v>
      </c>
      <c r="C25" s="12" t="s">
        <v>183</v>
      </c>
      <c r="D25" s="12" t="s">
        <v>977</v>
      </c>
      <c r="E25" s="12" t="b">
        <v>1</v>
      </c>
      <c r="F25" s="12">
        <v>10</v>
      </c>
      <c r="G25" s="12">
        <v>99</v>
      </c>
      <c r="H25" s="12"/>
      <c r="I25" s="12"/>
      <c r="J25" s="12">
        <v>1</v>
      </c>
      <c r="K25" s="12" t="s">
        <v>327</v>
      </c>
      <c r="L25" s="12" t="s">
        <v>744</v>
      </c>
      <c r="N25" s="30">
        <v>8</v>
      </c>
    </row>
    <row r="26" spans="1:14" ht="16.5" x14ac:dyDescent="0.2">
      <c r="A26" s="12">
        <v>4000014</v>
      </c>
      <c r="B26" s="12" t="s">
        <v>193</v>
      </c>
      <c r="C26" s="12" t="s">
        <v>425</v>
      </c>
      <c r="D26" s="12" t="s">
        <v>978</v>
      </c>
      <c r="E26" s="12" t="b">
        <v>1</v>
      </c>
      <c r="F26" s="12">
        <v>3</v>
      </c>
      <c r="G26" s="12">
        <v>99</v>
      </c>
      <c r="H26" s="12">
        <v>1</v>
      </c>
      <c r="I26" s="12"/>
      <c r="J26" s="12">
        <v>1</v>
      </c>
      <c r="K26" s="12" t="s">
        <v>354</v>
      </c>
      <c r="L26" s="12" t="s">
        <v>745</v>
      </c>
      <c r="N26" s="30">
        <v>9</v>
      </c>
    </row>
    <row r="27" spans="1:14" ht="16.5" x14ac:dyDescent="0.2">
      <c r="A27" s="12">
        <v>4000015</v>
      </c>
      <c r="B27" s="12" t="s">
        <v>200</v>
      </c>
      <c r="C27" s="12" t="s">
        <v>203</v>
      </c>
      <c r="D27" s="12" t="s">
        <v>979</v>
      </c>
      <c r="E27" s="12" t="b">
        <v>1</v>
      </c>
      <c r="F27" s="12">
        <v>5</v>
      </c>
      <c r="G27" s="12">
        <v>99</v>
      </c>
      <c r="H27" s="12"/>
      <c r="I27" s="12"/>
      <c r="J27" s="12">
        <v>1</v>
      </c>
      <c r="K27" s="12" t="s">
        <v>202</v>
      </c>
      <c r="L27" s="12" t="s">
        <v>746</v>
      </c>
      <c r="N27" s="30">
        <v>10</v>
      </c>
    </row>
    <row r="28" spans="1:14" ht="16.5" x14ac:dyDescent="0.2">
      <c r="A28" s="12">
        <v>4100001</v>
      </c>
      <c r="B28" s="12" t="s">
        <v>344</v>
      </c>
      <c r="C28" s="12" t="s">
        <v>345</v>
      </c>
      <c r="D28" s="12" t="s">
        <v>980</v>
      </c>
      <c r="E28" s="12" t="b">
        <v>1</v>
      </c>
      <c r="F28" s="12">
        <v>1</v>
      </c>
      <c r="G28" s="12">
        <v>99</v>
      </c>
      <c r="H28" s="12"/>
      <c r="I28" s="12"/>
      <c r="J28" s="12">
        <v>1</v>
      </c>
      <c r="K28" s="12" t="s">
        <v>346</v>
      </c>
      <c r="L28" s="12"/>
      <c r="N28" s="30">
        <v>11</v>
      </c>
    </row>
    <row r="29" spans="1:14" ht="16.5" x14ac:dyDescent="0.2">
      <c r="A29" s="12">
        <v>4100002</v>
      </c>
      <c r="B29" s="12" t="s">
        <v>352</v>
      </c>
      <c r="C29" s="12" t="s">
        <v>353</v>
      </c>
      <c r="D29" s="12" t="s">
        <v>981</v>
      </c>
      <c r="E29" s="12" t="b">
        <v>1</v>
      </c>
      <c r="F29" s="12">
        <v>5</v>
      </c>
      <c r="G29" s="12">
        <v>99</v>
      </c>
      <c r="H29" s="12"/>
      <c r="I29" s="12"/>
      <c r="J29" s="12">
        <v>1</v>
      </c>
      <c r="K29" s="12" t="s">
        <v>482</v>
      </c>
      <c r="L29" s="12" t="s">
        <v>747</v>
      </c>
      <c r="N29" s="30">
        <v>12</v>
      </c>
    </row>
    <row r="30" spans="1:14" ht="16.5" x14ac:dyDescent="0.2">
      <c r="A30" s="12">
        <v>4100003</v>
      </c>
      <c r="B30" s="12" t="s">
        <v>358</v>
      </c>
      <c r="C30" s="12" t="s">
        <v>355</v>
      </c>
      <c r="D30" s="12" t="s">
        <v>982</v>
      </c>
      <c r="E30" s="12" t="b">
        <v>1</v>
      </c>
      <c r="F30" s="12">
        <v>5</v>
      </c>
      <c r="G30" s="12">
        <v>99</v>
      </c>
      <c r="H30" s="12"/>
      <c r="I30" s="12"/>
      <c r="J30" s="12">
        <v>1</v>
      </c>
      <c r="K30" s="12" t="s">
        <v>362</v>
      </c>
      <c r="L30" s="12" t="s">
        <v>748</v>
      </c>
      <c r="N30" s="30">
        <v>13</v>
      </c>
    </row>
    <row r="31" spans="1:14" ht="16.5" x14ac:dyDescent="0.2">
      <c r="A31" s="12">
        <v>4100004</v>
      </c>
      <c r="B31" s="12" t="s">
        <v>359</v>
      </c>
      <c r="C31" s="12" t="s">
        <v>356</v>
      </c>
      <c r="D31" s="12" t="s">
        <v>983</v>
      </c>
      <c r="E31" s="12" t="b">
        <v>1</v>
      </c>
      <c r="F31" s="12">
        <v>5</v>
      </c>
      <c r="G31" s="12">
        <v>99</v>
      </c>
      <c r="H31" s="12"/>
      <c r="I31" s="12"/>
      <c r="J31" s="12">
        <v>1</v>
      </c>
      <c r="K31" s="12" t="s">
        <v>362</v>
      </c>
      <c r="L31" s="12" t="s">
        <v>749</v>
      </c>
      <c r="N31" s="30">
        <v>14</v>
      </c>
    </row>
    <row r="32" spans="1:14" ht="16.5" x14ac:dyDescent="0.2">
      <c r="A32" s="12">
        <v>4100005</v>
      </c>
      <c r="B32" s="12" t="s">
        <v>361</v>
      </c>
      <c r="C32" s="12" t="s">
        <v>370</v>
      </c>
      <c r="D32" s="12" t="s">
        <v>984</v>
      </c>
      <c r="E32" s="12" t="b">
        <v>1</v>
      </c>
      <c r="F32" s="12">
        <v>1</v>
      </c>
      <c r="G32" s="12">
        <v>99</v>
      </c>
      <c r="H32" s="12"/>
      <c r="I32" s="12"/>
      <c r="J32" s="12">
        <v>1</v>
      </c>
      <c r="K32" s="12" t="s">
        <v>369</v>
      </c>
      <c r="L32" s="12" t="s">
        <v>750</v>
      </c>
      <c r="N32" s="30">
        <v>15</v>
      </c>
    </row>
    <row r="33" spans="1:14" ht="16.5" x14ac:dyDescent="0.2">
      <c r="A33" s="12">
        <v>4100006</v>
      </c>
      <c r="B33" s="12" t="s">
        <v>361</v>
      </c>
      <c r="C33" s="12" t="s">
        <v>375</v>
      </c>
      <c r="D33" s="12" t="s">
        <v>985</v>
      </c>
      <c r="E33" s="12" t="b">
        <v>1</v>
      </c>
      <c r="F33" s="12">
        <v>1</v>
      </c>
      <c r="G33" s="12">
        <v>99</v>
      </c>
      <c r="H33" s="12"/>
      <c r="I33" s="12"/>
      <c r="J33" s="12">
        <v>1</v>
      </c>
      <c r="K33" s="12" t="s">
        <v>369</v>
      </c>
      <c r="L33" s="12" t="s">
        <v>751</v>
      </c>
      <c r="N33" s="30">
        <v>16</v>
      </c>
    </row>
    <row r="34" spans="1:14" ht="16.5" x14ac:dyDescent="0.2">
      <c r="A34" s="12">
        <v>4100007</v>
      </c>
      <c r="B34" s="12" t="s">
        <v>377</v>
      </c>
      <c r="C34" s="12" t="s">
        <v>378</v>
      </c>
      <c r="D34" s="12" t="s">
        <v>986</v>
      </c>
      <c r="E34" s="12" t="b">
        <v>1</v>
      </c>
      <c r="F34" s="12">
        <v>5</v>
      </c>
      <c r="G34" s="12">
        <v>99</v>
      </c>
      <c r="H34" s="12"/>
      <c r="I34" s="12"/>
      <c r="J34" s="12">
        <v>1</v>
      </c>
      <c r="K34" s="12" t="s">
        <v>381</v>
      </c>
      <c r="L34" s="12" t="s">
        <v>752</v>
      </c>
      <c r="N34" s="30">
        <v>17</v>
      </c>
    </row>
    <row r="35" spans="1:14" ht="16.5" x14ac:dyDescent="0.2">
      <c r="A35" s="12">
        <v>4100008</v>
      </c>
      <c r="B35" s="12" t="s">
        <v>376</v>
      </c>
      <c r="C35" s="12" t="s">
        <v>383</v>
      </c>
      <c r="D35" s="12" t="s">
        <v>987</v>
      </c>
      <c r="E35" s="12" t="b">
        <v>1</v>
      </c>
      <c r="F35" s="12">
        <v>5</v>
      </c>
      <c r="G35" s="12">
        <v>99</v>
      </c>
      <c r="H35" s="12"/>
      <c r="I35" s="12"/>
      <c r="J35" s="12">
        <v>1</v>
      </c>
      <c r="K35" s="12" t="s">
        <v>363</v>
      </c>
      <c r="L35" s="12" t="s">
        <v>753</v>
      </c>
      <c r="N35" s="30">
        <v>18</v>
      </c>
    </row>
    <row r="36" spans="1:14" ht="16.5" x14ac:dyDescent="0.2">
      <c r="A36" s="12">
        <v>4100009</v>
      </c>
      <c r="B36" s="12" t="s">
        <v>384</v>
      </c>
      <c r="C36" s="12" t="s">
        <v>380</v>
      </c>
      <c r="D36" s="12" t="s">
        <v>988</v>
      </c>
      <c r="E36" s="12" t="b">
        <v>1</v>
      </c>
      <c r="F36" s="12">
        <v>1</v>
      </c>
      <c r="G36" s="12">
        <v>99</v>
      </c>
      <c r="H36" s="12"/>
      <c r="I36" s="12"/>
      <c r="J36" s="12">
        <v>1</v>
      </c>
      <c r="K36" s="12" t="s">
        <v>362</v>
      </c>
      <c r="L36" s="12" t="s">
        <v>754</v>
      </c>
      <c r="N36" s="30">
        <v>19</v>
      </c>
    </row>
    <row r="37" spans="1:14" ht="16.5" x14ac:dyDescent="0.2">
      <c r="A37" s="12">
        <v>4100010</v>
      </c>
      <c r="B37" s="12" t="s">
        <v>386</v>
      </c>
      <c r="C37" s="12" t="s">
        <v>387</v>
      </c>
      <c r="D37" s="12" t="s">
        <v>989</v>
      </c>
      <c r="E37" s="12" t="b">
        <v>1</v>
      </c>
      <c r="F37" s="12">
        <v>10</v>
      </c>
      <c r="G37" s="12">
        <v>5</v>
      </c>
      <c r="H37" s="12"/>
      <c r="I37" s="12"/>
      <c r="J37" s="12">
        <v>1</v>
      </c>
      <c r="K37" s="12" t="s">
        <v>385</v>
      </c>
      <c r="L37" s="12" t="s">
        <v>755</v>
      </c>
      <c r="N37" s="30">
        <v>20</v>
      </c>
    </row>
    <row r="38" spans="1:14" ht="16.5" x14ac:dyDescent="0.2">
      <c r="A38" s="12">
        <v>4100011</v>
      </c>
      <c r="B38" s="12" t="s">
        <v>386</v>
      </c>
      <c r="C38" s="12" t="s">
        <v>388</v>
      </c>
      <c r="D38" s="12" t="s">
        <v>990</v>
      </c>
      <c r="E38" s="12" t="b">
        <v>1</v>
      </c>
      <c r="F38" s="12">
        <v>10</v>
      </c>
      <c r="G38" s="12">
        <v>4</v>
      </c>
      <c r="H38" s="12"/>
      <c r="I38" s="12"/>
      <c r="J38" s="12">
        <v>1</v>
      </c>
      <c r="K38" s="12" t="s">
        <v>385</v>
      </c>
      <c r="L38" s="12" t="s">
        <v>756</v>
      </c>
      <c r="N38" s="30">
        <v>21</v>
      </c>
    </row>
    <row r="39" spans="1:14" ht="16.5" x14ac:dyDescent="0.2">
      <c r="A39" s="12">
        <v>4100012</v>
      </c>
      <c r="B39" s="12" t="s">
        <v>386</v>
      </c>
      <c r="C39" s="12" t="s">
        <v>389</v>
      </c>
      <c r="D39" s="12" t="s">
        <v>991</v>
      </c>
      <c r="E39" s="12" t="b">
        <v>1</v>
      </c>
      <c r="F39" s="12">
        <v>10</v>
      </c>
      <c r="G39" s="12">
        <v>3</v>
      </c>
      <c r="H39" s="12"/>
      <c r="I39" s="12"/>
      <c r="J39" s="12">
        <v>1</v>
      </c>
      <c r="K39" s="12" t="s">
        <v>385</v>
      </c>
      <c r="L39" s="12" t="s">
        <v>757</v>
      </c>
      <c r="N39" s="30">
        <v>22</v>
      </c>
    </row>
    <row r="40" spans="1:14" ht="16.5" x14ac:dyDescent="0.2">
      <c r="A40" s="12">
        <v>4100013</v>
      </c>
      <c r="B40" s="12" t="s">
        <v>386</v>
      </c>
      <c r="C40" s="12" t="s">
        <v>390</v>
      </c>
      <c r="D40" s="12" t="s">
        <v>992</v>
      </c>
      <c r="E40" s="12" t="b">
        <v>1</v>
      </c>
      <c r="F40" s="12">
        <v>10</v>
      </c>
      <c r="G40" s="12">
        <v>2</v>
      </c>
      <c r="H40" s="12"/>
      <c r="I40" s="12"/>
      <c r="J40" s="12">
        <v>1</v>
      </c>
      <c r="K40" s="12" t="s">
        <v>385</v>
      </c>
      <c r="L40" s="12" t="s">
        <v>758</v>
      </c>
      <c r="N40" s="30">
        <v>23</v>
      </c>
    </row>
    <row r="41" spans="1:14" ht="16.5" x14ac:dyDescent="0.2">
      <c r="A41" s="12">
        <v>4100014</v>
      </c>
      <c r="B41" s="12" t="s">
        <v>396</v>
      </c>
      <c r="C41" s="12" t="s">
        <v>397</v>
      </c>
      <c r="D41" s="12" t="s">
        <v>993</v>
      </c>
      <c r="E41" s="12" t="b">
        <v>1</v>
      </c>
      <c r="F41" s="12">
        <v>1</v>
      </c>
      <c r="G41" s="12">
        <v>99</v>
      </c>
      <c r="H41" s="12"/>
      <c r="I41" s="12"/>
      <c r="J41" s="12">
        <v>1</v>
      </c>
      <c r="K41" s="12" t="s">
        <v>400</v>
      </c>
      <c r="L41" s="12"/>
      <c r="N41" s="30">
        <v>24</v>
      </c>
    </row>
    <row r="42" spans="1:14" ht="16.5" x14ac:dyDescent="0.2">
      <c r="A42" s="12">
        <v>4100015</v>
      </c>
      <c r="B42" s="12" t="s">
        <v>401</v>
      </c>
      <c r="C42" s="12" t="s">
        <v>402</v>
      </c>
      <c r="D42" s="12" t="s">
        <v>994</v>
      </c>
      <c r="E42" s="12" t="b">
        <v>1</v>
      </c>
      <c r="F42" s="12">
        <v>10</v>
      </c>
      <c r="G42" s="12">
        <v>99</v>
      </c>
      <c r="H42" s="12"/>
      <c r="I42" s="12"/>
      <c r="J42" s="12">
        <v>1</v>
      </c>
      <c r="K42" s="12" t="s">
        <v>443</v>
      </c>
      <c r="L42" s="12" t="s">
        <v>759</v>
      </c>
      <c r="N42" s="30">
        <v>25</v>
      </c>
    </row>
    <row r="43" spans="1:14" ht="16.5" x14ac:dyDescent="0.2">
      <c r="A43" s="12">
        <v>4100016</v>
      </c>
      <c r="B43" s="12" t="s">
        <v>405</v>
      </c>
      <c r="C43" s="12" t="s">
        <v>406</v>
      </c>
      <c r="D43" s="12" t="s">
        <v>995</v>
      </c>
      <c r="E43" s="12" t="b">
        <v>1</v>
      </c>
      <c r="F43" s="12">
        <v>10</v>
      </c>
      <c r="G43" s="12">
        <v>5</v>
      </c>
      <c r="H43" s="12"/>
      <c r="I43" s="12"/>
      <c r="J43" s="12">
        <v>1</v>
      </c>
      <c r="K43" s="12" t="s">
        <v>411</v>
      </c>
      <c r="L43" s="12" t="s">
        <v>760</v>
      </c>
      <c r="N43" s="30">
        <v>26</v>
      </c>
    </row>
    <row r="44" spans="1:14" ht="16.5" x14ac:dyDescent="0.2">
      <c r="A44" s="12">
        <v>4100017</v>
      </c>
      <c r="B44" s="12" t="s">
        <v>405</v>
      </c>
      <c r="C44" s="12" t="s">
        <v>407</v>
      </c>
      <c r="D44" s="12" t="s">
        <v>996</v>
      </c>
      <c r="E44" s="12" t="b">
        <v>1</v>
      </c>
      <c r="F44" s="12">
        <v>10</v>
      </c>
      <c r="G44" s="12">
        <v>4</v>
      </c>
      <c r="H44" s="12"/>
      <c r="I44" s="12"/>
      <c r="J44" s="12">
        <v>1</v>
      </c>
      <c r="K44" s="12" t="s">
        <v>411</v>
      </c>
      <c r="L44" s="12" t="s">
        <v>761</v>
      </c>
      <c r="N44" s="30">
        <v>27</v>
      </c>
    </row>
    <row r="45" spans="1:14" ht="16.5" x14ac:dyDescent="0.2">
      <c r="A45" s="12">
        <v>4100018</v>
      </c>
      <c r="B45" s="12" t="s">
        <v>405</v>
      </c>
      <c r="C45" s="12" t="s">
        <v>408</v>
      </c>
      <c r="D45" s="12" t="s">
        <v>997</v>
      </c>
      <c r="E45" s="12" t="b">
        <v>1</v>
      </c>
      <c r="F45" s="12">
        <v>10</v>
      </c>
      <c r="G45" s="12">
        <v>3</v>
      </c>
      <c r="H45" s="12"/>
      <c r="I45" s="12"/>
      <c r="J45" s="12">
        <v>1</v>
      </c>
      <c r="K45" s="12" t="s">
        <v>411</v>
      </c>
      <c r="L45" s="12" t="s">
        <v>762</v>
      </c>
      <c r="N45" s="30">
        <v>28</v>
      </c>
    </row>
    <row r="46" spans="1:14" ht="16.5" x14ac:dyDescent="0.2">
      <c r="A46" s="12">
        <v>4100019</v>
      </c>
      <c r="B46" s="12" t="s">
        <v>405</v>
      </c>
      <c r="C46" s="12" t="s">
        <v>409</v>
      </c>
      <c r="D46" s="12" t="s">
        <v>998</v>
      </c>
      <c r="E46" s="12" t="b">
        <v>1</v>
      </c>
      <c r="F46" s="12">
        <v>10</v>
      </c>
      <c r="G46" s="12">
        <v>2</v>
      </c>
      <c r="H46" s="12"/>
      <c r="I46" s="12"/>
      <c r="J46" s="12">
        <v>1</v>
      </c>
      <c r="K46" s="12" t="s">
        <v>411</v>
      </c>
      <c r="L46" s="12" t="s">
        <v>763</v>
      </c>
      <c r="N46" s="30">
        <v>29</v>
      </c>
    </row>
    <row r="47" spans="1:14" ht="16.5" x14ac:dyDescent="0.2">
      <c r="A47" s="12">
        <v>4100020</v>
      </c>
      <c r="B47" s="12" t="s">
        <v>414</v>
      </c>
      <c r="C47" s="12" t="s">
        <v>415</v>
      </c>
      <c r="D47" s="12" t="s">
        <v>999</v>
      </c>
      <c r="E47" s="12" t="b">
        <v>1</v>
      </c>
      <c r="F47" s="12">
        <v>10</v>
      </c>
      <c r="G47" s="12">
        <v>5</v>
      </c>
      <c r="H47" s="12"/>
      <c r="I47" s="12"/>
      <c r="J47" s="12">
        <v>1</v>
      </c>
      <c r="K47" s="12" t="s">
        <v>411</v>
      </c>
      <c r="L47" s="12" t="s">
        <v>764</v>
      </c>
      <c r="N47" s="30">
        <v>30</v>
      </c>
    </row>
    <row r="48" spans="1:14" ht="16.5" x14ac:dyDescent="0.2">
      <c r="A48" s="12">
        <v>4100021</v>
      </c>
      <c r="B48" s="12" t="s">
        <v>428</v>
      </c>
      <c r="C48" s="12" t="s">
        <v>429</v>
      </c>
      <c r="D48" s="12" t="s">
        <v>1000</v>
      </c>
      <c r="E48" s="12" t="b">
        <v>1</v>
      </c>
      <c r="F48" s="12">
        <v>10</v>
      </c>
      <c r="G48" s="12">
        <v>99</v>
      </c>
      <c r="H48" s="12"/>
      <c r="I48" s="12"/>
      <c r="J48" s="12">
        <v>1</v>
      </c>
      <c r="K48" s="12" t="s">
        <v>427</v>
      </c>
      <c r="L48" s="12" t="s">
        <v>765</v>
      </c>
      <c r="N48" s="30">
        <v>31</v>
      </c>
    </row>
    <row r="49" spans="1:14" ht="16.5" x14ac:dyDescent="0.2">
      <c r="A49" s="12">
        <v>4100022</v>
      </c>
      <c r="B49" s="12" t="s">
        <v>428</v>
      </c>
      <c r="C49" s="12" t="s">
        <v>430</v>
      </c>
      <c r="D49" s="12" t="s">
        <v>1001</v>
      </c>
      <c r="E49" s="12" t="b">
        <v>1</v>
      </c>
      <c r="F49" s="12">
        <v>10</v>
      </c>
      <c r="G49" s="12">
        <v>99</v>
      </c>
      <c r="H49" s="12"/>
      <c r="I49" s="12"/>
      <c r="J49" s="12">
        <v>1</v>
      </c>
      <c r="K49" s="12" t="s">
        <v>427</v>
      </c>
      <c r="L49" s="12" t="s">
        <v>766</v>
      </c>
      <c r="N49" s="30">
        <v>32</v>
      </c>
    </row>
    <row r="50" spans="1:14" ht="16.5" x14ac:dyDescent="0.2">
      <c r="A50" s="12">
        <v>4100023</v>
      </c>
      <c r="B50" s="12" t="s">
        <v>431</v>
      </c>
      <c r="C50" s="12" t="s">
        <v>450</v>
      </c>
      <c r="D50" s="12" t="s">
        <v>1002</v>
      </c>
      <c r="E50" s="12" t="b">
        <v>1</v>
      </c>
      <c r="F50" s="12">
        <v>10</v>
      </c>
      <c r="G50" s="12">
        <v>99</v>
      </c>
      <c r="H50" s="12"/>
      <c r="I50" s="12"/>
      <c r="J50" s="12">
        <v>1</v>
      </c>
      <c r="K50" s="12" t="s">
        <v>436</v>
      </c>
      <c r="L50" s="12" t="s">
        <v>767</v>
      </c>
      <c r="N50" s="30">
        <v>33</v>
      </c>
    </row>
    <row r="51" spans="1:14" ht="16.5" x14ac:dyDescent="0.2">
      <c r="A51" s="12">
        <v>4100024</v>
      </c>
      <c r="B51" s="12" t="s">
        <v>431</v>
      </c>
      <c r="C51" s="12" t="s">
        <v>433</v>
      </c>
      <c r="D51" s="12" t="s">
        <v>1003</v>
      </c>
      <c r="E51" s="12" t="b">
        <v>1</v>
      </c>
      <c r="F51" s="12">
        <v>10</v>
      </c>
      <c r="G51" s="12">
        <v>99</v>
      </c>
      <c r="H51" s="12"/>
      <c r="I51" s="12"/>
      <c r="J51" s="12">
        <v>1</v>
      </c>
      <c r="K51" s="12" t="s">
        <v>436</v>
      </c>
      <c r="L51" s="12" t="s">
        <v>768</v>
      </c>
      <c r="N51" s="30">
        <v>34</v>
      </c>
    </row>
    <row r="52" spans="1:14" ht="16.5" x14ac:dyDescent="0.2">
      <c r="A52" s="12">
        <v>4100025</v>
      </c>
      <c r="B52" s="12" t="s">
        <v>431</v>
      </c>
      <c r="C52" s="12" t="s">
        <v>434</v>
      </c>
      <c r="D52" s="12" t="s">
        <v>1004</v>
      </c>
      <c r="E52" s="12" t="b">
        <v>1</v>
      </c>
      <c r="F52" s="12">
        <v>10</v>
      </c>
      <c r="G52" s="12">
        <v>99</v>
      </c>
      <c r="H52" s="12"/>
      <c r="I52" s="12"/>
      <c r="J52" s="12">
        <v>1</v>
      </c>
      <c r="K52" s="12" t="s">
        <v>436</v>
      </c>
      <c r="L52" s="12" t="s">
        <v>769</v>
      </c>
      <c r="N52" s="30">
        <v>35</v>
      </c>
    </row>
    <row r="53" spans="1:14" ht="16.5" x14ac:dyDescent="0.2">
      <c r="A53" s="12">
        <v>4100026</v>
      </c>
      <c r="B53" s="12" t="s">
        <v>431</v>
      </c>
      <c r="C53" s="12" t="s">
        <v>435</v>
      </c>
      <c r="D53" s="12" t="s">
        <v>1005</v>
      </c>
      <c r="E53" s="12" t="b">
        <v>1</v>
      </c>
      <c r="F53" s="12">
        <v>10</v>
      </c>
      <c r="G53" s="12">
        <v>99</v>
      </c>
      <c r="H53" s="12"/>
      <c r="I53" s="12"/>
      <c r="J53" s="12">
        <v>1</v>
      </c>
      <c r="K53" s="12" t="s">
        <v>436</v>
      </c>
      <c r="L53" s="12" t="s">
        <v>770</v>
      </c>
      <c r="N53" s="30">
        <v>36</v>
      </c>
    </row>
    <row r="54" spans="1:14" ht="16.5" x14ac:dyDescent="0.2">
      <c r="A54" s="12">
        <v>4100031</v>
      </c>
      <c r="B54" s="12" t="s">
        <v>481</v>
      </c>
      <c r="C54" s="12" t="s">
        <v>506</v>
      </c>
      <c r="D54" s="12" t="s">
        <v>1006</v>
      </c>
      <c r="E54" s="12" t="b">
        <v>1</v>
      </c>
      <c r="F54" s="12">
        <v>1</v>
      </c>
      <c r="G54" s="12">
        <v>99</v>
      </c>
      <c r="H54" s="12">
        <v>5</v>
      </c>
      <c r="I54" s="12"/>
      <c r="J54" s="12">
        <v>1</v>
      </c>
      <c r="K54" s="12" t="s">
        <v>480</v>
      </c>
      <c r="L54" s="12" t="s">
        <v>771</v>
      </c>
      <c r="N54" s="30">
        <v>37</v>
      </c>
    </row>
    <row r="55" spans="1:14" ht="16.5" x14ac:dyDescent="0.2">
      <c r="A55" s="12">
        <v>4100032</v>
      </c>
      <c r="B55" s="12" t="s">
        <v>481</v>
      </c>
      <c r="C55" s="12" t="s">
        <v>507</v>
      </c>
      <c r="D55" s="12" t="s">
        <v>1007</v>
      </c>
      <c r="E55" s="12" t="b">
        <v>1</v>
      </c>
      <c r="F55" s="12">
        <v>1</v>
      </c>
      <c r="G55" s="12">
        <v>99</v>
      </c>
      <c r="H55" s="12">
        <v>4</v>
      </c>
      <c r="I55" s="12"/>
      <c r="J55" s="12">
        <v>1</v>
      </c>
      <c r="K55" s="12" t="s">
        <v>480</v>
      </c>
      <c r="L55" s="12" t="s">
        <v>772</v>
      </c>
      <c r="N55" s="30">
        <v>38</v>
      </c>
    </row>
    <row r="56" spans="1:14" ht="16.5" x14ac:dyDescent="0.2">
      <c r="A56" s="12">
        <v>4100033</v>
      </c>
      <c r="B56" s="12" t="s">
        <v>481</v>
      </c>
      <c r="C56" s="12" t="s">
        <v>508</v>
      </c>
      <c r="D56" s="12" t="s">
        <v>1008</v>
      </c>
      <c r="E56" s="12" t="b">
        <v>1</v>
      </c>
      <c r="F56" s="12">
        <v>1</v>
      </c>
      <c r="G56" s="12">
        <v>99</v>
      </c>
      <c r="H56" s="12">
        <v>3</v>
      </c>
      <c r="I56" s="12"/>
      <c r="J56" s="12">
        <v>1</v>
      </c>
      <c r="K56" s="12" t="s">
        <v>480</v>
      </c>
      <c r="L56" s="12" t="s">
        <v>773</v>
      </c>
      <c r="N56" s="30">
        <v>39</v>
      </c>
    </row>
    <row r="57" spans="1:14" ht="16.5" x14ac:dyDescent="0.2">
      <c r="A57" s="12">
        <v>4100034</v>
      </c>
      <c r="B57" s="12" t="s">
        <v>481</v>
      </c>
      <c r="C57" s="12" t="s">
        <v>509</v>
      </c>
      <c r="D57" s="12" t="s">
        <v>1009</v>
      </c>
      <c r="E57" s="12" t="b">
        <v>1</v>
      </c>
      <c r="F57" s="12">
        <v>1</v>
      </c>
      <c r="G57" s="12">
        <v>99</v>
      </c>
      <c r="H57" s="12">
        <v>2</v>
      </c>
      <c r="I57" s="12"/>
      <c r="J57" s="12">
        <v>1</v>
      </c>
      <c r="K57" s="12" t="s">
        <v>480</v>
      </c>
      <c r="L57" s="12" t="s">
        <v>774</v>
      </c>
      <c r="N57" s="30">
        <v>40</v>
      </c>
    </row>
    <row r="58" spans="1:14" ht="16.5" x14ac:dyDescent="0.2">
      <c r="A58" s="12">
        <v>4100035</v>
      </c>
      <c r="B58" s="12" t="s">
        <v>493</v>
      </c>
      <c r="C58" s="12" t="s">
        <v>499</v>
      </c>
      <c r="D58" s="12" t="s">
        <v>1010</v>
      </c>
      <c r="E58" s="12" t="b">
        <v>1</v>
      </c>
      <c r="F58" s="12">
        <v>1</v>
      </c>
      <c r="G58" s="12">
        <v>99</v>
      </c>
      <c r="H58" s="12"/>
      <c r="I58" s="12"/>
      <c r="J58" s="12">
        <v>1</v>
      </c>
      <c r="K58" s="12" t="s">
        <v>495</v>
      </c>
      <c r="L58" s="12" t="s">
        <v>775</v>
      </c>
      <c r="N58" s="30">
        <v>41</v>
      </c>
    </row>
    <row r="59" spans="1:14" ht="16.5" x14ac:dyDescent="0.2">
      <c r="A59" s="12">
        <v>4100036</v>
      </c>
      <c r="B59" s="12" t="s">
        <v>493</v>
      </c>
      <c r="C59" s="12" t="s">
        <v>500</v>
      </c>
      <c r="D59" s="12" t="s">
        <v>1011</v>
      </c>
      <c r="E59" s="12" t="b">
        <v>1</v>
      </c>
      <c r="F59" s="12">
        <v>1</v>
      </c>
      <c r="G59" s="12">
        <v>99</v>
      </c>
      <c r="H59" s="12"/>
      <c r="I59" s="12"/>
      <c r="J59" s="12">
        <v>1</v>
      </c>
      <c r="K59" s="12" t="s">
        <v>495</v>
      </c>
      <c r="L59" s="12" t="s">
        <v>776</v>
      </c>
      <c r="N59" s="30">
        <v>42</v>
      </c>
    </row>
    <row r="60" spans="1:14" ht="16.5" x14ac:dyDescent="0.2">
      <c r="A60" s="12">
        <v>4100037</v>
      </c>
      <c r="B60" s="12" t="s">
        <v>493</v>
      </c>
      <c r="C60" s="12" t="s">
        <v>501</v>
      </c>
      <c r="D60" s="12" t="s">
        <v>1012</v>
      </c>
      <c r="E60" s="12" t="b">
        <v>1</v>
      </c>
      <c r="F60" s="12">
        <v>1</v>
      </c>
      <c r="G60" s="12">
        <v>99</v>
      </c>
      <c r="H60" s="12"/>
      <c r="I60" s="12"/>
      <c r="J60" s="12">
        <v>1</v>
      </c>
      <c r="K60" s="12" t="s">
        <v>495</v>
      </c>
      <c r="L60" s="12" t="s">
        <v>777</v>
      </c>
      <c r="N60" s="30">
        <v>43</v>
      </c>
    </row>
    <row r="61" spans="1:14" ht="16.5" x14ac:dyDescent="0.2">
      <c r="A61" s="12">
        <v>4100038</v>
      </c>
      <c r="B61" s="12" t="s">
        <v>493</v>
      </c>
      <c r="C61" s="12" t="s">
        <v>494</v>
      </c>
      <c r="D61" s="12" t="s">
        <v>1013</v>
      </c>
      <c r="E61" s="12" t="b">
        <v>1</v>
      </c>
      <c r="F61" s="12">
        <v>1</v>
      </c>
      <c r="G61" s="12">
        <v>99</v>
      </c>
      <c r="H61" s="12"/>
      <c r="I61" s="12"/>
      <c r="J61" s="12">
        <v>1</v>
      </c>
      <c r="K61" s="12" t="s">
        <v>495</v>
      </c>
      <c r="L61" s="12" t="s">
        <v>778</v>
      </c>
      <c r="N61" s="30">
        <v>44</v>
      </c>
    </row>
    <row r="62" spans="1:14" ht="16.5" x14ac:dyDescent="0.2">
      <c r="A62" s="12">
        <v>4100044</v>
      </c>
      <c r="B62" s="12" t="s">
        <v>522</v>
      </c>
      <c r="C62" s="12" t="s">
        <v>523</v>
      </c>
      <c r="D62" s="12" t="s">
        <v>1014</v>
      </c>
      <c r="E62" s="12" t="b">
        <v>1</v>
      </c>
      <c r="F62" s="12">
        <v>1</v>
      </c>
      <c r="G62" s="12">
        <v>99</v>
      </c>
      <c r="H62" s="12"/>
      <c r="I62" s="12"/>
      <c r="J62" s="12">
        <v>1</v>
      </c>
      <c r="K62" s="12" t="s">
        <v>520</v>
      </c>
      <c r="L62" s="12" t="s">
        <v>779</v>
      </c>
      <c r="N62" s="30">
        <v>45</v>
      </c>
    </row>
    <row r="63" spans="1:14" ht="16.5" x14ac:dyDescent="0.2">
      <c r="A63" s="12">
        <v>4100045</v>
      </c>
      <c r="B63" s="12" t="s">
        <v>522</v>
      </c>
      <c r="C63" s="12" t="s">
        <v>524</v>
      </c>
      <c r="D63" s="12" t="s">
        <v>1015</v>
      </c>
      <c r="E63" s="12" t="b">
        <v>1</v>
      </c>
      <c r="F63" s="12">
        <v>1</v>
      </c>
      <c r="G63" s="12">
        <v>99</v>
      </c>
      <c r="H63" s="12"/>
      <c r="I63" s="12"/>
      <c r="J63" s="12">
        <v>1</v>
      </c>
      <c r="K63" s="12" t="s">
        <v>520</v>
      </c>
      <c r="L63" s="12" t="s">
        <v>780</v>
      </c>
      <c r="N63" s="30">
        <v>46</v>
      </c>
    </row>
    <row r="64" spans="1:14" ht="16.5" x14ac:dyDescent="0.2">
      <c r="A64" s="12">
        <v>4100046</v>
      </c>
      <c r="B64" s="12" t="s">
        <v>522</v>
      </c>
      <c r="C64" s="12" t="s">
        <v>525</v>
      </c>
      <c r="D64" s="12" t="s">
        <v>1016</v>
      </c>
      <c r="E64" s="12" t="b">
        <v>1</v>
      </c>
      <c r="F64" s="12">
        <v>1</v>
      </c>
      <c r="G64" s="12">
        <v>99</v>
      </c>
      <c r="H64" s="12"/>
      <c r="I64" s="12"/>
      <c r="J64" s="12">
        <v>1</v>
      </c>
      <c r="K64" s="12" t="s">
        <v>520</v>
      </c>
      <c r="L64" s="12" t="s">
        <v>781</v>
      </c>
      <c r="N64" s="30">
        <v>47</v>
      </c>
    </row>
    <row r="65" spans="1:14" ht="16.5" x14ac:dyDescent="0.2">
      <c r="A65" s="12">
        <v>4100047</v>
      </c>
      <c r="B65" s="12" t="s">
        <v>522</v>
      </c>
      <c r="C65" s="12" t="s">
        <v>526</v>
      </c>
      <c r="D65" s="12" t="s">
        <v>1017</v>
      </c>
      <c r="E65" s="12" t="b">
        <v>1</v>
      </c>
      <c r="F65" s="12">
        <v>1</v>
      </c>
      <c r="G65" s="12">
        <v>99</v>
      </c>
      <c r="H65" s="12"/>
      <c r="I65" s="12"/>
      <c r="J65" s="12">
        <v>1</v>
      </c>
      <c r="K65" s="12" t="s">
        <v>520</v>
      </c>
      <c r="L65" s="12" t="s">
        <v>782</v>
      </c>
      <c r="N65" s="30">
        <v>48</v>
      </c>
    </row>
    <row r="66" spans="1:14" ht="16.5" x14ac:dyDescent="0.2">
      <c r="A66" s="12">
        <v>4100048</v>
      </c>
      <c r="B66" s="12" t="s">
        <v>530</v>
      </c>
      <c r="C66" s="12" t="s">
        <v>531</v>
      </c>
      <c r="D66" s="12" t="s">
        <v>1018</v>
      </c>
      <c r="E66" s="12" t="b">
        <v>1</v>
      </c>
      <c r="F66" s="12">
        <v>1</v>
      </c>
      <c r="G66" s="12">
        <v>99</v>
      </c>
      <c r="H66" s="12"/>
      <c r="I66" s="12"/>
      <c r="J66" s="12">
        <v>1</v>
      </c>
      <c r="K66" s="12" t="s">
        <v>535</v>
      </c>
      <c r="L66" s="12" t="s">
        <v>783</v>
      </c>
      <c r="N66" s="30">
        <v>49</v>
      </c>
    </row>
    <row r="67" spans="1:14" ht="16.5" x14ac:dyDescent="0.2">
      <c r="A67" s="12">
        <v>4100049</v>
      </c>
      <c r="B67" s="12" t="s">
        <v>530</v>
      </c>
      <c r="C67" s="12" t="s">
        <v>532</v>
      </c>
      <c r="D67" s="12" t="s">
        <v>1019</v>
      </c>
      <c r="E67" s="12" t="b">
        <v>1</v>
      </c>
      <c r="F67" s="12">
        <v>1</v>
      </c>
      <c r="G67" s="12">
        <v>99</v>
      </c>
      <c r="H67" s="12"/>
      <c r="I67" s="12"/>
      <c r="J67" s="12">
        <v>1</v>
      </c>
      <c r="K67" s="12" t="s">
        <v>535</v>
      </c>
      <c r="L67" s="12" t="s">
        <v>784</v>
      </c>
      <c r="N67" s="30">
        <v>50</v>
      </c>
    </row>
    <row r="68" spans="1:14" ht="16.5" x14ac:dyDescent="0.2">
      <c r="A68" s="12">
        <v>4100050</v>
      </c>
      <c r="B68" s="12" t="s">
        <v>530</v>
      </c>
      <c r="C68" s="12" t="s">
        <v>533</v>
      </c>
      <c r="D68" s="12" t="s">
        <v>1020</v>
      </c>
      <c r="E68" s="12" t="b">
        <v>1</v>
      </c>
      <c r="F68" s="12">
        <v>1</v>
      </c>
      <c r="G68" s="12">
        <v>99</v>
      </c>
      <c r="H68" s="12"/>
      <c r="I68" s="12"/>
      <c r="J68" s="12">
        <v>1</v>
      </c>
      <c r="K68" s="12" t="s">
        <v>535</v>
      </c>
      <c r="L68" s="12" t="s">
        <v>785</v>
      </c>
      <c r="N68" s="30">
        <v>51</v>
      </c>
    </row>
    <row r="69" spans="1:14" ht="16.5" x14ac:dyDescent="0.2">
      <c r="A69" s="12">
        <v>4100051</v>
      </c>
      <c r="B69" s="12" t="s">
        <v>530</v>
      </c>
      <c r="C69" s="12" t="s">
        <v>534</v>
      </c>
      <c r="D69" s="12" t="s">
        <v>1021</v>
      </c>
      <c r="E69" s="12" t="b">
        <v>1</v>
      </c>
      <c r="F69" s="12">
        <v>1</v>
      </c>
      <c r="G69" s="12">
        <v>99</v>
      </c>
      <c r="H69" s="12"/>
      <c r="I69" s="12"/>
      <c r="J69" s="12">
        <v>1</v>
      </c>
      <c r="K69" s="12" t="s">
        <v>535</v>
      </c>
      <c r="L69" s="12" t="s">
        <v>786</v>
      </c>
      <c r="N69" s="30">
        <v>52</v>
      </c>
    </row>
    <row r="70" spans="1:14" ht="16.5" x14ac:dyDescent="0.2">
      <c r="A70" s="12">
        <v>4100052</v>
      </c>
      <c r="B70" s="12" t="s">
        <v>538</v>
      </c>
      <c r="C70" s="12" t="s">
        <v>539</v>
      </c>
      <c r="D70" s="12" t="s">
        <v>1022</v>
      </c>
      <c r="E70" s="12" t="b">
        <v>1</v>
      </c>
      <c r="F70" s="12">
        <v>1</v>
      </c>
      <c r="G70" s="12">
        <v>1</v>
      </c>
      <c r="H70" s="12"/>
      <c r="I70" s="12"/>
      <c r="J70" s="12">
        <v>1</v>
      </c>
      <c r="K70" s="12" t="s">
        <v>537</v>
      </c>
      <c r="L70" s="12" t="s">
        <v>787</v>
      </c>
      <c r="N70" s="30">
        <v>53</v>
      </c>
    </row>
    <row r="71" spans="1:14" ht="16.5" x14ac:dyDescent="0.2">
      <c r="A71" s="12">
        <v>4100053</v>
      </c>
      <c r="B71" s="12" t="s">
        <v>538</v>
      </c>
      <c r="C71" s="12" t="s">
        <v>540</v>
      </c>
      <c r="D71" s="12" t="s">
        <v>1023</v>
      </c>
      <c r="E71" s="12" t="b">
        <v>1</v>
      </c>
      <c r="F71" s="12">
        <v>1</v>
      </c>
      <c r="G71" s="12">
        <v>1</v>
      </c>
      <c r="H71" s="12"/>
      <c r="I71" s="12"/>
      <c r="J71" s="12">
        <v>1</v>
      </c>
      <c r="K71" s="12" t="s">
        <v>537</v>
      </c>
      <c r="L71" s="12" t="s">
        <v>788</v>
      </c>
      <c r="N71" s="30">
        <v>54</v>
      </c>
    </row>
    <row r="72" spans="1:14" ht="16.5" x14ac:dyDescent="0.2">
      <c r="A72" s="12">
        <v>4100054</v>
      </c>
      <c r="B72" s="12" t="s">
        <v>538</v>
      </c>
      <c r="C72" s="12" t="s">
        <v>541</v>
      </c>
      <c r="D72" s="12" t="s">
        <v>1024</v>
      </c>
      <c r="E72" s="12" t="b">
        <v>1</v>
      </c>
      <c r="F72" s="12">
        <v>1</v>
      </c>
      <c r="G72" s="12">
        <v>1</v>
      </c>
      <c r="H72" s="12"/>
      <c r="I72" s="12"/>
      <c r="J72" s="12">
        <v>1</v>
      </c>
      <c r="K72" s="12" t="s">
        <v>537</v>
      </c>
      <c r="L72" s="12" t="s">
        <v>789</v>
      </c>
      <c r="N72" s="30">
        <v>55</v>
      </c>
    </row>
    <row r="73" spans="1:14" ht="16.5" x14ac:dyDescent="0.2">
      <c r="A73" s="12">
        <v>4100055</v>
      </c>
      <c r="B73" s="12" t="s">
        <v>538</v>
      </c>
      <c r="C73" s="12" t="s">
        <v>542</v>
      </c>
      <c r="D73" s="12" t="s">
        <v>1025</v>
      </c>
      <c r="E73" s="12" t="b">
        <v>1</v>
      </c>
      <c r="F73" s="12">
        <v>1</v>
      </c>
      <c r="G73" s="12">
        <v>1</v>
      </c>
      <c r="H73" s="12"/>
      <c r="I73" s="12"/>
      <c r="J73" s="12">
        <v>1</v>
      </c>
      <c r="K73" s="12" t="s">
        <v>537</v>
      </c>
      <c r="L73" s="12" t="s">
        <v>790</v>
      </c>
      <c r="N73" s="30">
        <v>56</v>
      </c>
    </row>
  </sheetData>
  <phoneticPr fontId="1" type="noConversion"/>
  <conditionalFormatting sqref="A3:L3">
    <cfRule type="duplicateValues" dxfId="20" priority="3"/>
  </conditionalFormatting>
  <conditionalFormatting sqref="A4:A73">
    <cfRule type="duplicateValues" dxfId="19" priority="1"/>
  </conditionalFormatting>
  <dataValidations count="2">
    <dataValidation type="list" allowBlank="1" showInputMessage="1" showErrorMessage="1" sqref="M5:M7">
      <formula1>StateEffect</formula1>
    </dataValidation>
    <dataValidation type="list" allowBlank="1" showInputMessage="1" showErrorMessage="1" sqref="E4:E73">
      <formula1>"TRUE,FALSE"</formula1>
    </dataValidation>
  </dataValidations>
  <hyperlinks>
    <hyperlink ref="K2" location="StateEffect" display="StateEffect"/>
    <hyperlink ref="K3" location="StateEffect" display="StateEffect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24"/>
  <sheetViews>
    <sheetView showGridLines="0" zoomScale="145" zoomScaleNormal="145" zoomScalePageLayoutView="145" workbookViewId="0">
      <selection activeCell="D22" sqref="D22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7" width="25.75" style="7" bestFit="1" customWidth="1"/>
    <col min="8" max="8" width="29.25" style="7" customWidth="1"/>
    <col min="9" max="10" width="8.75" style="7"/>
    <col min="12" max="12" width="8.75" style="7"/>
    <col min="13" max="13" width="7.375" style="7" customWidth="1"/>
    <col min="14" max="14" width="20.125" style="7" bestFit="1" customWidth="1"/>
    <col min="15" max="15" width="14.875" style="7" customWidth="1"/>
    <col min="16" max="16" width="17.375" style="7" bestFit="1" customWidth="1"/>
    <col min="17" max="17" width="8.75" style="7"/>
    <col min="18" max="18" width="14.125" style="7" bestFit="1" customWidth="1"/>
    <col min="19" max="19" width="8.75" style="7"/>
    <col min="20" max="20" width="21.375" style="7" bestFit="1" customWidth="1"/>
    <col min="21" max="16384" width="8.75" style="7"/>
  </cols>
  <sheetData>
    <row r="1" spans="1:20" x14ac:dyDescent="0.2">
      <c r="A1" s="28" t="s">
        <v>555</v>
      </c>
      <c r="C1" s="28" t="s">
        <v>556</v>
      </c>
      <c r="E1" s="28" t="s">
        <v>555</v>
      </c>
      <c r="G1" s="28" t="s">
        <v>556</v>
      </c>
      <c r="I1" s="28" t="s">
        <v>557</v>
      </c>
      <c r="N1" s="28" t="s">
        <v>556</v>
      </c>
      <c r="P1" s="28" t="s">
        <v>555</v>
      </c>
      <c r="R1" s="28" t="s">
        <v>556</v>
      </c>
      <c r="T1" s="28" t="s">
        <v>555</v>
      </c>
    </row>
    <row r="2" spans="1:20" x14ac:dyDescent="0.2">
      <c r="A2" s="25" t="s">
        <v>1066</v>
      </c>
      <c r="C2" s="26" t="s">
        <v>1046</v>
      </c>
      <c r="E2" s="25" t="s">
        <v>1027</v>
      </c>
      <c r="F2" s="6"/>
      <c r="G2" s="26" t="s">
        <v>33</v>
      </c>
      <c r="I2" s="26" t="s">
        <v>17</v>
      </c>
      <c r="N2" s="26" t="s">
        <v>371</v>
      </c>
      <c r="P2" s="26" t="s">
        <v>48</v>
      </c>
      <c r="R2" s="26" t="s">
        <v>367</v>
      </c>
      <c r="T2" s="26" t="s">
        <v>594</v>
      </c>
    </row>
    <row r="3" spans="1:20" x14ac:dyDescent="0.2">
      <c r="A3" s="24" t="s">
        <v>1044</v>
      </c>
      <c r="C3" s="24" t="s">
        <v>475</v>
      </c>
      <c r="E3" s="24" t="s">
        <v>1045</v>
      </c>
      <c r="F3" s="6"/>
      <c r="G3" s="24" t="s">
        <v>548</v>
      </c>
      <c r="I3" s="24" t="s">
        <v>52</v>
      </c>
      <c r="N3" s="24" t="s">
        <v>332</v>
      </c>
      <c r="P3" s="24" t="s">
        <v>84</v>
      </c>
      <c r="R3" s="24" t="s">
        <v>45</v>
      </c>
      <c r="T3" s="24" t="s">
        <v>84</v>
      </c>
    </row>
    <row r="4" spans="1:20" x14ac:dyDescent="0.2">
      <c r="A4" s="24" t="s">
        <v>1073</v>
      </c>
      <c r="C4" s="24" t="s">
        <v>324</v>
      </c>
      <c r="E4" s="24" t="s">
        <v>1076</v>
      </c>
      <c r="F4" s="6"/>
      <c r="G4" s="24" t="s">
        <v>315</v>
      </c>
      <c r="I4" s="24" t="s">
        <v>53</v>
      </c>
      <c r="N4" s="24" t="s">
        <v>443</v>
      </c>
      <c r="P4" s="24" t="s">
        <v>49</v>
      </c>
      <c r="R4" s="24" t="s">
        <v>366</v>
      </c>
      <c r="T4" s="24" t="s">
        <v>593</v>
      </c>
    </row>
    <row r="5" spans="1:20" x14ac:dyDescent="0.2">
      <c r="A5" s="24" t="s">
        <v>1074</v>
      </c>
      <c r="C5" s="24" t="s">
        <v>1031</v>
      </c>
      <c r="E5" s="24" t="s">
        <v>1075</v>
      </c>
      <c r="F5" s="6"/>
      <c r="G5" s="24" t="s">
        <v>316</v>
      </c>
      <c r="N5" s="27" t="s">
        <v>329</v>
      </c>
      <c r="P5" s="24" t="s">
        <v>108</v>
      </c>
      <c r="R5" s="24" t="s">
        <v>44</v>
      </c>
      <c r="T5" s="24" t="s">
        <v>592</v>
      </c>
    </row>
    <row r="6" spans="1:20" x14ac:dyDescent="0.2">
      <c r="A6" s="24" t="s">
        <v>1040</v>
      </c>
      <c r="C6" s="24" t="s">
        <v>1032</v>
      </c>
      <c r="F6" s="6"/>
      <c r="G6" s="24" t="s">
        <v>317</v>
      </c>
      <c r="N6" s="24" t="s">
        <v>330</v>
      </c>
      <c r="P6" s="24" t="s">
        <v>86</v>
      </c>
      <c r="T6" s="24" t="s">
        <v>354</v>
      </c>
    </row>
    <row r="7" spans="1:20" x14ac:dyDescent="0.2">
      <c r="A7" s="24" t="s">
        <v>1042</v>
      </c>
      <c r="C7" s="24" t="s">
        <v>1033</v>
      </c>
      <c r="F7" s="6"/>
      <c r="G7" s="24" t="s">
        <v>318</v>
      </c>
      <c r="N7" s="24" t="s">
        <v>168</v>
      </c>
      <c r="P7" s="24" t="s">
        <v>468</v>
      </c>
      <c r="T7" s="24" t="s">
        <v>585</v>
      </c>
    </row>
    <row r="8" spans="1:20" x14ac:dyDescent="0.2">
      <c r="C8" s="24" t="s">
        <v>1034</v>
      </c>
      <c r="F8" s="6"/>
      <c r="G8" s="24" t="s">
        <v>319</v>
      </c>
      <c r="N8" s="24" t="s">
        <v>373</v>
      </c>
      <c r="P8" s="24" t="s">
        <v>443</v>
      </c>
      <c r="T8" s="24" t="s">
        <v>591</v>
      </c>
    </row>
    <row r="9" spans="1:20" x14ac:dyDescent="0.2">
      <c r="C9" s="24" t="s">
        <v>15</v>
      </c>
      <c r="F9" s="6"/>
      <c r="G9" s="24" t="s">
        <v>320</v>
      </c>
      <c r="N9" s="24" t="s">
        <v>374</v>
      </c>
      <c r="P9" s="24" t="s">
        <v>339</v>
      </c>
      <c r="T9" s="24" t="s">
        <v>590</v>
      </c>
    </row>
    <row r="10" spans="1:20" x14ac:dyDescent="0.2">
      <c r="C10" s="24" t="s">
        <v>32</v>
      </c>
      <c r="F10" s="6"/>
      <c r="N10" s="24" t="s">
        <v>552</v>
      </c>
      <c r="P10" s="24" t="s">
        <v>521</v>
      </c>
      <c r="T10" s="24" t="s">
        <v>46</v>
      </c>
    </row>
    <row r="11" spans="1:20" x14ac:dyDescent="0.2">
      <c r="C11" s="24" t="s">
        <v>1037</v>
      </c>
      <c r="F11" s="6"/>
      <c r="N11" s="24" t="s">
        <v>196</v>
      </c>
      <c r="P11" s="24" t="s">
        <v>338</v>
      </c>
      <c r="T11" s="24" t="s">
        <v>589</v>
      </c>
    </row>
    <row r="12" spans="1:20" x14ac:dyDescent="0.2">
      <c r="C12" s="24" t="s">
        <v>1065</v>
      </c>
      <c r="N12" s="24" t="s">
        <v>222</v>
      </c>
      <c r="P12" s="24" t="s">
        <v>536</v>
      </c>
      <c r="T12" s="24" t="s">
        <v>50</v>
      </c>
    </row>
    <row r="13" spans="1:20" x14ac:dyDescent="0.2">
      <c r="N13" s="24" t="s">
        <v>227</v>
      </c>
      <c r="P13" s="24" t="s">
        <v>363</v>
      </c>
      <c r="T13" s="24" t="s">
        <v>588</v>
      </c>
    </row>
    <row r="14" spans="1:20" x14ac:dyDescent="0.2">
      <c r="N14" s="24" t="s">
        <v>228</v>
      </c>
      <c r="P14" s="24" t="s">
        <v>399</v>
      </c>
      <c r="T14" s="24" t="s">
        <v>587</v>
      </c>
    </row>
    <row r="15" spans="1:20" ht="15" customHeight="1" x14ac:dyDescent="0.2">
      <c r="P15" s="24" t="s">
        <v>618</v>
      </c>
      <c r="T15" s="24" t="s">
        <v>148</v>
      </c>
    </row>
    <row r="16" spans="1:20" x14ac:dyDescent="0.2">
      <c r="P16" s="24" t="s">
        <v>410</v>
      </c>
      <c r="T16" s="24" t="s">
        <v>586</v>
      </c>
    </row>
    <row r="17" spans="16:16" x14ac:dyDescent="0.2">
      <c r="P17" s="24" t="s">
        <v>398</v>
      </c>
    </row>
    <row r="18" spans="16:16" x14ac:dyDescent="0.2">
      <c r="P18" s="24" t="s">
        <v>145</v>
      </c>
    </row>
    <row r="19" spans="16:16" x14ac:dyDescent="0.2">
      <c r="P19" s="24" t="s">
        <v>172</v>
      </c>
    </row>
    <row r="20" spans="16:16" x14ac:dyDescent="0.2">
      <c r="P20" s="24" t="s">
        <v>617</v>
      </c>
    </row>
    <row r="21" spans="16:16" x14ac:dyDescent="0.2">
      <c r="P21" s="24" t="s">
        <v>426</v>
      </c>
    </row>
    <row r="22" spans="16:16" x14ac:dyDescent="0.2">
      <c r="P22" s="24" t="s">
        <v>436</v>
      </c>
    </row>
    <row r="23" spans="16:16" x14ac:dyDescent="0.2">
      <c r="P23" s="24" t="s">
        <v>201</v>
      </c>
    </row>
    <row r="24" spans="16:16" x14ac:dyDescent="0.2">
      <c r="P24" s="24" t="s">
        <v>616</v>
      </c>
    </row>
  </sheetData>
  <phoneticPr fontId="1" type="noConversion"/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9</vt:i4>
      </vt:variant>
    </vt:vector>
  </HeadingPairs>
  <TitlesOfParts>
    <vt:vector size="17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PassiveType</vt:lpstr>
      <vt:lpstr>SelectType</vt:lpstr>
      <vt:lpstr>SpecialAction</vt:lpstr>
      <vt:lpstr>SpecialEffect</vt:lpstr>
      <vt:lpstr>StateEffect</vt:lpstr>
      <vt:lpstr>TargetLimit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2017-10-26T03:29:45Z</dcterms:modified>
</cp:coreProperties>
</file>