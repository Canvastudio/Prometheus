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T10" i="3"/>
  <c r="T6" i="3"/>
  <c r="Q12" i="3"/>
  <c r="T11" i="3"/>
  <c r="T19" i="3"/>
  <c r="T5" i="3"/>
  <c r="T22" i="3"/>
  <c r="F4" i="3"/>
  <c r="Q13" i="3"/>
  <c r="T21" i="3"/>
  <c r="Q8" i="3"/>
  <c r="T12" i="3"/>
  <c r="AA10" i="3"/>
  <c r="AA13" i="3"/>
  <c r="AA8" i="3"/>
  <c r="T7" i="3"/>
  <c r="AA4" i="3"/>
  <c r="T13" i="3"/>
  <c r="AE6" i="3"/>
  <c r="AA14" i="3"/>
  <c r="Q5" i="3"/>
  <c r="AA12" i="3"/>
  <c r="Q9" i="3"/>
  <c r="T8" i="3"/>
  <c r="T18" i="3"/>
  <c r="T9" i="3"/>
  <c r="Q7" i="3"/>
  <c r="AA15" i="3"/>
  <c r="T24" i="3"/>
  <c r="AA11" i="3"/>
  <c r="T16" i="3"/>
  <c r="AE10" i="3"/>
  <c r="AE7" i="3"/>
  <c r="AA5" i="3"/>
  <c r="AA7" i="3"/>
  <c r="Q3" i="3"/>
  <c r="AE8" i="3"/>
  <c r="AE9" i="3"/>
  <c r="Q6" i="3"/>
  <c r="T20" i="3"/>
  <c r="Q4" i="3"/>
  <c r="Q11" i="3"/>
  <c r="Q10" i="3"/>
  <c r="T14" i="3"/>
  <c r="T17" i="3"/>
  <c r="AA6" i="3"/>
  <c r="AA9" i="3"/>
  <c r="T4" i="3"/>
  <c r="T23" i="3"/>
  <c r="T15"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3" i="3"/>
  <c r="F6" i="3"/>
  <c r="F2" i="3"/>
  <c r="F5" i="3"/>
  <c r="H5" i="6" l="1"/>
  <c r="K4" i="9"/>
  <c r="K5" i="9"/>
  <c r="K6" i="9"/>
  <c r="K7" i="9"/>
  <c r="K8" i="9"/>
  <c r="E5" i="9"/>
  <c r="E6" i="9"/>
  <c r="E7" i="9"/>
  <c r="E8" i="9"/>
  <c r="E9" i="9"/>
  <c r="E10" i="9"/>
  <c r="E11" i="9"/>
  <c r="E12" i="9"/>
  <c r="E13" i="9"/>
  <c r="E14" i="9"/>
  <c r="E15" i="9"/>
  <c r="E16" i="9"/>
  <c r="E17" i="9"/>
  <c r="E18" i="9"/>
  <c r="E4" i="9"/>
  <c r="B11" i="3"/>
  <c r="M4" i="3"/>
  <c r="F17" i="3"/>
  <c r="T3" i="3"/>
  <c r="F11" i="3"/>
  <c r="B13" i="3"/>
  <c r="B3" i="3"/>
  <c r="AE3" i="3"/>
  <c r="B12" i="3"/>
  <c r="F14" i="3"/>
  <c r="B9" i="3"/>
  <c r="F15" i="3"/>
  <c r="F18" i="3"/>
  <c r="F10" i="3"/>
  <c r="T2" i="3"/>
  <c r="F7" i="3"/>
  <c r="B5" i="3"/>
  <c r="M5" i="3"/>
  <c r="B8" i="3"/>
  <c r="AE2" i="3"/>
  <c r="M6" i="3"/>
  <c r="M3" i="3"/>
  <c r="M7" i="3"/>
  <c r="F13" i="3"/>
  <c r="M2" i="3"/>
  <c r="M8" i="3"/>
  <c r="B4" i="3"/>
  <c r="AE4" i="3"/>
  <c r="F16" i="3"/>
  <c r="B2" i="3"/>
  <c r="B10" i="3"/>
  <c r="F9" i="3"/>
  <c r="F8" i="3"/>
  <c r="B15" i="3"/>
  <c r="F12" i="3"/>
  <c r="B6" i="3"/>
  <c r="B7" i="3"/>
  <c r="B14" i="3"/>
  <c r="AE5"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N22" authorId="0" shapeId="0">
      <text>
        <r>
          <rPr>
            <sz val="9"/>
            <color indexed="81"/>
            <rFont val="宋体"/>
            <family val="3"/>
            <charset val="134"/>
          </rPr>
          <t>近战伤害类型成立</t>
        </r>
      </text>
    </comment>
    <comment ref="N23" authorId="0" shapeId="0">
      <text>
        <r>
          <rPr>
            <sz val="9"/>
            <color indexed="81"/>
            <rFont val="宋体"/>
            <family val="3"/>
            <charset val="134"/>
          </rPr>
          <t>实弹伤害成立</t>
        </r>
      </text>
    </comment>
    <comment ref="N24" authorId="0" shapeId="0">
      <text>
        <r>
          <rPr>
            <sz val="9"/>
            <color indexed="81"/>
            <rFont val="宋体"/>
            <family val="3"/>
            <charset val="134"/>
          </rPr>
          <t>光线伤害成立</t>
        </r>
      </text>
    </comment>
    <comment ref="N26" authorId="0" shapeId="0">
      <text>
        <r>
          <rPr>
            <sz val="9"/>
            <color indexed="81"/>
            <rFont val="宋体"/>
            <family val="3"/>
            <charset val="134"/>
          </rPr>
          <t>生命系怪物</t>
        </r>
      </text>
    </comment>
    <comment ref="N27" authorId="0" shapeId="0">
      <text>
        <r>
          <rPr>
            <sz val="9"/>
            <color indexed="81"/>
            <rFont val="宋体"/>
            <family val="3"/>
            <charset val="134"/>
          </rPr>
          <t>机械系怪物</t>
        </r>
      </text>
    </comment>
  </commentList>
</comments>
</file>

<file path=xl/comments3.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<sst xmlns="http://schemas.openxmlformats.org/spreadsheetml/2006/main" count="1438" uniqueCount="858">
  <si>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</si>
  <si>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</si>
  <si>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</si>
  <si>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</si>
  <si>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</si>
  <si>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</si>
  <si>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</si>
  <si>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</si>
  <si>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</si>
  <si>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</si>
  <si>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</si>
  <si>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</si>
  <si>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</si>
  <si>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</si>
  <si>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</si>
  <si>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</si>
  <si>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</si>
  <si>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</si>
  <si>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</si>
  <si>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</si>
  <si>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</si>
  <si>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</si>
  <si>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</si>
  <si>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</si>
  <si>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</si>
  <si>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</si>
  <si>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</si>
  <si>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</si>
  <si>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</si>
  <si>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</si>
  <si>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</si>
  <si>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</si>
  <si>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</si>
  <si>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</si>
  <si>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</si>
  <si>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</si>
  <si>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</si>
  <si>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</si>
  <si>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</si>
  <si>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</si>
  <si>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</si>
  <si>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</si>
  <si>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</si>
  <si>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</si>
  <si>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</si>
  <si>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</si>
  <si>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</si>
  <si>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</si>
  <si>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</si>
  <si>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</si>
  <si>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</si>
  <si>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</si>
  <si>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</si>
  <si>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</si>
  <si>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</si>
  <si>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</si>
  <si>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</si>
  <si>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</si>
  <si>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TargetLimit</t>
    <phoneticPr fontId="1" type="noConversion"/>
  </si>
  <si>
    <t>卫星</t>
    <phoneticPr fontId="1" type="noConversion"/>
  </si>
  <si>
    <t>None</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</si>
  <si>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</si>
  <si>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</si>
  <si>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</si>
  <si>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</si>
  <si>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</si>
  <si>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</si>
  <si>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</si>
  <si>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</si>
  <si>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</si>
  <si>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</si>
  <si>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</si>
  <si>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</si>
  <si>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</si>
  <si>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</si>
  <si>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</si>
  <si>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</si>
  <si>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</si>
  <si>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</si>
  <si>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</si>
  <si>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</si>
  <si>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</si>
  <si>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</si>
  <si>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</si>
  <si>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</si>
  <si>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</si>
  <si>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</si>
  <si>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</si>
  <si>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</si>
  <si>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</si>
  <si>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</si>
  <si>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</si>
  <si>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</si>
  <si>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</si>
  <si>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</si>
  <si>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</si>
  <si>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</si>
  <si>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</si>
  <si>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</si>
  <si>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</si>
  <si>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</si>
  <si>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</si>
  <si>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</si>
  <si>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</si>
  <si>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</si>
  <si>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</si>
  <si>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</si>
  <si>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</si>
  <si>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</si>
  <si>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</si>
  <si>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</si>
  <si>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</si>
  <si>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</si>
  <si>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</si>
  <si>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</si>
  <si>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</si>
  <si>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</si>
  <si>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</si>
  <si>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</si>
  <si>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</si>
  <si>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</si>
  <si>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</si>
  <si>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</si>
  <si>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</si>
  <si>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</si>
  <si>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</si>
  <si>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</si>
  <si>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</si>
  <si>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</si>
  <si>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</si>
  <si>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</si>
  <si>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</si>
  <si>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</si>
  <si>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</si>
  <si>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</si>
  <si>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</si>
  <si>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</si>
  <si>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</si>
  <si>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</si>
  <si>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</si>
  <si>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</si>
  <si>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</si>
  <si>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</si>
  <si>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</si>
  <si>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</si>
  <si>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</si>
  <si>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</si>
  <si>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</si>
  <si>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</si>
  <si>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</si>
  <si>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</si>
  <si>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</si>
  <si>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</si>
  <si>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</si>
  <si>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</si>
  <si>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</si>
  <si>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</si>
  <si>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</si>
  <si>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</si>
  <si>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</si>
  <si>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</si>
  <si>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</si>
  <si>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</si>
  <si>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</si>
  <si>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</si>
  <si>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</si>
  <si>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</si>
  <si>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</si>
  <si>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</si>
  <si>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</si>
  <si>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</si>
  <si>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</si>
  <si>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</si>
  <si>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</si>
  <si>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</si>
  <si>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</si>
  <si>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</si>
  <si>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</si>
  <si>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</si>
  <si>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</si>
  <si>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</si>
  <si>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</si>
  <si>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</si>
  <si>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</si>
  <si>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</si>
  <si>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</si>
  <si>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</si>
  <si>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</si>
  <si>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</si>
  <si>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</si>
  <si>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</si>
  <si>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</si>
  <si>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</si>
  <si>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</si>
  <si>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</si>
  <si>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</si>
  <si>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</si>
  <si>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</si>
  <si>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</si>
  <si>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</si>
  <si>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</si>
  <si>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</si>
  <si>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</si>
  <si>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</si>
  <si>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</si>
  <si>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</si>
  <si>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</si>
  <si>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</si>
  <si>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</si>
  <si>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</si>
  <si>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</si>
  <si>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</si>
  <si>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</si>
  <si>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</si>
  <si>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</si>
  <si>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</si>
  <si>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</si>
  <si>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</si>
  <si>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</si>
  <si>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</si>
  <si>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</si>
  <si>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</si>
  <si>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</si>
  <si>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</si>
  <si>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</si>
  <si>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</si>
  <si>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</si>
  <si>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</si>
  <si>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</si>
  <si>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</si>
  <si>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</si>
  <si>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</si>
  <si>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</si>
  <si>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</si>
  <si>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</si>
  <si>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</si>
  <si>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</si>
  <si>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</si>
  <si>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</si>
  <si>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</si>
  <si>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</si>
  <si>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</si>
  <si>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</si>
  <si>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</si>
  <si>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</si>
  <si>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</si>
  <si>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p_speed=p_speed*1.3</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</si>
  <si>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</si>
  <si>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</si>
  <si>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</si>
  <si>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</si>
  <si>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</si>
  <si>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</si>
  <si>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</si>
  <si>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</si>
  <si>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</si>
  <si>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</si>
  <si>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</si>
  <si>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</si>
  <si>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</si>
  <si>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</si>
  <si>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</si>
  <si>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</si>
  <si>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</si>
  <si>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</si>
  <si>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</si>
  <si>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</si>
  <si>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</si>
  <si>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</si>
  <si>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</si>
  <si>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</si>
  <si>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</si>
  <si>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</si>
  <si>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</si>
  <si>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</si>
  <si>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</si>
  <si>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</si>
  <si>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</si>
  <si>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</si>
  <si>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</si>
  <si>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</si>
  <si>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</si>
  <si>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</si>
  <si>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</si>
  <si>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</si>
  <si>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</si>
  <si>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</si>
  <si>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</si>
  <si>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</si>
  <si>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</si>
  <si>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</si>
  <si>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</si>
  <si>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</si>
  <si>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</si>
  <si>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</si>
  <si>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</si>
  <si>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</si>
  <si>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</si>
  <si>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</si>
  <si>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</si>
  <si>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</si>
  <si>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</si>
  <si>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</si>
  <si>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</si>
  <si>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</si>
  <si>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</si>
  <si>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</si>
  <si>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</si>
  <si>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</si>
  <si>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</si>
  <si>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</si>
  <si>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</si>
  <si>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</si>
  <si>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</si>
  <si>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</si>
  <si>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</si>
  <si>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</si>
  <si>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</si>
  <si>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</si>
  <si>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</si>
  <si>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</si>
  <si>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</si>
  <si>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</si>
  <si>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</si>
  <si>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</si>
  <si>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</si>
  <si>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</si>
  <si>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</si>
  <si>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</si>
  <si>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</si>
  <si>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</si>
  <si>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</si>
  <si>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</si>
  <si>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</si>
  <si>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</si>
  <si>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</si>
  <si>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</si>
  <si>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</si>
  <si>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</si>
  <si>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</si>
  <si>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</si>
  <si>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</si>
  <si>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</si>
  <si>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</si>
  <si>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</si>
  <si>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</si>
  <si>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</si>
  <si>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</si>
  <si>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</si>
  <si>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</si>
  <si>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</si>
  <si>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</si>
  <si>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</si>
  <si>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</si>
  <si>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</si>
  <si>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</si>
  <si>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</si>
  <si>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</si>
  <si>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</si>
  <si>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</si>
  <si>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</si>
  <si>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</si>
  <si>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</si>
  <si>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</si>
  <si>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</si>
  <si>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</si>
  <si>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</si>
  <si>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</si>
  <si>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</si>
  <si>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</si>
  <si>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</si>
  <si>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</si>
  <si>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</si>
  <si>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</si>
  <si>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</si>
  <si>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</si>
  <si>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</si>
  <si>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</si>
  <si>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</si>
  <si>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</si>
  <si>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</si>
  <si>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</si>
  <si>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</si>
  <si>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</si>
  <si>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</si>
  <si>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</si>
  <si>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</si>
  <si>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</si>
  <si>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</si>
  <si>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</si>
  <si>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</si>
  <si>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</si>
  <si>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</si>
  <si>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</si>
  <si>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</si>
  <si>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</si>
  <si>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</si>
  <si>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</si>
  <si>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</si>
  <si>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</si>
  <si>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</si>
  <si>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</si>
  <si>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</si>
  <si>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</si>
  <si>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</si>
  <si>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</si>
  <si>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</si>
  <si>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</si>
  <si>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</si>
  <si>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</si>
  <si>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</si>
  <si>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</si>
  <si>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</si>
  <si>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</si>
  <si>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</si>
  <si>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</si>
  <si>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</si>
  <si>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</si>
  <si>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</si>
  <si>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</si>
  <si>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</si>
  <si>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</si>
  <si>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</si>
  <si>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</si>
  <si>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</si>
  <si>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</si>
  <si>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</si>
  <si>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</si>
  <si>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</si>
  <si>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</si>
  <si>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targetType</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</si>
  <si>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</si>
  <si>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</si>
  <si>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</si>
  <si>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</si>
  <si>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</si>
  <si>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</si>
  <si>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</si>
  <si>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</si>
  <si>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</si>
  <si>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</si>
  <si>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</si>
  <si>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</si>
  <si>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</si>
  <si>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</si>
  <si>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</si>
  <si>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</si>
  <si>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</si>
  <si>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</si>
  <si>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</si>
  <si>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</si>
  <si>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</si>
  <si>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</si>
  <si>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</si>
  <si>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</si>
  <si>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</si>
  <si>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</si>
  <si>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</si>
  <si>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</si>
  <si>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</si>
  <si>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</si>
  <si>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</si>
  <si>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</si>
  <si>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s_cartridge=s_cartridge*(1+0.1*monsterNum)</t>
    <phoneticPr fontId="1" type="noConversion"/>
  </si>
  <si>
    <t>s_laser=s_laser*(1+0.02*openGridNum)</t>
    <phoneticPr fontId="1" type="noConversion"/>
  </si>
  <si>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</si>
  <si>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</si>
  <si>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</si>
  <si>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</si>
  <si>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</si>
  <si>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</si>
  <si>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</si>
  <si>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</si>
  <si>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</si>
  <si>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</si>
  <si>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</si>
  <si>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</si>
  <si>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</si>
  <si>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</si>
  <si>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</si>
  <si>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</si>
  <si>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</si>
  <si>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</si>
  <si>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</si>
  <si>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</si>
  <si>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</si>
  <si>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</si>
  <si>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</si>
  <si>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TargetLimit[;]</t>
    <phoneticPr fontId="1" type="noConversion"/>
  </si>
  <si>
    <t>ulong[;]</t>
    <phoneticPr fontId="1" type="noConversion"/>
  </si>
  <si>
    <t>[1维]激活技能编号，这是一个一维数组，对应该技能点开启\升级的技能ID</t>
    <phoneticPr fontId="1" type="noConversion"/>
  </si>
  <si>
    <t>[2维]角色需求技能点：要开启/升级该技能需要的技能点数量。该数组的长度，不大于skillids的长度，如果该长度小于skillIds，表示该角色将不能学会该技能的最高等级。注意，该值可以为负。</t>
    <phoneticPr fontId="1" type="noConversion"/>
  </si>
  <si>
    <t>召唤物的行为模式</t>
    <phoneticPr fontId="1" type="noConversion"/>
  </si>
  <si>
    <t>[1维]被动技能作用效果。除了Property与Halo，被动技能其他作用都只对玩家生效。</t>
    <phoneticPr fontId="1" type="noConversion"/>
  </si>
  <si>
    <t>[1维]参数，根据作用类型解释成不同的作用</t>
    <phoneticPr fontId="1" type="noConversion"/>
  </si>
  <si>
    <t>[1维]状态的效果，一个状态可以有多个效果同时起效（依次起效）</t>
    <phoneticPr fontId="1" type="noConversion"/>
  </si>
  <si>
    <t>[1维]参数：stateEffects的参数，其维度应该和stateEffects一样</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</si>
  <si>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</si>
  <si>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</si>
  <si>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</si>
  <si>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</si>
  <si>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</si>
  <si>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</si>
  <si>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</si>
  <si>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</si>
  <si>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</si>
  <si>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</si>
  <si>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</si>
  <si>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</si>
  <si>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</si>
  <si>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</si>
  <si>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</si>
  <si>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</si>
  <si>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</si>
  <si>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</si>
  <si>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</si>
  <si>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</si>
  <si>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</si>
  <si>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</si>
  <si>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</si>
  <si>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</si>
  <si>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</si>
  <si>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</si>
  <si>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</si>
  <si>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</si>
  <si>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</si>
  <si>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</si>
  <si>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</si>
  <si>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</si>
  <si>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</si>
  <si>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</si>
  <si>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</si>
  <si>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</si>
  <si>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</si>
  <si>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</si>
  <si>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</si>
  <si>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</si>
  <si>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</si>
  <si>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</si>
  <si>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</si>
  <si>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</si>
  <si>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</si>
  <si>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</si>
  <si>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</si>
  <si>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</si>
  <si>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</si>
  <si>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</si>
  <si>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</si>
  <si>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</si>
  <si>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</si>
  <si>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</si>
  <si>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</si>
  <si>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</si>
  <si>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</si>
  <si>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</si>
  <si>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</si>
  <si>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</si>
  <si>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</si>
  <si>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</si>
  <si>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</si>
  <si>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</si>
  <si>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</si>
  <si>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</si>
  <si>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</si>
  <si>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DamageTypeCartridge</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</si>
  <si>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</si>
  <si>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</si>
  <si>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</si>
  <si>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</si>
  <si>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</si>
  <si>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</si>
  <si>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</si>
  <si>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</si>
  <si>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</si>
  <si>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</si>
  <si>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</si>
  <si>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</si>
  <si>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</si>
  <si>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</si>
  <si>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</si>
  <si>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</si>
  <si>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</si>
  <si>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</si>
  <si>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</si>
  <si>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</si>
  <si>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</si>
  <si>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</si>
  <si>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</si>
  <si>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</si>
  <si>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</si>
  <si>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</si>
  <si>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</si>
  <si>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</si>
  <si>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</si>
  <si>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</si>
  <si>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</si>
  <si>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</si>
  <si>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</si>
  <si>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</si>
  <si>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</si>
  <si>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</si>
  <si>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</si>
  <si>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</si>
  <si>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</si>
  <si>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s_mhp=s_mhp*1.3</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</si>
  <si>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</si>
  <si>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</si>
  <si>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</si>
  <si>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</si>
  <si>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</si>
  <si>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</si>
  <si>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</si>
  <si>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</si>
  <si>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</si>
  <si>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</si>
  <si>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</si>
  <si>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</si>
  <si>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</si>
  <si>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</si>
  <si>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</si>
  <si>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</si>
  <si>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</si>
  <si>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</si>
  <si>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</si>
  <si>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</si>
  <si>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</si>
  <si>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</si>
  <si>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</si>
  <si>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</si>
  <si>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</si>
  <si>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</si>
  <si>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</si>
  <si>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</si>
  <si>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</si>
  <si>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</si>
  <si>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</si>
  <si>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</si>
  <si>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</si>
  <si>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</si>
  <si>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</si>
  <si>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</si>
  <si>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</si>
  <si>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</si>
  <si>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</si>
  <si>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</si>
  <si>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</si>
  <si>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</si>
  <si>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</si>
  <si>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</si>
  <si>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</si>
  <si>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</si>
  <si>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</si>
  <si>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</si>
  <si>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</si>
  <si>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s_melee=s_melee*2</t>
    <phoneticPr fontId="1" type="noConversion"/>
  </si>
  <si>
    <t>s_melee=s_melee*2.5</t>
    <phoneticPr fontId="1" type="noConversion"/>
  </si>
  <si>
    <t>s_melee=s_melee*3</t>
    <phoneticPr fontId="1" type="noConversion"/>
  </si>
  <si>
    <t>s_melee=s_melee*3.5</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</si>
  <si>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</si>
  <si>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</si>
  <si>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</si>
  <si>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</si>
  <si>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</si>
  <si>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</si>
  <si>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s_cartridge=s_cartridge*(1+0.1*monsterNum)</t>
    <phoneticPr fontId="1" type="noConversion"/>
  </si>
  <si>
    <t>s_cartridge=s_cartridge*(1+0.2*monsterNum)</t>
    <phoneticPr fontId="1" type="noConversion"/>
  </si>
  <si>
    <t>s_cartridge=s_cartridge*(1+0.3*monsterNum)</t>
    <phoneticPr fontId="1" type="noConversion"/>
  </si>
  <si>
    <t>s_cartridge=s_cartridge*(1+0.4*monsterNum)</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</si>
  <si>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</si>
  <si>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</si>
  <si>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</si>
  <si>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</si>
  <si>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</si>
  <si>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s_laser=s_laser*(1+0.06*openGridNum)</t>
    <phoneticPr fontId="1" type="noConversion"/>
  </si>
  <si>
    <t>s_laser=s_laser*(1+0.03*openGridNum)</t>
    <phoneticPr fontId="1" type="noConversion"/>
  </si>
  <si>
    <t>s_laser=s_laser*(1+0.09*openGridNum)</t>
    <phoneticPr fontId="1" type="noConversion"/>
  </si>
  <si>
    <t>s_laser=s_laser*(1+0.15*openGridNum)</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</si>
  <si>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</si>
  <si>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</si>
  <si>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</si>
  <si>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</si>
  <si>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</si>
  <si>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</si>
  <si>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</si>
  <si>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</si>
  <si>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</si>
  <si>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</si>
  <si>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</si>
  <si>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</si>
  <si>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</si>
  <si>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</si>
  <si>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</si>
  <si>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</si>
  <si>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</si>
  <si>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</si>
  <si>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</si>
  <si>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</si>
  <si>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</si>
  <si>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</si>
  <si>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</si>
  <si>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</si>
  <si>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multipleType</t>
    <phoneticPr fontId="1" type="noConversion"/>
  </si>
  <si>
    <t>0~99</t>
    <phoneticPr fontId="1" type="noConversion"/>
  </si>
  <si>
    <t>Property</t>
    <phoneticPr fontId="1" type="noConversion"/>
  </si>
  <si>
    <t>AddState</t>
    <phoneticPr fontId="1" type="noConversion"/>
  </si>
  <si>
    <t>Property</t>
    <phoneticPr fontId="1" type="noConversion"/>
  </si>
  <si>
    <t>1;HasMonster;m_nhp=0</t>
    <phoneticPr fontId="1" type="noConversion"/>
  </si>
  <si>
    <t>Property</t>
    <phoneticPr fontId="1" type="noConversion"/>
  </si>
  <si>
    <t>t_nhp=t_nhp+s_melee*3</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</si>
  <si>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</si>
  <si>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</si>
  <si>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</si>
  <si>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</si>
  <si>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</si>
  <si>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</si>
  <si>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</si>
  <si>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</si>
  <si>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</si>
  <si>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</si>
  <si>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</si>
  <si>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</si>
  <si>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s_melee=s_melee*1.1|s_cartridge=s_cartridge*1.1|s_laser=s_laser*1.1</t>
  </si>
  <si>
    <t>interval</t>
    <phoneticPr fontId="1" type="noConversion"/>
  </si>
  <si>
    <t>每1回合降低10%攻击力</t>
    <phoneticPr fontId="1" type="noConversion"/>
  </si>
  <si>
    <t>s_melee=s_melee*(1-0.1*passTime);s_cartridge=s_cartridge*(1-0.1*passTime);s_laser=s_laser*(1-0.1*passTime)</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</si>
  <si>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</si>
  <si>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</si>
  <si>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</si>
  <si>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</si>
  <si>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</si>
  <si>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</si>
  <si>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</si>
  <si>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</si>
  <si>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</si>
  <si>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</si>
  <si>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</si>
  <si>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</si>
  <si>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</si>
  <si>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</si>
  <si>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</si>
  <si>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</si>
  <si>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</si>
  <si>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</si>
  <si>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</si>
  <si>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</si>
  <si>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</si>
  <si>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</si>
  <si>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</si>
  <si>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</si>
  <si>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</si>
  <si>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</si>
  <si>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s_nhp=s_nhp-u_melee*0.3</t>
    <phoneticPr fontId="1" type="noConversion"/>
  </si>
  <si>
    <t>s_nhp=s_nhp-u_melee*0.4</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</si>
  <si>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</si>
  <si>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</si>
  <si>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</si>
  <si>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</si>
  <si>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s_nhp=s_nhp-u_melee*0.2</t>
    <phoneticPr fontId="1" type="noConversion"/>
  </si>
  <si>
    <t>s_nhp=s_nhp+u_melee*2</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</si>
  <si>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</si>
  <si>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</si>
  <si>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</si>
  <si>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</si>
  <si>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</si>
  <si>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</si>
  <si>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</si>
  <si>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s_melee=s_nhp|s_cartridge=s_nhp|s_laser=s_nhp</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</si>
  <si>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</si>
  <si>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</si>
  <si>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</si>
  <si>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</si>
  <si>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</si>
  <si>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</si>
  <si>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</si>
  <si>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</si>
  <si>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s_nhp=s_nhp-u_melee*0.5</t>
    <phoneticPr fontId="1" type="noConversion"/>
  </si>
  <si>
    <t>s_nhp=s_nhp-skillDamage*0.25</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</si>
  <si>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</si>
  <si>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</si>
  <si>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</si>
  <si>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</si>
  <si>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</si>
  <si>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</si>
  <si>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</si>
  <si>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</si>
  <si>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</si>
  <si>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</si>
  <si>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</si>
  <si>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</si>
  <si>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</si>
  <si>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</si>
  <si>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</si>
  <si>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</si>
  <si>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</si>
  <si>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</si>
  <si>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</si>
  <si>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</si>
  <si>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</si>
  <si>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</si>
  <si>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</si>
  <si>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</si>
  <si>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</si>
  <si>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</si>
  <si>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</si>
  <si>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</si>
  <si>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</si>
  <si>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</si>
  <si>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</si>
  <si>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</si>
  <si>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</si>
  <si>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</si>
  <si>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</si>
  <si>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</si>
  <si>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</si>
  <si>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</si>
  <si>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</si>
  <si>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</si>
  <si>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</si>
  <si>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</si>
  <si>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</si>
  <si>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</si>
  <si>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</si>
  <si>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</si>
  <si>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</si>
  <si>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</si>
  <si>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</si>
  <si>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</si>
  <si>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</si>
  <si>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t>Coherer:1|Organics:1</t>
    <phoneticPr fontId="1" type="noConversion"/>
  </si>
  <si>
    <t>t1=m_nhp|m_nhp=m_melee|m_mhp=m_melee|m_melee=t1</t>
    <phoneticPr fontId="1" type="noConversion"/>
  </si>
  <si>
    <t>对场上所有生命类怪物造成50%光线伤害，造成伤害的50%恢复自己的生命值</t>
    <phoneticPr fontId="1" type="noConversion"/>
  </si>
  <si>
    <t>p_nhp=p_nhp+skillDamage*0.5</t>
    <phoneticPr fontId="1" type="noConversion"/>
  </si>
  <si>
    <t>string[;]</t>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</si>
  <si>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</si>
  <si>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t>specialEffectArgs</t>
    <phoneticPr fontId="1" type="noConversion"/>
  </si>
  <si>
    <t>specialEffect</t>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</si>
  <si>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</si>
  <si>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</si>
  <si>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伤害表达式</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</si>
  <si>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</si>
  <si>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射程</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</si>
  <si>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</si>
  <si>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[1维]</t>
    </r>
    <r>
      <rPr>
        <sz val="11"/>
        <color theme="1"/>
        <rFont val="微软雅黑"/>
        <family val="2"/>
        <charset val="134"/>
      </rPr>
      <t>命中特效</t>
    </r>
    <phoneticPr fontId="1" type="noConversion"/>
  </si>
  <si>
    <r>
      <t>暂时没有</t>
    </r>
    <r>
      <rPr>
        <sz val="11"/>
        <rFont val="微软雅黑"/>
        <family val="2"/>
        <charset val="134"/>
      </rPr>
      <t>;m_nhp=m_nhp/2|m_mhp=m_mhp/2|m_melee=m_melee/2</t>
    </r>
    <phoneticPr fontId="1" type="noConversion"/>
  </si>
  <si>
    <r>
      <t>[1维]</t>
    </r>
    <r>
      <rPr>
        <sz val="11"/>
        <color theme="1"/>
        <rFont val="微软雅黑"/>
        <family val="2"/>
        <charset val="134"/>
      </rPr>
      <t>这是一个过滤列表，符合这个条件的怪物，将不能被该技能列为可选目标（即便AOE、随机都不会命中它）</t>
    </r>
    <phoneticPr fontId="1" type="noConversion"/>
  </si>
  <si>
    <t>b:AddState</t>
  </si>
  <si>
    <t>b:AddState</t>
    <phoneticPr fontId="1" type="noConversion"/>
  </si>
  <si>
    <t>b:Property</t>
  </si>
  <si>
    <t>b:Transfiguration;Property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</si>
  <si>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</si>
  <si>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</si>
  <si>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</si>
  <si>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</si>
  <si>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</si>
  <si>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</si>
  <si>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</si>
  <si>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r>
      <t>[2维]</t>
    </r>
    <r>
      <rPr>
        <sz val="11"/>
        <color rgb="FF000000"/>
        <rFont val="微软雅黑"/>
        <family val="2"/>
        <charset val="134"/>
      </rPr>
      <t>主动技能的特殊效果，一个主动技能可以有多个特效，依次执行。第一维表示多个效果；第二维表示【效果生效阶段_效果类型】，生效阶段用a或者b来表示在伤害前还是后生效（after\before）</t>
    </r>
    <phoneticPr fontId="1" type="noConversion"/>
  </si>
  <si>
    <t>string[;:]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</si>
</sst>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b/>
      <sz val="11"/>
      <color theme="1"/>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s>
  <fills count="4">
    <fill>
      <patternFill patternType="none"/>
    </fill>
    <fill>
      <patternFill patternType="gray125"/>
    </fill>
    <fill>
      <patternFill patternType="solid">
        <fgColor theme="1"/>
        <bgColor indexed="64"/>
      </patternFill>
    </fill>
    <fill>
      <patternFill patternType="solid">
        <fgColor rgb="FF00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28">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center"/>
    </xf>
    <xf numFmtId="0" fontId="10" fillId="0" borderId="1" xfId="1" applyFont="1" applyBorder="1" applyAlignment="1">
      <alignment horizontal="left" vertical="center"/>
    </xf>
    <xf numFmtId="0" fontId="10"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10" fillId="0" borderId="1" xfId="1" applyFont="1" applyBorder="1" applyAlignment="1">
      <alignment horizontal="left" vertical="center" wrapText="1"/>
    </xf>
    <xf numFmtId="0" fontId="11" fillId="0" borderId="0" xfId="0" applyFont="1" applyAlignment="1">
      <alignment horizontal="left" vertical="center"/>
    </xf>
    <xf numFmtId="0" fontId="2" fillId="0" borderId="0" xfId="0" applyFont="1" applyAlignment="1">
      <alignment horizontal="left" vertical="center"/>
    </xf>
    <xf numFmtId="0" fontId="12" fillId="0" borderId="1" xfId="0" applyFont="1" applyBorder="1" applyAlignment="1">
      <alignment horizontal="left" vertical="center" wrapText="1"/>
    </xf>
    <xf numFmtId="0" fontId="12" fillId="0" borderId="1" xfId="0" applyFont="1" applyFill="1" applyBorder="1" applyAlignment="1">
      <alignment horizontal="left" vertical="center" wrapText="1"/>
    </xf>
    <xf numFmtId="0" fontId="13" fillId="3" borderId="0" xfId="0" applyFont="1" applyFill="1" applyAlignment="1">
      <alignment horizontal="left" vertical="center"/>
    </xf>
    <xf numFmtId="0" fontId="14" fillId="0" borderId="1" xfId="0" applyFont="1" applyBorder="1" applyAlignment="1">
      <alignment horizontal="left" vertical="center" wrapText="1"/>
    </xf>
  </cellXfs>
  <cellStyles count="2">
    <cellStyle name="常规" xfId="0" builtinId="0"/>
    <cellStyle name="超链接" xfId="1" builtinId="8"/>
  </cellStyles>
  <dxfs count="73">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104774</xdr:colOff>
      <xdr:row>9</xdr:row>
      <xdr:rowOff>133351</xdr:rowOff>
    </xdr:from>
    <xdr:to>
      <xdr:col>9</xdr:col>
      <xdr:colOff>3000374</xdr:colOff>
      <xdr:row>16</xdr:row>
      <xdr:rowOff>28575</xdr:rowOff>
    </xdr:to>
    <xdr:sp macro="" textlink="">
      <xdr:nvSpPr>
        <xdr:cNvPr id="2" name="文本框 1">
          <a:extLst>
            <a:ext uri="{FF2B5EF4-FFF2-40B4-BE49-F238E27FC236}">
              <a16:creationId xmlns:a16="http://schemas.microsoft.com/office/drawing/2014/main" id="{00000000-0008-0000-0100-000002000000}"/>
            </a:ext>
          </a:extLst>
        </xdr:cNvPr>
        <xdr:cNvSpPr txBox="1"/>
      </xdr:nvSpPr>
      <xdr:spPr>
        <a:xfrm>
          <a:off x="9915524" y="3076576"/>
          <a:ext cx="5153025" cy="1362074"/>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altLang="zh-CN" sz="2400" b="1"/>
            <a:t>NOTICE</a:t>
          </a:r>
        </a:p>
        <a:p>
          <a:endParaRPr lang="en-US" altLang="zh-CN" sz="1100"/>
        </a:p>
        <a:p>
          <a:r>
            <a:rPr lang="en-US" altLang="zh-CN" sz="1100"/>
            <a:t>SpecialAction</a:t>
          </a:r>
          <a:r>
            <a:rPr lang="zh-CN" altLang="en-US" sz="1100"/>
            <a:t>对应多种行为模式，其不同行为，对应行为参数解释为不同内容。</a:t>
          </a:r>
          <a:endParaRPr lang="en-US" altLang="zh-CN" sz="1100"/>
        </a:p>
        <a:p>
          <a:r>
            <a:rPr lang="en-US" altLang="zh-CN" sz="1100" baseline="0"/>
            <a:t>       </a:t>
          </a:r>
          <a:r>
            <a:rPr lang="en-US" altLang="zh-CN" sz="1100"/>
            <a:t>NormalAttack---</a:t>
          </a:r>
          <a:r>
            <a:rPr lang="en-US" altLang="zh-CN" sz="1100">
              <a:solidFill>
                <a:schemeClr val="lt1"/>
              </a:solidFill>
              <a:effectLst/>
              <a:latin typeface="+mn-lt"/>
              <a:ea typeface="+mn-ea"/>
              <a:cs typeface="+mn-cs"/>
            </a:rPr>
            <a:t>---</a:t>
          </a:r>
          <a:r>
            <a:rPr lang="zh-CN" altLang="en-US" sz="1100"/>
            <a:t>主动攻击编号</a:t>
          </a:r>
          <a:endParaRPr lang="en-US" altLang="zh-CN" sz="1100"/>
        </a:p>
        <a:p>
          <a:pPr marL="0" marR="0" lvl="0" indent="0" defTabSz="914400" eaLnBrk="1" fontAlgn="auto" latinLnBrk="0" hangingPunct="1">
            <a:lnSpc>
              <a:spcPct val="100000"/>
            </a:lnSpc>
            <a:spcBef>
              <a:spcPts val="0"/>
            </a:spcBef>
            <a:spcAft>
              <a:spcPts val="0"/>
            </a:spcAft>
            <a:buClrTx/>
            <a:buSzTx/>
            <a:buFontTx/>
            <a:buNone/>
            <a:tabLst/>
            <a:defRPr/>
          </a:pPr>
          <a:r>
            <a:rPr lang="en-US" altLang="zh-CN" sz="1100"/>
            <a:t>       </a:t>
          </a:r>
          <a:r>
            <a:rPr lang="en-US" altLang="zh-CN" sz="1100">
              <a:solidFill>
                <a:schemeClr val="lt1"/>
              </a:solidFill>
              <a:latin typeface="+mn-lt"/>
              <a:ea typeface="+mn-ea"/>
              <a:cs typeface="+mn-cs"/>
            </a:rPr>
            <a:t>CopyAttack</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能量上限</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恢复速度</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几回合恢复至上限</a:t>
          </a:r>
          <a:r>
            <a:rPr lang="en-US" altLang="zh-CN" sz="1100">
              <a:solidFill>
                <a:schemeClr val="lt1"/>
              </a:solidFill>
              <a:effectLst/>
              <a:latin typeface="+mn-lt"/>
              <a:ea typeface="+mn-ea"/>
              <a:cs typeface="+mn-cs"/>
            </a:rPr>
            <a:t>)</a:t>
          </a:r>
          <a:endParaRPr lang="en-US" altLang="zh-C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428625</xdr:colOff>
      <xdr:row>29</xdr:row>
      <xdr:rowOff>133351</xdr:rowOff>
    </xdr:from>
    <xdr:to>
      <xdr:col>18</xdr:col>
      <xdr:colOff>0</xdr:colOff>
      <xdr:row>35</xdr:row>
      <xdr:rowOff>171451</xdr:rowOff>
    </xdr:to>
    <xdr:sp macro="" textlink="">
      <xdr:nvSpPr>
        <xdr:cNvPr id="2" name="文本框 1">
          <a:extLst>
            <a:ext uri="{FF2B5EF4-FFF2-40B4-BE49-F238E27FC236}">
              <a16:creationId xmlns:a16="http://schemas.microsoft.com/office/drawing/2014/main" id="{22EABCE4-AD5A-4DEF-AD85-74C909276D87}"/>
            </a:ext>
          </a:extLst>
        </xdr:cNvPr>
        <xdr:cNvSpPr txBox="1"/>
      </xdr:nvSpPr>
      <xdr:spPr>
        <a:xfrm>
          <a:off x="23193375" y="7191376"/>
          <a:ext cx="36861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需要一个参数来表示“当前造成的伤害”，以形成</a:t>
          </a:r>
          <a:r>
            <a:rPr lang="en-US" altLang="zh-CN" sz="1100"/>
            <a:t>DOT</a:t>
          </a:r>
          <a:r>
            <a:rPr lang="zh-CN" altLang="en-US" sz="1100"/>
            <a:t>状态</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1" dataDxfId="70">
  <autoFilter ref="A3:C48"/>
  <tableColumns count="3">
    <tableColumn id="1" name="id" dataDxfId="69"/>
    <tableColumn id="2" name="skillIds" dataDxfId="68"/>
    <tableColumn id="4" name="characterActivate" dataDxfId="67"/>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62" dataDxfId="61">
  <autoFilter ref="A3:R51"/>
  <tableColumns count="18">
    <tableColumn id="1" name="id" dataDxfId="60"/>
    <tableColumn id="2" name="name" dataDxfId="59"/>
    <tableColumn id="3" name="describe" dataDxfId="58"/>
    <tableColumn id="5" name="targetType" dataDxfId="57"/>
    <tableColumn id="11" name="targetLimit" dataDxfId="56"/>
    <tableColumn id="12" name="multipleType" dataDxfId="55"/>
    <tableColumn id="13" name="targetArg" dataDxfId="54"/>
    <tableColumn id="4" name="effect_fly" dataDxfId="53"/>
    <tableColumn id="14" name="effect_hit" dataDxfId="52"/>
    <tableColumn id="6" name="carry" dataDxfId="51"/>
    <tableColumn id="9" name="damage" dataDxfId="50"/>
    <tableColumn id="7" name="successRate" dataDxfId="49"/>
    <tableColumn id="20" name="specialEffect" dataDxfId="48"/>
    <tableColumn id="19" name="specialEffectArgs" dataDxfId="47"/>
    <tableColumn id="10" name="stuffCost" dataDxfId="46"/>
    <tableColumn id="15" name="costTime" dataDxfId="45"/>
    <tableColumn id="16" name="usePower" dataDxfId="44"/>
    <tableColumn id="8" name="coolDown" dataDxfId="43"/>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41" dataDxfId="40">
  <autoFilter ref="A3:J8"/>
  <tableColumns count="10">
    <tableColumn id="1" name="id" dataDxfId="39"/>
    <tableColumn id="2" name="name" dataDxfId="38"/>
    <tableColumn id="3" name="describe" dataDxfId="37"/>
    <tableColumn id="4" name="targetType" dataDxfId="36"/>
    <tableColumn id="10" name="carry" dataDxfId="35"/>
    <tableColumn id="6" name="prefab" dataDxfId="34"/>
    <tableColumn id="5" name="stuffCost" dataDxfId="33"/>
    <tableColumn id="7" name="costTime" dataDxfId="32"/>
    <tableColumn id="12" name="specialAction" dataDxfId="31"/>
    <tableColumn id="13" name="speciaArg" dataDxfId="30"/>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20" dataDxfId="19">
  <autoFilter ref="A3:E76"/>
  <tableColumns count="5">
    <tableColumn id="1" name="id" dataDxfId="18"/>
    <tableColumn id="2" name="name" dataDxfId="17"/>
    <tableColumn id="3" name="describe" dataDxfId="16"/>
    <tableColumn id="4" name="passiveType" dataDxfId="15"/>
    <tableColumn id="5" name="args" dataDxfId="14"/>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12" dataDxfId="11">
  <autoFilter ref="A3:K73"/>
  <tableColumns count="11">
    <tableColumn id="1" name="id" dataDxfId="10"/>
    <tableColumn id="2" name="name" dataDxfId="9"/>
    <tableColumn id="3" name="describe" dataDxfId="8"/>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5" sqref="B24:B25"/>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68</v>
      </c>
      <c r="B1" s="5" t="s">
        <v>490</v>
      </c>
      <c r="C1" s="5" t="s">
        <v>491</v>
      </c>
    </row>
    <row r="2" spans="1:7" ht="16.5" x14ac:dyDescent="0.2">
      <c r="A2" s="9" t="s">
        <v>69</v>
      </c>
      <c r="B2" s="9" t="s">
        <v>489</v>
      </c>
      <c r="C2" s="9" t="s">
        <v>110</v>
      </c>
    </row>
    <row r="3" spans="1:7" ht="15" x14ac:dyDescent="0.2">
      <c r="A3" s="17" t="s">
        <v>420</v>
      </c>
      <c r="B3" s="17" t="s">
        <v>117</v>
      </c>
      <c r="C3" s="17" t="s">
        <v>116</v>
      </c>
    </row>
    <row r="4" spans="1:7" ht="16.5" x14ac:dyDescent="0.2">
      <c r="A4" s="11">
        <v>1001</v>
      </c>
      <c r="B4" s="11" t="s">
        <v>70</v>
      </c>
      <c r="C4" s="11" t="s">
        <v>112</v>
      </c>
      <c r="E4">
        <v>1000001</v>
      </c>
      <c r="F4" t="s">
        <v>327</v>
      </c>
      <c r="G4" t="s">
        <v>328</v>
      </c>
    </row>
    <row r="5" spans="1:7" ht="16.5" x14ac:dyDescent="0.2">
      <c r="A5" s="11">
        <v>1002</v>
      </c>
      <c r="B5" s="11" t="str">
        <f>E5 &amp; ";" &amp;E5</f>
        <v>1000002;1000002</v>
      </c>
      <c r="C5" s="11" t="s">
        <v>111</v>
      </c>
      <c r="E5">
        <v>1000002</v>
      </c>
      <c r="F5" t="s">
        <v>329</v>
      </c>
      <c r="G5" t="s">
        <v>330</v>
      </c>
    </row>
    <row r="6" spans="1:7" ht="16.5" x14ac:dyDescent="0.2">
      <c r="A6" s="11">
        <v>1003</v>
      </c>
      <c r="B6" s="11" t="str">
        <f t="shared" ref="B6:B26" si="0">E6 &amp; ";" &amp;E6</f>
        <v>1000003;1000003</v>
      </c>
      <c r="C6" s="11" t="s">
        <v>111</v>
      </c>
      <c r="E6">
        <v>1000003</v>
      </c>
      <c r="F6" t="s">
        <v>331</v>
      </c>
      <c r="G6" t="s">
        <v>332</v>
      </c>
    </row>
    <row r="7" spans="1:7" ht="16.5" x14ac:dyDescent="0.2">
      <c r="A7" s="11">
        <v>1004</v>
      </c>
      <c r="B7" s="11" t="str">
        <f t="shared" si="0"/>
        <v>1000004;1000004</v>
      </c>
      <c r="C7" s="11" t="s">
        <v>111</v>
      </c>
      <c r="E7">
        <v>1000004</v>
      </c>
      <c r="F7" t="s">
        <v>333</v>
      </c>
      <c r="G7" t="s">
        <v>334</v>
      </c>
    </row>
    <row r="8" spans="1:7" ht="16.5" x14ac:dyDescent="0.2">
      <c r="A8" s="11">
        <v>1005</v>
      </c>
      <c r="B8" s="11" t="str">
        <f t="shared" si="0"/>
        <v>1000005;1000005</v>
      </c>
      <c r="C8" s="11" t="s">
        <v>111</v>
      </c>
      <c r="E8">
        <v>1000005</v>
      </c>
      <c r="F8" t="s">
        <v>335</v>
      </c>
      <c r="G8" t="s">
        <v>336</v>
      </c>
    </row>
    <row r="9" spans="1:7" ht="16.5" x14ac:dyDescent="0.2">
      <c r="A9" s="11">
        <v>1006</v>
      </c>
      <c r="B9" s="11" t="str">
        <f t="shared" si="0"/>
        <v>1000006;1000006</v>
      </c>
      <c r="C9" s="11" t="s">
        <v>111</v>
      </c>
      <c r="E9">
        <v>1000006</v>
      </c>
      <c r="F9" t="s">
        <v>337</v>
      </c>
      <c r="G9" t="s">
        <v>338</v>
      </c>
    </row>
    <row r="10" spans="1:7" ht="16.5" x14ac:dyDescent="0.2">
      <c r="A10" s="11">
        <v>1007</v>
      </c>
      <c r="B10" s="11" t="str">
        <f t="shared" si="0"/>
        <v>1000007;1000007</v>
      </c>
      <c r="C10" s="11" t="s">
        <v>111</v>
      </c>
      <c r="E10">
        <v>1000007</v>
      </c>
      <c r="F10" t="s">
        <v>144</v>
      </c>
      <c r="G10" t="s">
        <v>339</v>
      </c>
    </row>
    <row r="11" spans="1:7" ht="16.5" x14ac:dyDescent="0.2">
      <c r="A11" s="11">
        <v>1008</v>
      </c>
      <c r="B11" s="11" t="str">
        <f t="shared" si="0"/>
        <v>1000008;1000008</v>
      </c>
      <c r="C11" s="11" t="s">
        <v>111</v>
      </c>
      <c r="E11">
        <v>1000008</v>
      </c>
      <c r="F11" t="s">
        <v>340</v>
      </c>
      <c r="G11" t="s">
        <v>341</v>
      </c>
    </row>
    <row r="12" spans="1:7" ht="16.5" x14ac:dyDescent="0.2">
      <c r="A12" s="11">
        <v>1009</v>
      </c>
      <c r="B12" s="11" t="str">
        <f t="shared" si="0"/>
        <v>1000009;1000009</v>
      </c>
      <c r="C12" s="11" t="s">
        <v>111</v>
      </c>
      <c r="E12">
        <v>1000009</v>
      </c>
      <c r="F12" t="s">
        <v>342</v>
      </c>
      <c r="G12" t="s">
        <v>343</v>
      </c>
    </row>
    <row r="13" spans="1:7" ht="16.5" x14ac:dyDescent="0.2">
      <c r="A13" s="11">
        <v>1010</v>
      </c>
      <c r="B13" s="11" t="str">
        <f t="shared" si="0"/>
        <v>1000010;1000010</v>
      </c>
      <c r="C13" s="11" t="s">
        <v>111</v>
      </c>
      <c r="E13">
        <v>1000010</v>
      </c>
      <c r="F13" t="s">
        <v>344</v>
      </c>
      <c r="G13" t="s">
        <v>345</v>
      </c>
    </row>
    <row r="14" spans="1:7" ht="16.5" x14ac:dyDescent="0.2">
      <c r="A14" s="11">
        <v>1011</v>
      </c>
      <c r="B14" s="11" t="str">
        <f t="shared" si="0"/>
        <v>1000011;1000011</v>
      </c>
      <c r="C14" s="11" t="s">
        <v>111</v>
      </c>
      <c r="E14">
        <v>1000011</v>
      </c>
      <c r="F14" t="s">
        <v>346</v>
      </c>
      <c r="G14" t="s">
        <v>347</v>
      </c>
    </row>
    <row r="15" spans="1:7" ht="16.5" x14ac:dyDescent="0.2">
      <c r="A15" s="11">
        <v>1012</v>
      </c>
      <c r="B15" s="11" t="str">
        <f t="shared" si="0"/>
        <v>1000012;1000012</v>
      </c>
      <c r="C15" s="11" t="s">
        <v>111</v>
      </c>
      <c r="E15">
        <v>1000012</v>
      </c>
      <c r="F15" t="s">
        <v>348</v>
      </c>
      <c r="G15" t="s">
        <v>349</v>
      </c>
    </row>
    <row r="16" spans="1:7" ht="16.5" x14ac:dyDescent="0.2">
      <c r="A16" s="11">
        <v>1013</v>
      </c>
      <c r="B16" s="11" t="str">
        <f t="shared" si="0"/>
        <v>1000013;1000013</v>
      </c>
      <c r="C16" s="11" t="s">
        <v>111</v>
      </c>
      <c r="E16">
        <v>1000013</v>
      </c>
      <c r="F16" t="s">
        <v>350</v>
      </c>
      <c r="G16" t="s">
        <v>351</v>
      </c>
    </row>
    <row r="17" spans="1:7" ht="16.5" x14ac:dyDescent="0.2">
      <c r="A17" s="11">
        <v>1014</v>
      </c>
      <c r="B17" s="11" t="str">
        <f t="shared" si="0"/>
        <v>1000014;1000014</v>
      </c>
      <c r="C17" s="11" t="s">
        <v>111</v>
      </c>
      <c r="E17">
        <v>1000014</v>
      </c>
      <c r="F17" t="s">
        <v>352</v>
      </c>
      <c r="G17" t="s">
        <v>353</v>
      </c>
    </row>
    <row r="18" spans="1:7" ht="16.5" x14ac:dyDescent="0.2">
      <c r="A18" s="11">
        <v>1015</v>
      </c>
      <c r="B18" s="11" t="str">
        <f t="shared" si="0"/>
        <v>1000015;1000015</v>
      </c>
      <c r="C18" s="11" t="s">
        <v>111</v>
      </c>
      <c r="E18">
        <v>1000015</v>
      </c>
      <c r="F18" t="s">
        <v>354</v>
      </c>
      <c r="G18" t="s">
        <v>355</v>
      </c>
    </row>
    <row r="19" spans="1:7" ht="16.5" x14ac:dyDescent="0.2">
      <c r="A19" s="11">
        <v>1016</v>
      </c>
      <c r="B19" s="11" t="str">
        <f t="shared" si="0"/>
        <v>1000016;1000016</v>
      </c>
      <c r="C19" s="11" t="s">
        <v>111</v>
      </c>
      <c r="E19">
        <v>1000016</v>
      </c>
      <c r="F19" t="s">
        <v>356</v>
      </c>
      <c r="G19" t="s">
        <v>357</v>
      </c>
    </row>
    <row r="20" spans="1:7" ht="16.5" x14ac:dyDescent="0.2">
      <c r="A20" s="11">
        <v>1017</v>
      </c>
      <c r="B20" s="11" t="str">
        <f t="shared" si="0"/>
        <v>1000017;1000017</v>
      </c>
      <c r="C20" s="11" t="s">
        <v>111</v>
      </c>
      <c r="E20">
        <v>1000017</v>
      </c>
      <c r="F20" t="s">
        <v>358</v>
      </c>
      <c r="G20" t="s">
        <v>359</v>
      </c>
    </row>
    <row r="21" spans="1:7" ht="16.5" x14ac:dyDescent="0.2">
      <c r="A21" s="11">
        <v>1018</v>
      </c>
      <c r="B21" s="11" t="str">
        <f t="shared" si="0"/>
        <v>1000018;1000018</v>
      </c>
      <c r="C21" s="11" t="s">
        <v>111</v>
      </c>
      <c r="E21">
        <v>1000018</v>
      </c>
      <c r="F21" t="s">
        <v>360</v>
      </c>
      <c r="G21" t="s">
        <v>361</v>
      </c>
    </row>
    <row r="22" spans="1:7" ht="16.5" x14ac:dyDescent="0.2">
      <c r="A22" s="11">
        <v>1019</v>
      </c>
      <c r="B22" s="11" t="str">
        <f t="shared" si="0"/>
        <v>1000019;1000019</v>
      </c>
      <c r="C22" s="11" t="s">
        <v>111</v>
      </c>
      <c r="E22">
        <v>1000019</v>
      </c>
      <c r="F22" t="s">
        <v>225</v>
      </c>
      <c r="G22" t="s">
        <v>362</v>
      </c>
    </row>
    <row r="23" spans="1:7" ht="16.5" x14ac:dyDescent="0.2">
      <c r="A23" s="11">
        <v>1020</v>
      </c>
      <c r="B23" s="11" t="str">
        <f t="shared" si="0"/>
        <v>1000020;1000020</v>
      </c>
      <c r="C23" s="11" t="s">
        <v>111</v>
      </c>
      <c r="E23">
        <v>1000020</v>
      </c>
      <c r="F23" t="s">
        <v>363</v>
      </c>
      <c r="G23" t="s">
        <v>364</v>
      </c>
    </row>
    <row r="24" spans="1:7" ht="16.5" x14ac:dyDescent="0.2">
      <c r="A24" s="11">
        <v>1021</v>
      </c>
      <c r="B24" s="11" t="str">
        <f t="shared" si="0"/>
        <v>1000021;1000021</v>
      </c>
      <c r="C24" s="11" t="s">
        <v>111</v>
      </c>
      <c r="E24">
        <v>1000021</v>
      </c>
      <c r="F24" t="s">
        <v>365</v>
      </c>
      <c r="G24" t="s">
        <v>366</v>
      </c>
    </row>
    <row r="25" spans="1:7" ht="16.5" x14ac:dyDescent="0.2">
      <c r="A25" s="11">
        <v>1022</v>
      </c>
      <c r="B25" s="11" t="str">
        <f t="shared" si="0"/>
        <v>1000022;1000022</v>
      </c>
      <c r="C25" s="11" t="s">
        <v>111</v>
      </c>
      <c r="E25">
        <v>1000022</v>
      </c>
      <c r="F25" t="s">
        <v>367</v>
      </c>
      <c r="G25" t="s">
        <v>257</v>
      </c>
    </row>
    <row r="26" spans="1:7" ht="16.5" x14ac:dyDescent="0.2">
      <c r="A26" s="11">
        <v>1023</v>
      </c>
      <c r="B26" s="11" t="str">
        <f t="shared" si="0"/>
        <v>1000023;1000023</v>
      </c>
      <c r="C26" s="11" t="s">
        <v>111</v>
      </c>
      <c r="E26">
        <v>1000023</v>
      </c>
      <c r="F26" t="s">
        <v>368</v>
      </c>
      <c r="G26" t="s">
        <v>369</v>
      </c>
    </row>
    <row r="27" spans="1:7" ht="16.5" x14ac:dyDescent="0.2">
      <c r="A27" s="11">
        <v>1024</v>
      </c>
      <c r="B27" s="11" t="str">
        <f t="shared" ref="B27:B48" si="1">E27 &amp; ";" &amp;E27</f>
        <v>2000001;2000001</v>
      </c>
      <c r="C27" s="11" t="s">
        <v>326</v>
      </c>
      <c r="E27">
        <v>2000001</v>
      </c>
      <c r="F27" t="s">
        <v>370</v>
      </c>
      <c r="G27" t="s">
        <v>371</v>
      </c>
    </row>
    <row r="28" spans="1:7" ht="16.5" x14ac:dyDescent="0.2">
      <c r="A28" s="11">
        <v>1025</v>
      </c>
      <c r="B28" s="11" t="str">
        <f t="shared" si="1"/>
        <v>3000001;3000001</v>
      </c>
      <c r="C28" s="11" t="s">
        <v>326</v>
      </c>
      <c r="E28">
        <v>3000001</v>
      </c>
      <c r="F28" t="s">
        <v>373</v>
      </c>
      <c r="G28" t="s">
        <v>374</v>
      </c>
    </row>
    <row r="29" spans="1:7" ht="16.5" x14ac:dyDescent="0.2">
      <c r="A29" s="11">
        <v>1026</v>
      </c>
      <c r="B29" s="11" t="str">
        <f t="shared" si="1"/>
        <v>3000002;3000002</v>
      </c>
      <c r="C29" s="11" t="s">
        <v>326</v>
      </c>
      <c r="E29">
        <v>3000002</v>
      </c>
      <c r="F29" t="s">
        <v>375</v>
      </c>
      <c r="G29" t="s">
        <v>376</v>
      </c>
    </row>
    <row r="30" spans="1:7" ht="16.5" x14ac:dyDescent="0.2">
      <c r="A30" s="11">
        <v>1027</v>
      </c>
      <c r="B30" s="11" t="str">
        <f t="shared" si="1"/>
        <v>3000003;3000003</v>
      </c>
      <c r="C30" s="11" t="s">
        <v>326</v>
      </c>
      <c r="E30">
        <v>3000003</v>
      </c>
      <c r="F30" t="s">
        <v>377</v>
      </c>
      <c r="G30" t="s">
        <v>378</v>
      </c>
    </row>
    <row r="31" spans="1:7" ht="16.5" x14ac:dyDescent="0.2">
      <c r="A31" s="11">
        <v>1028</v>
      </c>
      <c r="B31" s="11" t="str">
        <f t="shared" si="1"/>
        <v>3000004;3000004</v>
      </c>
      <c r="C31" s="11" t="s">
        <v>326</v>
      </c>
      <c r="E31">
        <v>3000004</v>
      </c>
      <c r="F31" t="s">
        <v>379</v>
      </c>
      <c r="G31" t="s">
        <v>380</v>
      </c>
    </row>
    <row r="32" spans="1:7" ht="16.5" x14ac:dyDescent="0.2">
      <c r="A32" s="11">
        <v>1029</v>
      </c>
      <c r="B32" s="11" t="str">
        <f t="shared" si="1"/>
        <v>3000005;3000005</v>
      </c>
      <c r="C32" s="11" t="s">
        <v>326</v>
      </c>
      <c r="E32">
        <v>3000005</v>
      </c>
      <c r="F32" t="s">
        <v>381</v>
      </c>
      <c r="G32" t="s">
        <v>382</v>
      </c>
    </row>
    <row r="33" spans="1:7" ht="16.5" x14ac:dyDescent="0.2">
      <c r="A33" s="11">
        <v>1030</v>
      </c>
      <c r="B33" s="11" t="str">
        <f t="shared" si="1"/>
        <v>3000006;3000006</v>
      </c>
      <c r="C33" s="11" t="s">
        <v>326</v>
      </c>
      <c r="E33">
        <v>3000006</v>
      </c>
      <c r="F33" t="s">
        <v>383</v>
      </c>
      <c r="G33" t="s">
        <v>384</v>
      </c>
    </row>
    <row r="34" spans="1:7" ht="16.5" x14ac:dyDescent="0.2">
      <c r="A34" s="11">
        <v>1031</v>
      </c>
      <c r="B34" s="11" t="str">
        <f t="shared" si="1"/>
        <v>3000007;3000007</v>
      </c>
      <c r="C34" s="11" t="s">
        <v>326</v>
      </c>
      <c r="E34">
        <v>3000007</v>
      </c>
      <c r="F34" t="s">
        <v>385</v>
      </c>
      <c r="G34" t="s">
        <v>386</v>
      </c>
    </row>
    <row r="35" spans="1:7" ht="16.5" x14ac:dyDescent="0.2">
      <c r="A35" s="11">
        <v>1032</v>
      </c>
      <c r="B35" s="11" t="str">
        <f t="shared" si="1"/>
        <v>3000008;3000008</v>
      </c>
      <c r="C35" s="11" t="s">
        <v>326</v>
      </c>
      <c r="E35">
        <v>3000008</v>
      </c>
      <c r="F35" t="s">
        <v>387</v>
      </c>
      <c r="G35" t="s">
        <v>388</v>
      </c>
    </row>
    <row r="36" spans="1:7" ht="16.5" x14ac:dyDescent="0.2">
      <c r="A36" s="11">
        <v>1033</v>
      </c>
      <c r="B36" s="11" t="str">
        <f t="shared" si="1"/>
        <v>3000009;3000009</v>
      </c>
      <c r="C36" s="11" t="s">
        <v>326</v>
      </c>
      <c r="E36">
        <v>3000009</v>
      </c>
      <c r="F36" t="s">
        <v>389</v>
      </c>
      <c r="G36" t="s">
        <v>390</v>
      </c>
    </row>
    <row r="37" spans="1:7" ht="16.5" x14ac:dyDescent="0.2">
      <c r="A37" s="11">
        <v>1034</v>
      </c>
      <c r="B37" s="11" t="str">
        <f t="shared" si="1"/>
        <v>3000010;3000010</v>
      </c>
      <c r="C37" s="11" t="s">
        <v>326</v>
      </c>
      <c r="E37">
        <v>3000010</v>
      </c>
      <c r="F37" t="s">
        <v>391</v>
      </c>
      <c r="G37" t="s">
        <v>392</v>
      </c>
    </row>
    <row r="38" spans="1:7" ht="16.5" x14ac:dyDescent="0.2">
      <c r="A38" s="11">
        <v>1035</v>
      </c>
      <c r="B38" s="11" t="str">
        <f t="shared" si="1"/>
        <v>3000011;3000011</v>
      </c>
      <c r="C38" s="11" t="s">
        <v>326</v>
      </c>
      <c r="E38">
        <v>3000011</v>
      </c>
      <c r="F38" t="s">
        <v>393</v>
      </c>
      <c r="G38" t="s">
        <v>394</v>
      </c>
    </row>
    <row r="39" spans="1:7" ht="16.5" x14ac:dyDescent="0.2">
      <c r="A39" s="11">
        <v>1036</v>
      </c>
      <c r="B39" s="11" t="str">
        <f t="shared" si="1"/>
        <v>3000012;3000012</v>
      </c>
      <c r="C39" s="11" t="s">
        <v>326</v>
      </c>
      <c r="E39">
        <v>3000012</v>
      </c>
      <c r="F39" t="s">
        <v>282</v>
      </c>
      <c r="G39" t="s">
        <v>395</v>
      </c>
    </row>
    <row r="40" spans="1:7" ht="16.5" x14ac:dyDescent="0.2">
      <c r="A40" s="11">
        <v>1037</v>
      </c>
      <c r="B40" s="11" t="str">
        <f t="shared" si="1"/>
        <v>3000013;3000013</v>
      </c>
      <c r="C40" s="11" t="s">
        <v>326</v>
      </c>
      <c r="E40">
        <v>3000013</v>
      </c>
      <c r="F40" t="s">
        <v>396</v>
      </c>
      <c r="G40" t="s">
        <v>397</v>
      </c>
    </row>
    <row r="41" spans="1:7" ht="16.5" x14ac:dyDescent="0.2">
      <c r="A41" s="11">
        <v>1038</v>
      </c>
      <c r="B41" s="11" t="str">
        <f t="shared" si="1"/>
        <v>3000014;3000014</v>
      </c>
      <c r="C41" s="11" t="s">
        <v>326</v>
      </c>
      <c r="E41">
        <v>3000014</v>
      </c>
      <c r="F41" t="s">
        <v>398</v>
      </c>
      <c r="G41" t="s">
        <v>399</v>
      </c>
    </row>
    <row r="42" spans="1:7" ht="16.5" x14ac:dyDescent="0.2">
      <c r="A42" s="11">
        <v>1039</v>
      </c>
      <c r="B42" s="11" t="str">
        <f t="shared" si="1"/>
        <v>3000015;3000015</v>
      </c>
      <c r="C42" s="11" t="s">
        <v>326</v>
      </c>
      <c r="E42">
        <v>3000015</v>
      </c>
      <c r="F42" t="s">
        <v>400</v>
      </c>
      <c r="G42" t="s">
        <v>401</v>
      </c>
    </row>
    <row r="43" spans="1:7" ht="16.5" x14ac:dyDescent="0.2">
      <c r="A43" s="11">
        <v>1040</v>
      </c>
      <c r="B43" s="11" t="str">
        <f t="shared" si="1"/>
        <v>3000016;3000016</v>
      </c>
      <c r="C43" s="11" t="s">
        <v>326</v>
      </c>
      <c r="E43">
        <v>3000016</v>
      </c>
      <c r="F43" t="s">
        <v>402</v>
      </c>
      <c r="G43" t="s">
        <v>293</v>
      </c>
    </row>
    <row r="44" spans="1:7" ht="16.5" x14ac:dyDescent="0.2">
      <c r="A44" s="11">
        <v>1041</v>
      </c>
      <c r="B44" s="11" t="str">
        <f t="shared" si="1"/>
        <v>3000017;3000017</v>
      </c>
      <c r="C44" s="11" t="s">
        <v>326</v>
      </c>
      <c r="E44">
        <v>3000017</v>
      </c>
      <c r="F44" t="s">
        <v>403</v>
      </c>
      <c r="G44" t="s">
        <v>404</v>
      </c>
    </row>
    <row r="45" spans="1:7" ht="16.5" x14ac:dyDescent="0.2">
      <c r="A45" s="11">
        <v>1042</v>
      </c>
      <c r="B45" s="11" t="str">
        <f t="shared" si="1"/>
        <v>3000018;3000018</v>
      </c>
      <c r="C45" s="11" t="s">
        <v>326</v>
      </c>
      <c r="E45">
        <v>3000018</v>
      </c>
      <c r="F45" t="s">
        <v>405</v>
      </c>
      <c r="G45" t="s">
        <v>406</v>
      </c>
    </row>
    <row r="46" spans="1:7" ht="16.5" x14ac:dyDescent="0.2">
      <c r="A46" s="11">
        <v>1043</v>
      </c>
      <c r="B46" s="11" t="str">
        <f t="shared" si="1"/>
        <v>3000019;3000019</v>
      </c>
      <c r="C46" s="11" t="s">
        <v>326</v>
      </c>
      <c r="E46">
        <v>3000019</v>
      </c>
      <c r="F46" t="s">
        <v>407</v>
      </c>
      <c r="G46" t="s">
        <v>321</v>
      </c>
    </row>
    <row r="47" spans="1:7" ht="16.5" x14ac:dyDescent="0.2">
      <c r="A47" s="11">
        <v>1044</v>
      </c>
      <c r="B47" s="11" t="str">
        <f t="shared" si="1"/>
        <v>3000020;3000020</v>
      </c>
      <c r="C47" s="11" t="s">
        <v>326</v>
      </c>
      <c r="E47">
        <v>3000020</v>
      </c>
      <c r="F47" t="s">
        <v>408</v>
      </c>
      <c r="G47" t="s">
        <v>409</v>
      </c>
    </row>
    <row r="48" spans="1:7" ht="16.5" x14ac:dyDescent="0.2">
      <c r="A48" s="11">
        <v>1045</v>
      </c>
      <c r="B48" s="11" t="str">
        <f t="shared" si="1"/>
        <v>3000021;3000021</v>
      </c>
      <c r="C48" s="11" t="s">
        <v>326</v>
      </c>
      <c r="E48">
        <v>3000021</v>
      </c>
      <c r="F48" t="s">
        <v>410</v>
      </c>
      <c r="G48" t="s">
        <v>411</v>
      </c>
    </row>
  </sheetData>
  <phoneticPr fontId="1" type="noConversion"/>
  <conditionalFormatting sqref="A4:A48">
    <cfRule type="duplicateValues" dxfId="72"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tabSelected="1" workbookViewId="0">
      <pane xSplit="2" ySplit="3" topLeftCell="L4" activePane="bottomRight" state="frozen"/>
      <selection pane="topRight" activeCell="C1" sqref="C1"/>
      <selection pane="bottomLeft" activeCell="A4" sqref="A4"/>
      <selection pane="bottomRight" activeCell="M20" sqref="M20"/>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47" style="2" customWidth="1"/>
    <col min="7" max="7" width="42.625" style="2" customWidth="1"/>
    <col min="8" max="8" width="44.25" style="2" bestFit="1" customWidth="1"/>
    <col min="9" max="9" width="18.375" style="2" customWidth="1"/>
    <col min="10" max="10" width="9.125" style="2" bestFit="1" customWidth="1"/>
    <col min="11" max="14" width="43.125" style="2" customWidth="1"/>
    <col min="15" max="15" width="38.875" style="2" customWidth="1"/>
    <col min="16" max="17" width="23.75" style="2" customWidth="1"/>
    <col min="18" max="18" width="29.625" style="2" customWidth="1"/>
    <col min="19" max="16384" width="9" style="2"/>
  </cols>
  <sheetData>
    <row r="1" spans="1:18" s="7" customFormat="1" ht="96" customHeight="1" x14ac:dyDescent="0.2">
      <c r="A1" s="5" t="s">
        <v>0</v>
      </c>
      <c r="B1" s="5" t="s">
        <v>3</v>
      </c>
      <c r="C1" s="5" t="s">
        <v>8</v>
      </c>
      <c r="D1" s="5" t="s">
        <v>824</v>
      </c>
      <c r="E1" s="24" t="s">
        <v>844</v>
      </c>
      <c r="F1" s="27" t="s">
        <v>855</v>
      </c>
      <c r="G1" s="24" t="s">
        <v>836</v>
      </c>
      <c r="H1" s="24" t="s">
        <v>837</v>
      </c>
      <c r="I1" s="24" t="s">
        <v>842</v>
      </c>
      <c r="J1" s="24" t="s">
        <v>840</v>
      </c>
      <c r="K1" s="24" t="s">
        <v>838</v>
      </c>
      <c r="L1" s="24" t="s">
        <v>833</v>
      </c>
      <c r="M1" s="24" t="s">
        <v>856</v>
      </c>
      <c r="N1" s="24" t="s">
        <v>841</v>
      </c>
      <c r="O1" s="24" t="s">
        <v>839</v>
      </c>
      <c r="P1" s="6" t="s">
        <v>477</v>
      </c>
      <c r="Q1" s="5" t="s">
        <v>478</v>
      </c>
      <c r="R1" s="5" t="s">
        <v>476</v>
      </c>
    </row>
    <row r="2" spans="1:18" x14ac:dyDescent="0.3">
      <c r="A2" s="9" t="s">
        <v>1</v>
      </c>
      <c r="B2" s="9" t="s">
        <v>4</v>
      </c>
      <c r="C2" s="9" t="s">
        <v>7</v>
      </c>
      <c r="D2" s="18" t="s">
        <v>447</v>
      </c>
      <c r="E2" s="18" t="s">
        <v>488</v>
      </c>
      <c r="F2" s="18" t="s">
        <v>41</v>
      </c>
      <c r="G2" s="9" t="s">
        <v>62</v>
      </c>
      <c r="H2" s="9" t="s">
        <v>11</v>
      </c>
      <c r="I2" s="9" t="s">
        <v>11</v>
      </c>
      <c r="J2" s="9" t="s">
        <v>49</v>
      </c>
      <c r="K2" s="9" t="s">
        <v>101</v>
      </c>
      <c r="L2" s="9" t="s">
        <v>169</v>
      </c>
      <c r="M2" s="9" t="s">
        <v>857</v>
      </c>
      <c r="N2" s="9" t="s">
        <v>832</v>
      </c>
      <c r="O2" s="9" t="s">
        <v>823</v>
      </c>
      <c r="P2" s="13" t="s">
        <v>66</v>
      </c>
      <c r="Q2" s="9" t="s">
        <v>48</v>
      </c>
      <c r="R2" s="9" t="s">
        <v>475</v>
      </c>
    </row>
    <row r="3" spans="1:18" x14ac:dyDescent="0.3">
      <c r="A3" s="26" t="s">
        <v>2</v>
      </c>
      <c r="B3" s="26" t="s">
        <v>40</v>
      </c>
      <c r="C3" s="26" t="s">
        <v>6</v>
      </c>
      <c r="D3" s="26" t="s">
        <v>430</v>
      </c>
      <c r="E3" s="26" t="s">
        <v>57</v>
      </c>
      <c r="F3" s="26" t="s">
        <v>701</v>
      </c>
      <c r="G3" s="26" t="s">
        <v>61</v>
      </c>
      <c r="H3" s="26" t="s">
        <v>63</v>
      </c>
      <c r="I3" s="26" t="s">
        <v>27</v>
      </c>
      <c r="J3" s="26" t="s">
        <v>9</v>
      </c>
      <c r="K3" s="26" t="s">
        <v>64</v>
      </c>
      <c r="L3" s="26" t="s">
        <v>170</v>
      </c>
      <c r="M3" s="26" t="s">
        <v>835</v>
      </c>
      <c r="N3" s="26" t="s">
        <v>834</v>
      </c>
      <c r="O3" s="26" t="s">
        <v>822</v>
      </c>
      <c r="P3" s="26" t="s">
        <v>65</v>
      </c>
      <c r="Q3" s="26" t="s">
        <v>106</v>
      </c>
      <c r="R3" s="26" t="s">
        <v>474</v>
      </c>
    </row>
    <row r="4" spans="1:18" x14ac:dyDescent="0.3">
      <c r="A4" s="16">
        <v>1000001</v>
      </c>
      <c r="B4" s="11" t="s">
        <v>119</v>
      </c>
      <c r="C4" s="11" t="s">
        <v>425</v>
      </c>
      <c r="D4" s="11" t="s">
        <v>698</v>
      </c>
      <c r="E4" s="11"/>
      <c r="F4" s="11" t="s">
        <v>28</v>
      </c>
      <c r="G4" s="11" t="s">
        <v>120</v>
      </c>
      <c r="H4" s="11" t="s">
        <v>46</v>
      </c>
      <c r="I4" s="11" t="s">
        <v>12</v>
      </c>
      <c r="J4" s="11" t="s">
        <v>127</v>
      </c>
      <c r="K4" s="11" t="s">
        <v>426</v>
      </c>
      <c r="L4" s="11" t="s">
        <v>171</v>
      </c>
      <c r="M4" s="11"/>
      <c r="N4" s="11"/>
      <c r="O4" s="11" t="s">
        <v>828</v>
      </c>
      <c r="P4" s="11">
        <v>0.8</v>
      </c>
      <c r="Q4" s="11">
        <v>5</v>
      </c>
      <c r="R4" s="11">
        <v>5</v>
      </c>
    </row>
    <row r="5" spans="1:18" x14ac:dyDescent="0.3">
      <c r="A5" s="16">
        <v>1000002</v>
      </c>
      <c r="B5" s="11" t="s">
        <v>133</v>
      </c>
      <c r="C5" s="11" t="s">
        <v>157</v>
      </c>
      <c r="D5" s="11" t="s">
        <v>698</v>
      </c>
      <c r="E5" s="11"/>
      <c r="F5" s="11" t="s">
        <v>28</v>
      </c>
      <c r="G5" s="11">
        <v>1</v>
      </c>
      <c r="H5" s="11" t="s">
        <v>45</v>
      </c>
      <c r="I5" s="11" t="s">
        <v>12</v>
      </c>
      <c r="J5" s="11" t="s">
        <v>128</v>
      </c>
      <c r="K5" s="11" t="s">
        <v>427</v>
      </c>
      <c r="L5" s="11" t="s">
        <v>171</v>
      </c>
      <c r="M5" s="11"/>
      <c r="N5" s="11"/>
      <c r="O5" s="11" t="s">
        <v>828</v>
      </c>
      <c r="P5" s="11">
        <v>0.8</v>
      </c>
      <c r="Q5" s="11">
        <v>5</v>
      </c>
      <c r="R5" s="11">
        <v>5</v>
      </c>
    </row>
    <row r="6" spans="1:18" x14ac:dyDescent="0.3">
      <c r="A6" s="16">
        <v>1000003</v>
      </c>
      <c r="B6" s="11" t="s">
        <v>134</v>
      </c>
      <c r="C6" s="11" t="s">
        <v>153</v>
      </c>
      <c r="D6" s="11" t="s">
        <v>129</v>
      </c>
      <c r="E6" s="11"/>
      <c r="F6" s="11" t="s">
        <v>131</v>
      </c>
      <c r="G6" s="11" t="s">
        <v>140</v>
      </c>
      <c r="H6" s="11" t="s">
        <v>46</v>
      </c>
      <c r="I6" s="11" t="s">
        <v>12</v>
      </c>
      <c r="J6" s="11" t="s">
        <v>53</v>
      </c>
      <c r="K6" s="11" t="s">
        <v>436</v>
      </c>
      <c r="L6" s="11" t="s">
        <v>171</v>
      </c>
      <c r="M6" s="11"/>
      <c r="N6" s="11"/>
      <c r="O6" s="11" t="s">
        <v>828</v>
      </c>
      <c r="P6" s="11">
        <v>1.5</v>
      </c>
      <c r="Q6" s="11">
        <v>10</v>
      </c>
      <c r="R6" s="11">
        <v>5</v>
      </c>
    </row>
    <row r="7" spans="1:18" x14ac:dyDescent="0.3">
      <c r="A7" s="16">
        <v>1000004</v>
      </c>
      <c r="B7" s="11" t="s">
        <v>137</v>
      </c>
      <c r="C7" s="11" t="s">
        <v>155</v>
      </c>
      <c r="D7" s="11" t="s">
        <v>449</v>
      </c>
      <c r="E7" s="11"/>
      <c r="F7" s="11" t="s">
        <v>135</v>
      </c>
      <c r="G7" s="11" t="s">
        <v>138</v>
      </c>
      <c r="H7" s="11" t="s">
        <v>45</v>
      </c>
      <c r="I7" s="11" t="s">
        <v>12</v>
      </c>
      <c r="J7" s="11" t="s">
        <v>53</v>
      </c>
      <c r="K7" s="11" t="s">
        <v>437</v>
      </c>
      <c r="L7" s="11" t="s">
        <v>171</v>
      </c>
      <c r="M7" s="11"/>
      <c r="N7" s="11"/>
      <c r="O7" s="11" t="s">
        <v>828</v>
      </c>
      <c r="P7" s="11">
        <v>1.5</v>
      </c>
      <c r="Q7" s="11">
        <v>13</v>
      </c>
      <c r="R7" s="11">
        <v>5</v>
      </c>
    </row>
    <row r="8" spans="1:18" x14ac:dyDescent="0.3">
      <c r="A8" s="16">
        <v>1000005</v>
      </c>
      <c r="B8" s="11" t="s">
        <v>139</v>
      </c>
      <c r="C8" s="11" t="s">
        <v>154</v>
      </c>
      <c r="D8" s="11" t="s">
        <v>448</v>
      </c>
      <c r="E8" s="11"/>
      <c r="F8" s="11" t="s">
        <v>56</v>
      </c>
      <c r="G8" s="11" t="s">
        <v>141</v>
      </c>
      <c r="H8" s="11" t="s">
        <v>46</v>
      </c>
      <c r="I8" s="11" t="s">
        <v>12</v>
      </c>
      <c r="J8" s="11" t="s">
        <v>53</v>
      </c>
      <c r="K8" s="11" t="s">
        <v>438</v>
      </c>
      <c r="L8" s="11" t="s">
        <v>171</v>
      </c>
      <c r="M8" s="11"/>
      <c r="N8" s="11"/>
      <c r="O8" s="11" t="s">
        <v>828</v>
      </c>
      <c r="P8" s="11">
        <v>1.7</v>
      </c>
      <c r="Q8" s="11">
        <v>15</v>
      </c>
      <c r="R8" s="11">
        <v>5</v>
      </c>
    </row>
    <row r="9" spans="1:18" x14ac:dyDescent="0.3">
      <c r="A9" s="16">
        <v>1000006</v>
      </c>
      <c r="B9" s="11" t="s">
        <v>142</v>
      </c>
      <c r="C9" s="11" t="s">
        <v>156</v>
      </c>
      <c r="D9" s="11" t="s">
        <v>21</v>
      </c>
      <c r="E9" s="11"/>
      <c r="F9" s="11" t="s">
        <v>32</v>
      </c>
      <c r="G9" s="11">
        <v>1</v>
      </c>
      <c r="H9" s="11" t="s">
        <v>45</v>
      </c>
      <c r="I9" s="11" t="s">
        <v>12</v>
      </c>
      <c r="J9" s="11" t="s">
        <v>143</v>
      </c>
      <c r="K9" s="11" t="s">
        <v>439</v>
      </c>
      <c r="L9" s="11" t="s">
        <v>171</v>
      </c>
      <c r="M9" s="11"/>
      <c r="N9" s="11"/>
      <c r="O9" s="11" t="s">
        <v>828</v>
      </c>
      <c r="P9" s="11">
        <v>1.2</v>
      </c>
      <c r="Q9" s="11">
        <v>12</v>
      </c>
      <c r="R9" s="11">
        <v>5</v>
      </c>
    </row>
    <row r="10" spans="1:18" x14ac:dyDescent="0.3">
      <c r="A10" s="16">
        <v>1000007</v>
      </c>
      <c r="B10" s="11" t="s">
        <v>144</v>
      </c>
      <c r="C10" s="11" t="s">
        <v>612</v>
      </c>
      <c r="D10" s="11" t="s">
        <v>21</v>
      </c>
      <c r="E10" s="11"/>
      <c r="F10" s="11" t="s">
        <v>28</v>
      </c>
      <c r="G10" s="14" t="s">
        <v>145</v>
      </c>
      <c r="H10" s="11" t="s">
        <v>46</v>
      </c>
      <c r="I10" s="11" t="s">
        <v>12</v>
      </c>
      <c r="J10" s="11" t="s">
        <v>146</v>
      </c>
      <c r="K10" s="11" t="s">
        <v>440</v>
      </c>
      <c r="L10" s="11" t="s">
        <v>171</v>
      </c>
      <c r="M10" s="11" t="s">
        <v>846</v>
      </c>
      <c r="N10" s="11">
        <v>4000001</v>
      </c>
      <c r="O10" s="11" t="s">
        <v>828</v>
      </c>
      <c r="P10" s="11">
        <v>1.5</v>
      </c>
      <c r="Q10" s="11">
        <v>7</v>
      </c>
      <c r="R10" s="11">
        <v>5</v>
      </c>
    </row>
    <row r="11" spans="1:18" x14ac:dyDescent="0.3">
      <c r="A11" s="16">
        <v>1000008</v>
      </c>
      <c r="B11" s="11" t="s">
        <v>161</v>
      </c>
      <c r="C11" s="11" t="s">
        <v>173</v>
      </c>
      <c r="D11" s="11" t="s">
        <v>21</v>
      </c>
      <c r="E11" s="11"/>
      <c r="F11" s="11" t="s">
        <v>28</v>
      </c>
      <c r="G11" s="11"/>
      <c r="H11" s="11"/>
      <c r="I11" s="11" t="s">
        <v>12</v>
      </c>
      <c r="J11" s="11" t="s">
        <v>160</v>
      </c>
      <c r="K11" s="11"/>
      <c r="L11" s="11" t="s">
        <v>172</v>
      </c>
      <c r="M11" s="11" t="s">
        <v>847</v>
      </c>
      <c r="N11" s="11" t="s">
        <v>829</v>
      </c>
      <c r="O11" s="11" t="s">
        <v>828</v>
      </c>
      <c r="P11" s="11">
        <v>0.5</v>
      </c>
      <c r="Q11" s="11">
        <v>9999</v>
      </c>
      <c r="R11" s="11">
        <v>5</v>
      </c>
    </row>
    <row r="12" spans="1:18" x14ac:dyDescent="0.3">
      <c r="A12" s="16">
        <v>1000009</v>
      </c>
      <c r="B12" s="11" t="s">
        <v>162</v>
      </c>
      <c r="C12" s="11" t="s">
        <v>175</v>
      </c>
      <c r="D12" s="11" t="s">
        <v>165</v>
      </c>
      <c r="E12" s="11" t="s">
        <v>418</v>
      </c>
      <c r="F12" s="11" t="s">
        <v>28</v>
      </c>
      <c r="G12" s="11"/>
      <c r="H12" s="11"/>
      <c r="I12" s="11" t="s">
        <v>12</v>
      </c>
      <c r="J12" s="11" t="s">
        <v>168</v>
      </c>
      <c r="K12" s="11"/>
      <c r="L12" s="11" t="s">
        <v>172</v>
      </c>
      <c r="M12" s="11" t="s">
        <v>848</v>
      </c>
      <c r="N12" s="15" t="s">
        <v>843</v>
      </c>
      <c r="O12" s="11" t="s">
        <v>828</v>
      </c>
      <c r="P12" s="11">
        <v>0.4</v>
      </c>
      <c r="Q12" s="11">
        <v>9999</v>
      </c>
      <c r="R12" s="11">
        <v>5</v>
      </c>
    </row>
    <row r="13" spans="1:18" x14ac:dyDescent="0.3">
      <c r="A13" s="16">
        <v>1000010</v>
      </c>
      <c r="B13" s="11" t="s">
        <v>174</v>
      </c>
      <c r="C13" s="11" t="s">
        <v>176</v>
      </c>
      <c r="D13" s="11" t="s">
        <v>163</v>
      </c>
      <c r="E13" s="11" t="s">
        <v>419</v>
      </c>
      <c r="F13" s="11" t="s">
        <v>28</v>
      </c>
      <c r="G13" s="11"/>
      <c r="H13" s="11"/>
      <c r="I13" s="11" t="s">
        <v>12</v>
      </c>
      <c r="J13" s="11" t="s">
        <v>168</v>
      </c>
      <c r="K13" s="11"/>
      <c r="L13" s="11" t="s">
        <v>177</v>
      </c>
      <c r="M13" s="11" t="s">
        <v>849</v>
      </c>
      <c r="N13" s="11"/>
      <c r="O13" s="11" t="s">
        <v>828</v>
      </c>
      <c r="P13" s="11">
        <v>0.4</v>
      </c>
      <c r="Q13" s="11">
        <v>9999</v>
      </c>
      <c r="R13" s="11">
        <v>5</v>
      </c>
    </row>
    <row r="14" spans="1:18" x14ac:dyDescent="0.3">
      <c r="A14" s="16">
        <v>1000011</v>
      </c>
      <c r="B14" s="11" t="s">
        <v>180</v>
      </c>
      <c r="C14" s="11" t="s">
        <v>611</v>
      </c>
      <c r="D14" s="11" t="s">
        <v>21</v>
      </c>
      <c r="E14" s="11"/>
      <c r="F14" s="11" t="s">
        <v>28</v>
      </c>
      <c r="G14" s="11"/>
      <c r="H14" s="11"/>
      <c r="I14" s="11" t="s">
        <v>12</v>
      </c>
      <c r="J14" s="11" t="s">
        <v>181</v>
      </c>
      <c r="K14" s="11"/>
      <c r="L14" s="11" t="s">
        <v>187</v>
      </c>
      <c r="M14" s="11" t="s">
        <v>845</v>
      </c>
      <c r="N14" s="11">
        <v>4000002</v>
      </c>
      <c r="O14" s="11" t="s">
        <v>828</v>
      </c>
      <c r="P14" s="11">
        <v>6</v>
      </c>
      <c r="Q14" s="11">
        <v>9999</v>
      </c>
      <c r="R14" s="11">
        <v>5</v>
      </c>
    </row>
    <row r="15" spans="1:18" x14ac:dyDescent="0.3">
      <c r="A15" s="16">
        <v>1000012</v>
      </c>
      <c r="B15" s="11" t="s">
        <v>183</v>
      </c>
      <c r="C15" s="11" t="s">
        <v>613</v>
      </c>
      <c r="D15" s="11" t="s">
        <v>698</v>
      </c>
      <c r="E15" s="11"/>
      <c r="F15" s="11" t="s">
        <v>28</v>
      </c>
      <c r="G15" s="11"/>
      <c r="H15" s="11"/>
      <c r="I15" s="11" t="s">
        <v>12</v>
      </c>
      <c r="J15" s="11" t="s">
        <v>186</v>
      </c>
      <c r="K15" s="11"/>
      <c r="L15" s="11" t="s">
        <v>188</v>
      </c>
      <c r="M15" s="11" t="s">
        <v>845</v>
      </c>
      <c r="N15" s="11">
        <v>4000003</v>
      </c>
      <c r="O15" s="11" t="s">
        <v>828</v>
      </c>
      <c r="P15" s="11">
        <v>0.3</v>
      </c>
      <c r="Q15" s="11">
        <v>9999</v>
      </c>
      <c r="R15" s="11">
        <v>5</v>
      </c>
    </row>
    <row r="16" spans="1:18" x14ac:dyDescent="0.3">
      <c r="A16" s="16">
        <v>1000013</v>
      </c>
      <c r="B16" s="11" t="s">
        <v>198</v>
      </c>
      <c r="C16" s="11" t="s">
        <v>199</v>
      </c>
      <c r="D16" s="11" t="s">
        <v>448</v>
      </c>
      <c r="E16" s="11"/>
      <c r="F16" s="11" t="s">
        <v>190</v>
      </c>
      <c r="G16" s="11"/>
      <c r="H16" s="11"/>
      <c r="I16" s="11" t="s">
        <v>12</v>
      </c>
      <c r="J16" s="11" t="s">
        <v>192</v>
      </c>
      <c r="K16" s="11"/>
      <c r="L16" s="11" t="s">
        <v>200</v>
      </c>
      <c r="M16" s="11" t="s">
        <v>845</v>
      </c>
      <c r="N16" s="11">
        <v>4000002</v>
      </c>
      <c r="O16" s="11" t="s">
        <v>828</v>
      </c>
      <c r="P16" s="11">
        <v>1.5</v>
      </c>
      <c r="Q16" s="11">
        <v>9999</v>
      </c>
      <c r="R16" s="11">
        <v>5</v>
      </c>
    </row>
    <row r="17" spans="1:18" x14ac:dyDescent="0.3">
      <c r="A17" s="16">
        <v>1000014</v>
      </c>
      <c r="B17" s="11" t="s">
        <v>189</v>
      </c>
      <c r="C17" s="11" t="s">
        <v>830</v>
      </c>
      <c r="D17" s="11" t="s">
        <v>448</v>
      </c>
      <c r="E17" s="11" t="s">
        <v>418</v>
      </c>
      <c r="F17" s="11" t="s">
        <v>190</v>
      </c>
      <c r="G17" s="11" t="s">
        <v>191</v>
      </c>
      <c r="H17" s="11" t="s">
        <v>46</v>
      </c>
      <c r="I17" s="11" t="s">
        <v>12</v>
      </c>
      <c r="J17" s="11" t="s">
        <v>192</v>
      </c>
      <c r="K17" s="11" t="s">
        <v>431</v>
      </c>
      <c r="L17" s="11" t="s">
        <v>171</v>
      </c>
      <c r="M17" s="11" t="s">
        <v>854</v>
      </c>
      <c r="N17" s="11" t="s">
        <v>831</v>
      </c>
      <c r="O17" s="11" t="s">
        <v>828</v>
      </c>
      <c r="P17" s="11">
        <v>2</v>
      </c>
      <c r="Q17" s="11">
        <v>20</v>
      </c>
      <c r="R17" s="11">
        <v>5</v>
      </c>
    </row>
    <row r="18" spans="1:18" x14ac:dyDescent="0.3">
      <c r="A18" s="16">
        <v>1000015</v>
      </c>
      <c r="B18" s="11" t="s">
        <v>193</v>
      </c>
      <c r="C18" s="11" t="s">
        <v>194</v>
      </c>
      <c r="D18" s="11" t="s">
        <v>448</v>
      </c>
      <c r="E18" s="11" t="s">
        <v>419</v>
      </c>
      <c r="F18" s="11" t="s">
        <v>190</v>
      </c>
      <c r="G18" s="11">
        <v>1</v>
      </c>
      <c r="H18" s="11"/>
      <c r="I18" s="11" t="s">
        <v>12</v>
      </c>
      <c r="J18" s="11" t="s">
        <v>192</v>
      </c>
      <c r="K18" s="11" t="s">
        <v>432</v>
      </c>
      <c r="L18" s="11" t="s">
        <v>195</v>
      </c>
      <c r="M18" s="11" t="s">
        <v>845</v>
      </c>
      <c r="N18" s="11">
        <v>4000004</v>
      </c>
      <c r="O18" s="11" t="s">
        <v>828</v>
      </c>
      <c r="P18" s="11">
        <v>1.8</v>
      </c>
      <c r="Q18" s="11">
        <v>15</v>
      </c>
      <c r="R18" s="11">
        <v>5</v>
      </c>
    </row>
    <row r="19" spans="1:18" x14ac:dyDescent="0.3">
      <c r="A19" s="16">
        <v>1000016</v>
      </c>
      <c r="B19" s="11" t="s">
        <v>201</v>
      </c>
      <c r="C19" s="11" t="s">
        <v>202</v>
      </c>
      <c r="D19" s="11" t="s">
        <v>698</v>
      </c>
      <c r="E19" s="11"/>
      <c r="F19" s="11" t="s">
        <v>28</v>
      </c>
      <c r="G19" s="11">
        <v>1</v>
      </c>
      <c r="H19" s="11" t="s">
        <v>45</v>
      </c>
      <c r="I19" s="11" t="s">
        <v>12</v>
      </c>
      <c r="J19" s="11" t="s">
        <v>181</v>
      </c>
      <c r="K19" s="11" t="s">
        <v>428</v>
      </c>
      <c r="L19" s="11" t="s">
        <v>203</v>
      </c>
      <c r="M19" s="11" t="s">
        <v>845</v>
      </c>
      <c r="N19" s="11">
        <v>4000004</v>
      </c>
      <c r="O19" s="11" t="s">
        <v>828</v>
      </c>
      <c r="P19" s="11">
        <v>1</v>
      </c>
      <c r="Q19" s="11">
        <v>7</v>
      </c>
      <c r="R19" s="11">
        <v>5</v>
      </c>
    </row>
    <row r="20" spans="1:18" x14ac:dyDescent="0.3">
      <c r="A20" s="16">
        <v>1000017</v>
      </c>
      <c r="B20" s="11" t="s">
        <v>214</v>
      </c>
      <c r="C20" s="11" t="s">
        <v>215</v>
      </c>
      <c r="D20" s="11" t="s">
        <v>216</v>
      </c>
      <c r="E20" s="11"/>
      <c r="F20" s="11" t="s">
        <v>28</v>
      </c>
      <c r="G20" s="11"/>
      <c r="H20" s="11"/>
      <c r="I20" s="11" t="s">
        <v>12</v>
      </c>
      <c r="J20" s="11" t="s">
        <v>217</v>
      </c>
      <c r="K20" s="11"/>
      <c r="L20" s="11" t="s">
        <v>218</v>
      </c>
      <c r="M20" s="11" t="s">
        <v>851</v>
      </c>
      <c r="N20" s="11" t="s">
        <v>706</v>
      </c>
      <c r="O20" s="11" t="s">
        <v>828</v>
      </c>
      <c r="P20" s="11">
        <v>0.3</v>
      </c>
      <c r="Q20" s="11">
        <v>9999</v>
      </c>
      <c r="R20" s="11">
        <v>5</v>
      </c>
    </row>
    <row r="21" spans="1:18" x14ac:dyDescent="0.3">
      <c r="A21" s="16">
        <v>1000018</v>
      </c>
      <c r="B21" s="11" t="s">
        <v>241</v>
      </c>
      <c r="C21" s="11" t="s">
        <v>222</v>
      </c>
      <c r="D21" s="11" t="s">
        <v>216</v>
      </c>
      <c r="E21" s="11"/>
      <c r="F21" s="11" t="s">
        <v>28</v>
      </c>
      <c r="G21" s="11"/>
      <c r="H21" s="11"/>
      <c r="I21" s="11" t="s">
        <v>12</v>
      </c>
      <c r="J21" s="11" t="s">
        <v>223</v>
      </c>
      <c r="K21" s="11"/>
      <c r="L21" s="11" t="s">
        <v>218</v>
      </c>
      <c r="M21" s="11" t="s">
        <v>852</v>
      </c>
      <c r="N21" s="11" t="s">
        <v>224</v>
      </c>
      <c r="O21" s="11" t="s">
        <v>828</v>
      </c>
      <c r="P21" s="11">
        <v>0.3</v>
      </c>
      <c r="Q21" s="11">
        <v>9999</v>
      </c>
      <c r="R21" s="11">
        <v>5</v>
      </c>
    </row>
    <row r="22" spans="1:18" ht="49.5" x14ac:dyDescent="0.3">
      <c r="A22" s="16">
        <v>1000019</v>
      </c>
      <c r="B22" s="11" t="s">
        <v>225</v>
      </c>
      <c r="C22" s="7" t="s">
        <v>226</v>
      </c>
      <c r="D22" s="11" t="s">
        <v>216</v>
      </c>
      <c r="E22" s="11"/>
      <c r="F22" s="11" t="s">
        <v>207</v>
      </c>
      <c r="G22" s="11"/>
      <c r="H22" s="11"/>
      <c r="I22" s="11" t="s">
        <v>12</v>
      </c>
      <c r="J22" s="11" t="s">
        <v>227</v>
      </c>
      <c r="K22" s="11"/>
      <c r="L22" s="11" t="s">
        <v>228</v>
      </c>
      <c r="M22" s="11" t="s">
        <v>853</v>
      </c>
      <c r="N22" s="11" t="s">
        <v>235</v>
      </c>
      <c r="O22" s="11" t="s">
        <v>828</v>
      </c>
      <c r="P22" s="11">
        <v>0.5</v>
      </c>
      <c r="Q22" s="11">
        <v>9999</v>
      </c>
      <c r="R22" s="11">
        <v>5</v>
      </c>
    </row>
    <row r="23" spans="1:18" x14ac:dyDescent="0.3">
      <c r="A23" s="16">
        <v>1000020</v>
      </c>
      <c r="B23" s="11" t="s">
        <v>240</v>
      </c>
      <c r="C23" s="11" t="s">
        <v>236</v>
      </c>
      <c r="D23" s="11" t="s">
        <v>698</v>
      </c>
      <c r="E23" s="11"/>
      <c r="F23" s="11" t="s">
        <v>28</v>
      </c>
      <c r="G23" s="11"/>
      <c r="H23" s="11"/>
      <c r="I23" s="11" t="s">
        <v>12</v>
      </c>
      <c r="J23" s="11" t="s">
        <v>237</v>
      </c>
      <c r="K23" s="11"/>
      <c r="L23" s="11" t="s">
        <v>228</v>
      </c>
      <c r="M23" s="11" t="s">
        <v>850</v>
      </c>
      <c r="N23" s="11"/>
      <c r="O23" s="11" t="s">
        <v>828</v>
      </c>
      <c r="P23" s="11">
        <v>0.5</v>
      </c>
      <c r="Q23" s="11">
        <v>9999</v>
      </c>
      <c r="R23" s="11">
        <v>5</v>
      </c>
    </row>
    <row r="24" spans="1:18" x14ac:dyDescent="0.3">
      <c r="A24" s="16">
        <v>1000021</v>
      </c>
      <c r="B24" s="11" t="s">
        <v>253</v>
      </c>
      <c r="C24" s="11" t="s">
        <v>614</v>
      </c>
      <c r="D24" s="11" t="s">
        <v>429</v>
      </c>
      <c r="E24" s="11"/>
      <c r="F24" s="11" t="s">
        <v>28</v>
      </c>
      <c r="G24" s="11"/>
      <c r="H24" s="11"/>
      <c r="I24" s="11" t="s">
        <v>12</v>
      </c>
      <c r="J24" s="11" t="s">
        <v>254</v>
      </c>
      <c r="K24" s="11"/>
      <c r="L24" s="11"/>
      <c r="M24" s="11" t="s">
        <v>845</v>
      </c>
      <c r="N24" s="11">
        <v>4000006</v>
      </c>
      <c r="O24" s="11" t="s">
        <v>828</v>
      </c>
      <c r="P24" s="11">
        <v>0</v>
      </c>
      <c r="Q24" s="11">
        <v>9999</v>
      </c>
      <c r="R24" s="11">
        <v>5</v>
      </c>
    </row>
    <row r="25" spans="1:18" x14ac:dyDescent="0.3">
      <c r="A25" s="16">
        <v>1000022</v>
      </c>
      <c r="B25" s="11" t="s">
        <v>259</v>
      </c>
      <c r="C25" s="11" t="s">
        <v>615</v>
      </c>
      <c r="D25" s="11" t="s">
        <v>422</v>
      </c>
      <c r="E25" s="11"/>
      <c r="F25" s="11" t="s">
        <v>28</v>
      </c>
      <c r="G25" s="11"/>
      <c r="H25" s="11"/>
      <c r="I25" s="11" t="s">
        <v>12</v>
      </c>
      <c r="J25" s="11" t="s">
        <v>260</v>
      </c>
      <c r="K25" s="11"/>
      <c r="L25" s="11"/>
      <c r="M25" s="11" t="s">
        <v>845</v>
      </c>
      <c r="N25" s="11">
        <v>4000007</v>
      </c>
      <c r="O25" s="11" t="s">
        <v>828</v>
      </c>
      <c r="P25" s="11">
        <v>0</v>
      </c>
      <c r="Q25" s="11">
        <v>9999</v>
      </c>
      <c r="R25" s="11">
        <v>5</v>
      </c>
    </row>
    <row r="26" spans="1:18" x14ac:dyDescent="0.3">
      <c r="A26" s="16">
        <v>1000023</v>
      </c>
      <c r="B26" s="11" t="s">
        <v>268</v>
      </c>
      <c r="C26" s="11" t="s">
        <v>616</v>
      </c>
      <c r="D26" s="11" t="s">
        <v>422</v>
      </c>
      <c r="E26" s="11"/>
      <c r="F26" s="11" t="s">
        <v>28</v>
      </c>
      <c r="G26" s="11"/>
      <c r="H26" s="11"/>
      <c r="I26" s="11" t="s">
        <v>12</v>
      </c>
      <c r="J26" s="11" t="s">
        <v>260</v>
      </c>
      <c r="K26" s="11"/>
      <c r="L26" s="11"/>
      <c r="M26" s="11" t="s">
        <v>845</v>
      </c>
      <c r="N26" s="11">
        <v>4000008</v>
      </c>
      <c r="O26" s="11" t="s">
        <v>828</v>
      </c>
      <c r="P26" s="11">
        <v>0</v>
      </c>
      <c r="Q26" s="11">
        <v>9999</v>
      </c>
      <c r="R26" s="11">
        <v>5</v>
      </c>
    </row>
    <row r="27" spans="1:18" x14ac:dyDescent="0.3">
      <c r="A27" s="11">
        <v>1010001</v>
      </c>
      <c r="B27" s="11" t="s">
        <v>309</v>
      </c>
      <c r="C27" s="11" t="s">
        <v>310</v>
      </c>
      <c r="D27" s="11" t="s">
        <v>21</v>
      </c>
      <c r="E27" s="11"/>
      <c r="F27" s="11" t="s">
        <v>28</v>
      </c>
      <c r="G27" s="11"/>
      <c r="H27" s="11" t="s">
        <v>45</v>
      </c>
      <c r="I27" s="11" t="s">
        <v>12</v>
      </c>
      <c r="J27" s="11" t="s">
        <v>311</v>
      </c>
      <c r="K27" s="11" t="s">
        <v>433</v>
      </c>
      <c r="L27" s="11" t="s">
        <v>228</v>
      </c>
      <c r="M27" s="11"/>
      <c r="N27" s="11"/>
      <c r="O27" s="11" t="s">
        <v>828</v>
      </c>
      <c r="P27" s="11">
        <v>3</v>
      </c>
      <c r="Q27" s="11">
        <v>9999</v>
      </c>
      <c r="R27" s="11">
        <v>5</v>
      </c>
    </row>
    <row r="28" spans="1:18" x14ac:dyDescent="0.3">
      <c r="A28" s="11">
        <v>1010002</v>
      </c>
      <c r="B28" s="11" t="s">
        <v>300</v>
      </c>
      <c r="C28" s="11" t="s">
        <v>302</v>
      </c>
      <c r="D28" s="11" t="s">
        <v>21</v>
      </c>
      <c r="E28" s="11"/>
      <c r="F28" s="11" t="s">
        <v>28</v>
      </c>
      <c r="G28" s="11"/>
      <c r="H28" s="11" t="s">
        <v>46</v>
      </c>
      <c r="I28" s="11" t="s">
        <v>12</v>
      </c>
      <c r="J28" s="11" t="s">
        <v>305</v>
      </c>
      <c r="K28" s="11" t="s">
        <v>434</v>
      </c>
      <c r="L28" s="11" t="s">
        <v>228</v>
      </c>
      <c r="M28" s="11"/>
      <c r="N28" s="11"/>
      <c r="O28" s="11" t="s">
        <v>828</v>
      </c>
      <c r="P28" s="11">
        <v>3</v>
      </c>
      <c r="Q28" s="11">
        <v>9999</v>
      </c>
      <c r="R28" s="11">
        <v>5</v>
      </c>
    </row>
    <row r="29" spans="1:18" x14ac:dyDescent="0.3">
      <c r="A29" s="11">
        <v>1010003</v>
      </c>
      <c r="B29" s="11" t="s">
        <v>301</v>
      </c>
      <c r="C29" s="11" t="s">
        <v>303</v>
      </c>
      <c r="D29" s="11" t="s">
        <v>21</v>
      </c>
      <c r="E29" s="11"/>
      <c r="F29" s="11" t="s">
        <v>56</v>
      </c>
      <c r="G29" s="11" t="s">
        <v>304</v>
      </c>
      <c r="H29" s="11" t="s">
        <v>771</v>
      </c>
      <c r="I29" s="11" t="s">
        <v>12</v>
      </c>
      <c r="J29" s="11" t="s">
        <v>306</v>
      </c>
      <c r="K29" s="11" t="s">
        <v>435</v>
      </c>
      <c r="L29" s="11" t="s">
        <v>228</v>
      </c>
      <c r="M29" s="11"/>
      <c r="N29" s="11"/>
      <c r="O29" s="11" t="s">
        <v>828</v>
      </c>
      <c r="P29" s="11">
        <v>4</v>
      </c>
      <c r="Q29" s="11">
        <v>9999</v>
      </c>
      <c r="R29" s="11">
        <v>5</v>
      </c>
    </row>
    <row r="30" spans="1:18" x14ac:dyDescent="0.3">
      <c r="A30" s="11">
        <v>1100001</v>
      </c>
      <c r="B30" s="11" t="s">
        <v>581</v>
      </c>
      <c r="C30" s="11" t="s">
        <v>577</v>
      </c>
      <c r="D30" s="11" t="s">
        <v>429</v>
      </c>
      <c r="E30" s="11"/>
      <c r="F30" s="11" t="s">
        <v>28</v>
      </c>
      <c r="G30" s="11"/>
      <c r="H30" s="11"/>
      <c r="I30" s="11"/>
      <c r="J30" s="11" t="s">
        <v>582</v>
      </c>
      <c r="K30" s="11"/>
      <c r="L30" s="11" t="s">
        <v>218</v>
      </c>
      <c r="M30" s="11" t="s">
        <v>845</v>
      </c>
      <c r="N30" s="11">
        <v>4100010</v>
      </c>
      <c r="O30" s="11" t="s">
        <v>828</v>
      </c>
      <c r="P30" s="11">
        <v>9999</v>
      </c>
      <c r="Q30" s="11">
        <v>9999</v>
      </c>
      <c r="R30" s="11">
        <v>9999</v>
      </c>
    </row>
    <row r="31" spans="1:18" x14ac:dyDescent="0.3">
      <c r="A31" s="11">
        <v>1100002</v>
      </c>
      <c r="B31" s="11" t="s">
        <v>581</v>
      </c>
      <c r="C31" s="11" t="s">
        <v>578</v>
      </c>
      <c r="D31" s="11" t="s">
        <v>422</v>
      </c>
      <c r="E31" s="11"/>
      <c r="F31" s="11" t="s">
        <v>28</v>
      </c>
      <c r="G31" s="11"/>
      <c r="H31" s="11"/>
      <c r="I31" s="11"/>
      <c r="J31" s="11" t="s">
        <v>583</v>
      </c>
      <c r="K31" s="11"/>
      <c r="L31" s="11" t="s">
        <v>218</v>
      </c>
      <c r="M31" s="11" t="s">
        <v>845</v>
      </c>
      <c r="N31" s="11">
        <v>4100011</v>
      </c>
      <c r="O31" s="11" t="s">
        <v>828</v>
      </c>
      <c r="P31" s="11">
        <v>9999</v>
      </c>
      <c r="Q31" s="11">
        <v>9999</v>
      </c>
      <c r="R31" s="11">
        <v>9999</v>
      </c>
    </row>
    <row r="32" spans="1:18" x14ac:dyDescent="0.3">
      <c r="A32" s="11">
        <v>1100003</v>
      </c>
      <c r="B32" s="11" t="s">
        <v>581</v>
      </c>
      <c r="C32" s="11" t="s">
        <v>579</v>
      </c>
      <c r="D32" s="11" t="s">
        <v>422</v>
      </c>
      <c r="E32" s="11"/>
      <c r="F32" s="11" t="s">
        <v>28</v>
      </c>
      <c r="G32" s="11"/>
      <c r="H32" s="11"/>
      <c r="I32" s="11"/>
      <c r="J32" s="11" t="s">
        <v>583</v>
      </c>
      <c r="K32" s="11"/>
      <c r="L32" s="11" t="s">
        <v>218</v>
      </c>
      <c r="M32" s="11" t="s">
        <v>845</v>
      </c>
      <c r="N32" s="11">
        <v>4100012</v>
      </c>
      <c r="O32" s="11" t="s">
        <v>828</v>
      </c>
      <c r="P32" s="11">
        <v>9999</v>
      </c>
      <c r="Q32" s="11">
        <v>9999</v>
      </c>
      <c r="R32" s="11">
        <v>9999</v>
      </c>
    </row>
    <row r="33" spans="1:18" x14ac:dyDescent="0.3">
      <c r="A33" s="11">
        <v>1100004</v>
      </c>
      <c r="B33" s="11" t="s">
        <v>581</v>
      </c>
      <c r="C33" s="11" t="s">
        <v>580</v>
      </c>
      <c r="D33" s="11" t="s">
        <v>429</v>
      </c>
      <c r="E33" s="11"/>
      <c r="F33" s="11" t="s">
        <v>28</v>
      </c>
      <c r="G33" s="11"/>
      <c r="H33" s="11"/>
      <c r="I33" s="11"/>
      <c r="J33" s="11" t="s">
        <v>584</v>
      </c>
      <c r="K33" s="11"/>
      <c r="L33" s="11" t="s">
        <v>585</v>
      </c>
      <c r="M33" s="11" t="s">
        <v>845</v>
      </c>
      <c r="N33" s="11">
        <v>4100013</v>
      </c>
      <c r="O33" s="11" t="s">
        <v>828</v>
      </c>
      <c r="P33" s="11">
        <v>9999</v>
      </c>
      <c r="Q33" s="11">
        <v>9999</v>
      </c>
      <c r="R33" s="11">
        <v>9999</v>
      </c>
    </row>
    <row r="34" spans="1:18" x14ac:dyDescent="0.3">
      <c r="A34" s="11">
        <v>1100005</v>
      </c>
      <c r="B34" s="11" t="s">
        <v>597</v>
      </c>
      <c r="C34" s="11" t="s">
        <v>598</v>
      </c>
      <c r="D34" s="11" t="s">
        <v>429</v>
      </c>
      <c r="E34" s="11"/>
      <c r="F34" s="11" t="s">
        <v>28</v>
      </c>
      <c r="G34" s="11"/>
      <c r="H34" s="11"/>
      <c r="I34" s="11"/>
      <c r="J34" s="11" t="s">
        <v>582</v>
      </c>
      <c r="K34" s="11"/>
      <c r="L34" s="11" t="s">
        <v>218</v>
      </c>
      <c r="M34" s="11" t="s">
        <v>845</v>
      </c>
      <c r="N34" s="11">
        <v>4100016</v>
      </c>
      <c r="O34" s="11" t="s">
        <v>828</v>
      </c>
      <c r="P34" s="11">
        <v>9999</v>
      </c>
      <c r="Q34" s="11">
        <v>9999</v>
      </c>
      <c r="R34" s="11">
        <v>9999</v>
      </c>
    </row>
    <row r="35" spans="1:18" x14ac:dyDescent="0.3">
      <c r="A35" s="11">
        <v>1100006</v>
      </c>
      <c r="B35" s="11" t="s">
        <v>597</v>
      </c>
      <c r="C35" s="11" t="s">
        <v>599</v>
      </c>
      <c r="D35" s="11" t="s">
        <v>422</v>
      </c>
      <c r="E35" s="11"/>
      <c r="F35" s="11" t="s">
        <v>28</v>
      </c>
      <c r="G35" s="11"/>
      <c r="H35" s="11"/>
      <c r="I35" s="11"/>
      <c r="J35" s="11" t="s">
        <v>583</v>
      </c>
      <c r="K35" s="11"/>
      <c r="L35" s="11" t="s">
        <v>218</v>
      </c>
      <c r="M35" s="11" t="s">
        <v>845</v>
      </c>
      <c r="N35" s="11">
        <v>4100017</v>
      </c>
      <c r="O35" s="11" t="s">
        <v>828</v>
      </c>
      <c r="P35" s="11">
        <v>9999</v>
      </c>
      <c r="Q35" s="11">
        <v>9999</v>
      </c>
      <c r="R35" s="11">
        <v>9999</v>
      </c>
    </row>
    <row r="36" spans="1:18" x14ac:dyDescent="0.3">
      <c r="A36" s="11">
        <v>1100007</v>
      </c>
      <c r="B36" s="11" t="s">
        <v>597</v>
      </c>
      <c r="C36" s="11" t="s">
        <v>600</v>
      </c>
      <c r="D36" s="11" t="s">
        <v>422</v>
      </c>
      <c r="E36" s="23"/>
      <c r="F36" s="11" t="s">
        <v>28</v>
      </c>
      <c r="G36" s="11"/>
      <c r="H36" s="11"/>
      <c r="I36" s="11"/>
      <c r="J36" s="11" t="s">
        <v>583</v>
      </c>
      <c r="K36" s="11"/>
      <c r="L36" s="11" t="s">
        <v>218</v>
      </c>
      <c r="M36" s="11" t="s">
        <v>845</v>
      </c>
      <c r="N36" s="11">
        <v>4100018</v>
      </c>
      <c r="O36" s="11" t="s">
        <v>828</v>
      </c>
      <c r="P36" s="11">
        <v>9999</v>
      </c>
      <c r="Q36" s="11">
        <v>9999</v>
      </c>
      <c r="R36" s="11">
        <v>9999</v>
      </c>
    </row>
    <row r="37" spans="1:18" x14ac:dyDescent="0.3">
      <c r="A37" s="11">
        <v>1100008</v>
      </c>
      <c r="B37" s="11" t="s">
        <v>597</v>
      </c>
      <c r="C37" s="11" t="s">
        <v>601</v>
      </c>
      <c r="D37" s="11" t="s">
        <v>429</v>
      </c>
      <c r="E37" s="11"/>
      <c r="F37" s="11" t="s">
        <v>28</v>
      </c>
      <c r="G37" s="11"/>
      <c r="H37" s="11"/>
      <c r="I37" s="11"/>
      <c r="J37" s="11" t="s">
        <v>584</v>
      </c>
      <c r="K37" s="11"/>
      <c r="L37" s="11" t="s">
        <v>585</v>
      </c>
      <c r="M37" s="11" t="s">
        <v>845</v>
      </c>
      <c r="N37" s="11">
        <v>4100019</v>
      </c>
      <c r="O37" s="11" t="s">
        <v>828</v>
      </c>
      <c r="P37" s="11">
        <v>9999</v>
      </c>
      <c r="Q37" s="11">
        <v>9999</v>
      </c>
      <c r="R37" s="11">
        <v>9999</v>
      </c>
    </row>
    <row r="38" spans="1:18" x14ac:dyDescent="0.3">
      <c r="A38" s="11">
        <v>1100009</v>
      </c>
      <c r="B38" s="11" t="s">
        <v>607</v>
      </c>
      <c r="C38" s="11" t="s">
        <v>606</v>
      </c>
      <c r="D38" s="11" t="s">
        <v>422</v>
      </c>
      <c r="E38" s="11"/>
      <c r="F38" s="11" t="s">
        <v>34</v>
      </c>
      <c r="G38" s="11"/>
      <c r="H38" s="11"/>
      <c r="I38" s="11"/>
      <c r="J38" s="11" t="s">
        <v>583</v>
      </c>
      <c r="K38" s="11"/>
      <c r="L38" s="11" t="s">
        <v>585</v>
      </c>
      <c r="M38" s="11" t="s">
        <v>845</v>
      </c>
      <c r="N38" s="11">
        <v>4100020</v>
      </c>
      <c r="O38" s="11" t="s">
        <v>828</v>
      </c>
      <c r="P38" s="11">
        <v>9999</v>
      </c>
      <c r="Q38" s="11">
        <v>9999</v>
      </c>
      <c r="R38" s="11">
        <v>9999</v>
      </c>
    </row>
    <row r="39" spans="1:18" x14ac:dyDescent="0.3">
      <c r="A39" s="11">
        <v>1100010</v>
      </c>
      <c r="B39" s="11" t="s">
        <v>679</v>
      </c>
      <c r="C39" s="11" t="s">
        <v>680</v>
      </c>
      <c r="D39" s="11" t="s">
        <v>698</v>
      </c>
      <c r="E39" s="11"/>
      <c r="F39" s="11" t="s">
        <v>684</v>
      </c>
      <c r="G39" s="11"/>
      <c r="H39" s="11"/>
      <c r="I39" s="11"/>
      <c r="J39" s="11" t="s">
        <v>686</v>
      </c>
      <c r="K39" s="11"/>
      <c r="L39" s="11" t="s">
        <v>585</v>
      </c>
      <c r="M39" s="11" t="s">
        <v>845</v>
      </c>
      <c r="N39" s="11">
        <v>4100027</v>
      </c>
      <c r="O39" s="11" t="s">
        <v>828</v>
      </c>
      <c r="P39" s="11">
        <v>9999</v>
      </c>
      <c r="Q39" s="11">
        <v>9999</v>
      </c>
      <c r="R39" s="11">
        <v>9999</v>
      </c>
    </row>
    <row r="40" spans="1:18" x14ac:dyDescent="0.3">
      <c r="A40" s="11">
        <v>1100011</v>
      </c>
      <c r="B40" s="11" t="s">
        <v>679</v>
      </c>
      <c r="C40" s="11" t="s">
        <v>681</v>
      </c>
      <c r="D40" s="11" t="s">
        <v>698</v>
      </c>
      <c r="E40" s="11"/>
      <c r="F40" s="11" t="s">
        <v>684</v>
      </c>
      <c r="G40" s="11"/>
      <c r="H40" s="11"/>
      <c r="I40" s="11"/>
      <c r="J40" s="11" t="s">
        <v>686</v>
      </c>
      <c r="K40" s="11"/>
      <c r="L40" s="11" t="s">
        <v>585</v>
      </c>
      <c r="M40" s="11" t="s">
        <v>845</v>
      </c>
      <c r="N40" s="11">
        <v>4100028</v>
      </c>
      <c r="O40" s="11" t="s">
        <v>828</v>
      </c>
      <c r="P40" s="11">
        <v>9999</v>
      </c>
      <c r="Q40" s="11">
        <v>9999</v>
      </c>
      <c r="R40" s="11">
        <v>9999</v>
      </c>
    </row>
    <row r="41" spans="1:18" x14ac:dyDescent="0.3">
      <c r="A41" s="11">
        <v>1100012</v>
      </c>
      <c r="B41" s="11" t="s">
        <v>679</v>
      </c>
      <c r="C41" s="11" t="s">
        <v>682</v>
      </c>
      <c r="D41" s="11" t="s">
        <v>698</v>
      </c>
      <c r="E41" s="11"/>
      <c r="F41" s="11" t="s">
        <v>684</v>
      </c>
      <c r="G41" s="11"/>
      <c r="H41" s="11"/>
      <c r="I41" s="11"/>
      <c r="J41" s="11" t="s">
        <v>687</v>
      </c>
      <c r="K41" s="11"/>
      <c r="L41" s="11" t="s">
        <v>585</v>
      </c>
      <c r="M41" s="11" t="s">
        <v>845</v>
      </c>
      <c r="N41" s="11">
        <v>4100029</v>
      </c>
      <c r="O41" s="11" t="s">
        <v>828</v>
      </c>
      <c r="P41" s="11">
        <v>9999</v>
      </c>
      <c r="Q41" s="11">
        <v>9999</v>
      </c>
      <c r="R41" s="11">
        <v>9999</v>
      </c>
    </row>
    <row r="42" spans="1:18" x14ac:dyDescent="0.3">
      <c r="A42" s="11">
        <v>1100013</v>
      </c>
      <c r="B42" s="11" t="s">
        <v>679</v>
      </c>
      <c r="C42" s="11" t="s">
        <v>683</v>
      </c>
      <c r="D42" s="11" t="s">
        <v>698</v>
      </c>
      <c r="E42" s="11"/>
      <c r="F42" s="11" t="s">
        <v>685</v>
      </c>
      <c r="G42" s="11"/>
      <c r="H42" s="11"/>
      <c r="I42" s="11"/>
      <c r="J42" s="11" t="s">
        <v>688</v>
      </c>
      <c r="K42" s="11"/>
      <c r="L42" s="11" t="s">
        <v>585</v>
      </c>
      <c r="M42" s="11" t="s">
        <v>845</v>
      </c>
      <c r="N42" s="11">
        <v>4100030</v>
      </c>
      <c r="O42" s="11" t="s">
        <v>828</v>
      </c>
      <c r="P42" s="11">
        <v>9999</v>
      </c>
      <c r="Q42" s="11">
        <v>9999</v>
      </c>
      <c r="R42" s="11">
        <v>9999</v>
      </c>
    </row>
    <row r="43" spans="1:18" x14ac:dyDescent="0.3">
      <c r="A43" s="11">
        <v>1100014</v>
      </c>
      <c r="B43" s="11" t="s">
        <v>692</v>
      </c>
      <c r="C43" s="11" t="s">
        <v>693</v>
      </c>
      <c r="D43" s="11" t="s">
        <v>700</v>
      </c>
      <c r="E43" s="11"/>
      <c r="F43" s="11" t="s">
        <v>56</v>
      </c>
      <c r="G43" s="11">
        <v>1</v>
      </c>
      <c r="H43" s="11"/>
      <c r="I43" s="11"/>
      <c r="J43" s="11" t="s">
        <v>687</v>
      </c>
      <c r="K43" s="11"/>
      <c r="L43" s="11" t="s">
        <v>585</v>
      </c>
      <c r="M43" s="11" t="s">
        <v>847</v>
      </c>
      <c r="N43" s="11" t="s">
        <v>708</v>
      </c>
      <c r="O43" s="11" t="s">
        <v>828</v>
      </c>
      <c r="P43" s="11">
        <v>9999</v>
      </c>
      <c r="Q43" s="11">
        <v>9999</v>
      </c>
      <c r="R43" s="11">
        <v>6</v>
      </c>
    </row>
    <row r="44" spans="1:18" x14ac:dyDescent="0.3">
      <c r="A44" s="11">
        <v>1100015</v>
      </c>
      <c r="B44" s="11" t="s">
        <v>692</v>
      </c>
      <c r="C44" s="11" t="s">
        <v>694</v>
      </c>
      <c r="D44" s="11" t="s">
        <v>700</v>
      </c>
      <c r="E44" s="11"/>
      <c r="F44" s="11" t="s">
        <v>56</v>
      </c>
      <c r="G44" s="11">
        <v>1</v>
      </c>
      <c r="H44" s="11"/>
      <c r="I44" s="11"/>
      <c r="J44" s="11" t="s">
        <v>702</v>
      </c>
      <c r="K44" s="11"/>
      <c r="L44" s="11" t="s">
        <v>585</v>
      </c>
      <c r="M44" s="11" t="s">
        <v>847</v>
      </c>
      <c r="N44" s="11" t="s">
        <v>708</v>
      </c>
      <c r="O44" s="11" t="s">
        <v>828</v>
      </c>
      <c r="P44" s="11">
        <v>9999</v>
      </c>
      <c r="Q44" s="11">
        <v>9999</v>
      </c>
      <c r="R44" s="11">
        <v>5</v>
      </c>
    </row>
    <row r="45" spans="1:18" x14ac:dyDescent="0.3">
      <c r="A45" s="11">
        <v>1100016</v>
      </c>
      <c r="B45" s="11" t="s">
        <v>692</v>
      </c>
      <c r="C45" s="11" t="s">
        <v>695</v>
      </c>
      <c r="D45" s="11" t="s">
        <v>700</v>
      </c>
      <c r="E45" s="11"/>
      <c r="F45" s="11" t="s">
        <v>56</v>
      </c>
      <c r="G45" s="11">
        <v>1</v>
      </c>
      <c r="H45" s="11"/>
      <c r="I45" s="11"/>
      <c r="J45" s="11" t="s">
        <v>687</v>
      </c>
      <c r="K45" s="11"/>
      <c r="L45" s="11" t="s">
        <v>585</v>
      </c>
      <c r="M45" s="11" t="s">
        <v>847</v>
      </c>
      <c r="N45" s="11" t="s">
        <v>708</v>
      </c>
      <c r="O45" s="11" t="s">
        <v>828</v>
      </c>
      <c r="P45" s="11">
        <v>9999</v>
      </c>
      <c r="Q45" s="11">
        <v>9999</v>
      </c>
      <c r="R45" s="11">
        <v>4</v>
      </c>
    </row>
    <row r="46" spans="1:18" x14ac:dyDescent="0.3">
      <c r="A46" s="11">
        <v>1100017</v>
      </c>
      <c r="B46" s="11" t="s">
        <v>692</v>
      </c>
      <c r="C46" s="11" t="s">
        <v>696</v>
      </c>
      <c r="D46" s="11" t="s">
        <v>700</v>
      </c>
      <c r="E46" s="11"/>
      <c r="F46" s="11" t="s">
        <v>56</v>
      </c>
      <c r="G46" s="11">
        <v>1</v>
      </c>
      <c r="H46" s="11"/>
      <c r="I46" s="11"/>
      <c r="J46" s="11" t="s">
        <v>687</v>
      </c>
      <c r="K46" s="11"/>
      <c r="L46" s="11" t="s">
        <v>585</v>
      </c>
      <c r="M46" s="11" t="s">
        <v>847</v>
      </c>
      <c r="N46" s="11" t="s">
        <v>708</v>
      </c>
      <c r="O46" s="11" t="s">
        <v>828</v>
      </c>
      <c r="P46" s="11">
        <v>9999</v>
      </c>
      <c r="Q46" s="11">
        <v>9999</v>
      </c>
      <c r="R46" s="11">
        <v>3</v>
      </c>
    </row>
    <row r="47" spans="1:18" x14ac:dyDescent="0.3">
      <c r="A47" s="11">
        <v>1100018</v>
      </c>
      <c r="B47" s="11" t="s">
        <v>767</v>
      </c>
      <c r="C47" s="11" t="s">
        <v>768</v>
      </c>
      <c r="D47" s="11" t="s">
        <v>769</v>
      </c>
      <c r="E47" s="11"/>
      <c r="F47" s="11" t="s">
        <v>28</v>
      </c>
      <c r="G47" s="11">
        <v>1</v>
      </c>
      <c r="H47" s="11" t="s">
        <v>770</v>
      </c>
      <c r="I47" s="11" t="s">
        <v>12</v>
      </c>
      <c r="J47" s="11" t="s">
        <v>772</v>
      </c>
      <c r="K47" s="11" t="s">
        <v>433</v>
      </c>
      <c r="L47" s="11" t="s">
        <v>773</v>
      </c>
      <c r="M47" s="11" t="s">
        <v>845</v>
      </c>
      <c r="N47" s="11">
        <v>4100043</v>
      </c>
      <c r="O47" s="11" t="s">
        <v>828</v>
      </c>
      <c r="P47" s="11">
        <v>9999</v>
      </c>
      <c r="Q47" s="11">
        <v>9999</v>
      </c>
      <c r="R47" s="11">
        <v>4</v>
      </c>
    </row>
    <row r="48" spans="1:18" x14ac:dyDescent="0.3">
      <c r="A48" s="11">
        <v>1100019</v>
      </c>
      <c r="B48" s="11" t="s">
        <v>779</v>
      </c>
      <c r="C48" s="11" t="s">
        <v>780</v>
      </c>
      <c r="D48" s="11" t="s">
        <v>788</v>
      </c>
      <c r="E48" s="11"/>
      <c r="F48" s="11" t="s">
        <v>28</v>
      </c>
      <c r="G48" s="11"/>
      <c r="H48" s="11"/>
      <c r="I48" s="11"/>
      <c r="J48" s="11">
        <v>0</v>
      </c>
      <c r="K48" s="11"/>
      <c r="L48" s="11" t="s">
        <v>585</v>
      </c>
      <c r="M48" s="11" t="s">
        <v>845</v>
      </c>
      <c r="N48" s="11">
        <v>4100044</v>
      </c>
      <c r="O48" s="11" t="s">
        <v>828</v>
      </c>
      <c r="P48" s="11">
        <v>9999</v>
      </c>
      <c r="Q48" s="11">
        <v>9999</v>
      </c>
      <c r="R48" s="11">
        <v>9999</v>
      </c>
    </row>
    <row r="49" spans="1:18" x14ac:dyDescent="0.3">
      <c r="A49" s="11">
        <v>1100020</v>
      </c>
      <c r="B49" s="11" t="s">
        <v>779</v>
      </c>
      <c r="C49" s="11" t="s">
        <v>781</v>
      </c>
      <c r="D49" s="11" t="s">
        <v>789</v>
      </c>
      <c r="E49" s="11"/>
      <c r="F49" s="11" t="s">
        <v>28</v>
      </c>
      <c r="G49" s="11"/>
      <c r="H49" s="11"/>
      <c r="I49" s="11"/>
      <c r="J49" s="11">
        <v>0</v>
      </c>
      <c r="K49" s="11"/>
      <c r="L49" s="11" t="s">
        <v>585</v>
      </c>
      <c r="M49" s="11" t="s">
        <v>845</v>
      </c>
      <c r="N49" s="11">
        <v>4100045</v>
      </c>
      <c r="O49" s="11" t="s">
        <v>828</v>
      </c>
      <c r="P49" s="11">
        <v>9999</v>
      </c>
      <c r="Q49" s="11">
        <v>9999</v>
      </c>
      <c r="R49" s="11">
        <v>9999</v>
      </c>
    </row>
    <row r="50" spans="1:18" x14ac:dyDescent="0.3">
      <c r="A50" s="11">
        <v>1100021</v>
      </c>
      <c r="B50" s="11" t="s">
        <v>779</v>
      </c>
      <c r="C50" s="11" t="s">
        <v>782</v>
      </c>
      <c r="D50" s="11" t="s">
        <v>790</v>
      </c>
      <c r="E50" s="11"/>
      <c r="F50" s="11" t="s">
        <v>28</v>
      </c>
      <c r="G50" s="11"/>
      <c r="H50" s="11"/>
      <c r="I50" s="11"/>
      <c r="J50" s="11">
        <v>0</v>
      </c>
      <c r="K50" s="11"/>
      <c r="L50" s="11" t="s">
        <v>585</v>
      </c>
      <c r="M50" s="11" t="s">
        <v>845</v>
      </c>
      <c r="N50" s="11">
        <v>4100046</v>
      </c>
      <c r="O50" s="11" t="s">
        <v>828</v>
      </c>
      <c r="P50" s="11">
        <v>9999</v>
      </c>
      <c r="Q50" s="11">
        <v>9999</v>
      </c>
      <c r="R50" s="11">
        <v>9999</v>
      </c>
    </row>
    <row r="51" spans="1:18" x14ac:dyDescent="0.3">
      <c r="A51" s="11">
        <v>1100022</v>
      </c>
      <c r="B51" s="11" t="s">
        <v>779</v>
      </c>
      <c r="C51" s="11" t="s">
        <v>783</v>
      </c>
      <c r="D51" s="11" t="s">
        <v>789</v>
      </c>
      <c r="E51" s="11"/>
      <c r="F51" s="11" t="s">
        <v>28</v>
      </c>
      <c r="G51" s="11"/>
      <c r="H51" s="11"/>
      <c r="I51" s="11"/>
      <c r="J51" s="11">
        <v>0</v>
      </c>
      <c r="K51" s="11"/>
      <c r="L51" s="11" t="s">
        <v>585</v>
      </c>
      <c r="M51" s="11" t="s">
        <v>845</v>
      </c>
      <c r="N51" s="11">
        <v>4100047</v>
      </c>
      <c r="O51" s="11" t="s">
        <v>828</v>
      </c>
      <c r="P51" s="11">
        <v>9999</v>
      </c>
      <c r="Q51" s="11">
        <v>9999</v>
      </c>
      <c r="R51" s="11">
        <v>9999</v>
      </c>
    </row>
  </sheetData>
  <phoneticPr fontId="1" type="noConversion"/>
  <conditionalFormatting sqref="N34:N37">
    <cfRule type="duplicateValues" dxfId="66" priority="24"/>
  </conditionalFormatting>
  <conditionalFormatting sqref="N39:N42">
    <cfRule type="duplicateValues" dxfId="65" priority="23"/>
  </conditionalFormatting>
  <conditionalFormatting sqref="N48:N51">
    <cfRule type="duplicateValues" dxfId="64" priority="22"/>
  </conditionalFormatting>
  <conditionalFormatting sqref="A4:A51">
    <cfRule type="duplicateValues" dxfId="63" priority="1"/>
  </conditionalFormatting>
  <dataValidations disablePrompts="1" count="2">
    <dataValidation type="list" allowBlank="1" showInputMessage="1" showErrorMessage="1" sqref="D4:D51">
      <formula1>TargetType</formula1>
    </dataValidation>
    <dataValidation type="list" allowBlank="1" showInputMessage="1" showErrorMessage="1" sqref="F4:F51">
      <formula1>MultipleType</formula1>
    </dataValidation>
  </dataValidations>
  <hyperlinks>
    <hyperlink ref="D2" location="TargetType" display="TargetType"/>
    <hyperlink ref="E2" location="TargetLimit" display="TargetLimit"/>
    <hyperlink ref="F2" location="MultipleType" display="MultipleType"/>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123</v>
      </c>
      <c r="B3" s="11" t="s">
        <v>121</v>
      </c>
      <c r="C3" s="11" t="s">
        <v>122</v>
      </c>
      <c r="D3" s="11"/>
      <c r="E3" s="11"/>
      <c r="F3" s="11"/>
      <c r="G3" s="11"/>
      <c r="H3" s="11"/>
      <c r="I3" s="11" t="s">
        <v>125</v>
      </c>
      <c r="J3" s="11" t="s">
        <v>126</v>
      </c>
      <c r="K3" s="11"/>
      <c r="L3" s="11"/>
    </row>
    <row r="4" spans="1:12" ht="16.5" x14ac:dyDescent="0.2">
      <c r="A4" s="11">
        <v>10</v>
      </c>
      <c r="B4" s="11">
        <v>100</v>
      </c>
      <c r="C4" s="11">
        <v>100</v>
      </c>
      <c r="D4" s="11"/>
      <c r="E4" s="11">
        <f>((C4-B4)*2/C4+1)*A4</f>
        <v>10</v>
      </c>
      <c r="F4" s="11" t="s">
        <v>124</v>
      </c>
      <c r="G4" s="11"/>
      <c r="H4" s="11"/>
      <c r="I4" s="11">
        <v>1</v>
      </c>
      <c r="J4" s="11">
        <v>5</v>
      </c>
      <c r="K4" s="11">
        <f>((I4-J4+8)/4)*A4</f>
        <v>10</v>
      </c>
      <c r="L4" s="11" t="s">
        <v>158</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zoomScaleNormal="100" workbookViewId="0">
      <selection activeCell="D23" sqref="D23"/>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7" customFormat="1" ht="99.75" customHeight="1" x14ac:dyDescent="0.2">
      <c r="A1" s="5" t="s">
        <v>0</v>
      </c>
      <c r="B1" s="5" t="s">
        <v>3</v>
      </c>
      <c r="C1" s="5" t="s">
        <v>8</v>
      </c>
      <c r="D1" s="5" t="s">
        <v>824</v>
      </c>
      <c r="E1" s="24" t="s">
        <v>826</v>
      </c>
      <c r="F1" s="6" t="s">
        <v>317</v>
      </c>
      <c r="G1" s="24" t="s">
        <v>825</v>
      </c>
      <c r="H1" s="6" t="s">
        <v>312</v>
      </c>
      <c r="I1" s="6" t="s">
        <v>492</v>
      </c>
      <c r="J1" s="25" t="s">
        <v>827</v>
      </c>
    </row>
    <row r="2" spans="1:10" x14ac:dyDescent="0.3">
      <c r="A2" s="9" t="s">
        <v>1</v>
      </c>
      <c r="B2" s="9" t="s">
        <v>4</v>
      </c>
      <c r="C2" s="9" t="s">
        <v>4</v>
      </c>
      <c r="D2" s="18" t="s">
        <v>10</v>
      </c>
      <c r="E2" s="9" t="s">
        <v>50</v>
      </c>
      <c r="F2" s="13" t="s">
        <v>15</v>
      </c>
      <c r="G2" s="9" t="s">
        <v>823</v>
      </c>
      <c r="H2" s="13" t="s">
        <v>13</v>
      </c>
      <c r="I2" s="19" t="s">
        <v>102</v>
      </c>
      <c r="J2" s="13" t="s">
        <v>485</v>
      </c>
    </row>
    <row r="3" spans="1:10" x14ac:dyDescent="0.3">
      <c r="A3" s="17" t="s">
        <v>14</v>
      </c>
      <c r="B3" s="17" t="s">
        <v>5</v>
      </c>
      <c r="C3" s="17" t="s">
        <v>39</v>
      </c>
      <c r="D3" s="17" t="s">
        <v>81</v>
      </c>
      <c r="E3" s="17" t="s">
        <v>118</v>
      </c>
      <c r="F3" s="17" t="s">
        <v>18</v>
      </c>
      <c r="G3" s="17" t="s">
        <v>822</v>
      </c>
      <c r="H3" s="17" t="s">
        <v>17</v>
      </c>
      <c r="I3" s="17" t="s">
        <v>308</v>
      </c>
      <c r="J3" s="17" t="s">
        <v>105</v>
      </c>
    </row>
    <row r="4" spans="1:10" x14ac:dyDescent="0.3">
      <c r="A4" s="16">
        <v>2000001</v>
      </c>
      <c r="B4" s="11" t="s">
        <v>47</v>
      </c>
      <c r="C4" s="11" t="s">
        <v>372</v>
      </c>
      <c r="D4" s="11" t="s">
        <v>29</v>
      </c>
      <c r="E4" s="11" t="s">
        <v>51</v>
      </c>
      <c r="F4" s="11" t="s">
        <v>16</v>
      </c>
      <c r="G4" s="11" t="s">
        <v>828</v>
      </c>
      <c r="H4" s="11">
        <v>0.5</v>
      </c>
      <c r="I4" s="11" t="s">
        <v>38</v>
      </c>
      <c r="J4" s="11">
        <v>1010001</v>
      </c>
    </row>
    <row r="5" spans="1:10" x14ac:dyDescent="0.3">
      <c r="A5" s="11">
        <v>2000002</v>
      </c>
      <c r="B5" s="11" t="s">
        <v>300</v>
      </c>
      <c r="C5" s="11" t="s">
        <v>302</v>
      </c>
      <c r="D5" s="11" t="s">
        <v>42</v>
      </c>
      <c r="E5" s="11" t="s">
        <v>52</v>
      </c>
      <c r="F5" s="11" t="s">
        <v>43</v>
      </c>
      <c r="G5" s="11" t="s">
        <v>828</v>
      </c>
      <c r="H5" s="11">
        <v>0</v>
      </c>
      <c r="I5" s="11" t="s">
        <v>307</v>
      </c>
      <c r="J5" s="11">
        <v>1010002</v>
      </c>
    </row>
    <row r="6" spans="1:10" x14ac:dyDescent="0.3">
      <c r="A6" s="11">
        <v>2000003</v>
      </c>
      <c r="B6" s="11" t="s">
        <v>301</v>
      </c>
      <c r="C6" s="11" t="s">
        <v>303</v>
      </c>
      <c r="D6" s="11" t="s">
        <v>42</v>
      </c>
      <c r="E6" s="11" t="s">
        <v>52</v>
      </c>
      <c r="F6" s="11" t="s">
        <v>43</v>
      </c>
      <c r="G6" s="11" t="s">
        <v>828</v>
      </c>
      <c r="H6" s="11">
        <v>0</v>
      </c>
      <c r="I6" s="11" t="s">
        <v>307</v>
      </c>
      <c r="J6" s="11">
        <v>1010003</v>
      </c>
    </row>
    <row r="7" spans="1:10" x14ac:dyDescent="0.3">
      <c r="A7" s="11">
        <v>2000004</v>
      </c>
      <c r="B7" s="11" t="s">
        <v>313</v>
      </c>
      <c r="C7" s="11" t="s">
        <v>316</v>
      </c>
      <c r="D7" s="11" t="s">
        <v>36</v>
      </c>
      <c r="E7" s="11" t="s">
        <v>52</v>
      </c>
      <c r="F7" s="11" t="s">
        <v>44</v>
      </c>
      <c r="G7" s="11" t="s">
        <v>828</v>
      </c>
      <c r="H7" s="11">
        <v>0</v>
      </c>
      <c r="I7" s="11" t="s">
        <v>299</v>
      </c>
      <c r="J7" s="11" t="s">
        <v>486</v>
      </c>
    </row>
    <row r="8" spans="1:10" x14ac:dyDescent="0.3">
      <c r="A8" s="11">
        <v>2000005</v>
      </c>
      <c r="B8" s="11" t="s">
        <v>314</v>
      </c>
      <c r="C8" s="11" t="s">
        <v>315</v>
      </c>
      <c r="D8" s="11" t="s">
        <v>36</v>
      </c>
      <c r="E8" s="11" t="s">
        <v>52</v>
      </c>
      <c r="F8" s="11" t="s">
        <v>44</v>
      </c>
      <c r="G8" s="11" t="s">
        <v>828</v>
      </c>
      <c r="H8" s="11">
        <v>0</v>
      </c>
      <c r="I8" s="11" t="s">
        <v>299</v>
      </c>
      <c r="J8" s="11" t="s">
        <v>487</v>
      </c>
    </row>
    <row r="14" spans="1:10" x14ac:dyDescent="0.3">
      <c r="F14" s="1" t="s">
        <v>100</v>
      </c>
    </row>
  </sheetData>
  <phoneticPr fontId="1" type="noConversion"/>
  <conditionalFormatting sqref="A4:A8">
    <cfRule type="duplicateValues" dxfId="42"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topLeftCell="A25" workbookViewId="0">
      <selection activeCell="C30" sqref="C30"/>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5" t="s">
        <v>71</v>
      </c>
      <c r="B1" s="5" t="s">
        <v>74</v>
      </c>
      <c r="C1" s="5" t="s">
        <v>75</v>
      </c>
      <c r="D1" s="5" t="s">
        <v>493</v>
      </c>
      <c r="E1" s="5" t="s">
        <v>494</v>
      </c>
      <c r="F1" s="7"/>
      <c r="G1" s="7"/>
      <c r="H1" s="7"/>
      <c r="I1" s="7"/>
      <c r="J1" s="7"/>
      <c r="K1" s="7"/>
      <c r="L1" s="7"/>
      <c r="M1" s="7"/>
      <c r="N1" s="7"/>
      <c r="O1" s="7"/>
    </row>
    <row r="2" spans="1:15" ht="16.5" x14ac:dyDescent="0.2">
      <c r="A2" s="9" t="s">
        <v>72</v>
      </c>
      <c r="B2" s="9" t="s">
        <v>76</v>
      </c>
      <c r="C2" s="9" t="s">
        <v>76</v>
      </c>
      <c r="D2" s="18" t="s">
        <v>242</v>
      </c>
      <c r="E2" s="9" t="s">
        <v>243</v>
      </c>
      <c r="F2" s="11"/>
      <c r="G2" s="11"/>
      <c r="H2" s="11"/>
      <c r="I2" s="11"/>
      <c r="J2" s="11"/>
      <c r="K2" s="11"/>
      <c r="L2" s="11"/>
      <c r="M2" s="11"/>
      <c r="N2" s="11"/>
      <c r="O2" s="11"/>
    </row>
    <row r="3" spans="1:15" ht="16.5" x14ac:dyDescent="0.2">
      <c r="A3" s="17" t="s">
        <v>73</v>
      </c>
      <c r="B3" s="17" t="s">
        <v>77</v>
      </c>
      <c r="C3" s="17" t="s">
        <v>91</v>
      </c>
      <c r="D3" s="17" t="s">
        <v>107</v>
      </c>
      <c r="E3" s="17" t="s">
        <v>78</v>
      </c>
      <c r="F3" s="11"/>
      <c r="G3" s="11"/>
      <c r="H3" s="11"/>
      <c r="I3" s="11"/>
      <c r="J3" s="11"/>
      <c r="K3" s="11"/>
      <c r="L3" s="11"/>
      <c r="M3" s="11"/>
      <c r="N3" s="11"/>
      <c r="O3" s="11"/>
    </row>
    <row r="4" spans="1:15" ht="16.5" x14ac:dyDescent="0.2">
      <c r="A4" s="16">
        <v>3000001</v>
      </c>
      <c r="B4" s="11" t="s">
        <v>244</v>
      </c>
      <c r="C4" s="11" t="s">
        <v>245</v>
      </c>
      <c r="D4" s="11" t="s">
        <v>454</v>
      </c>
      <c r="E4" s="11" t="s">
        <v>246</v>
      </c>
      <c r="F4" s="11"/>
      <c r="G4" s="11" t="str">
        <f>枚举参数!P1</f>
        <v>PassiveType</v>
      </c>
      <c r="H4" s="11" t="s">
        <v>481</v>
      </c>
      <c r="I4" s="11"/>
      <c r="J4" s="23" t="s">
        <v>821</v>
      </c>
      <c r="K4" s="11"/>
      <c r="L4" s="11"/>
      <c r="M4" s="11"/>
      <c r="N4" s="11"/>
      <c r="O4" s="11"/>
    </row>
    <row r="5" spans="1:15" ht="16.5" x14ac:dyDescent="0.2">
      <c r="A5" s="16">
        <v>3000002</v>
      </c>
      <c r="B5" s="11" t="s">
        <v>247</v>
      </c>
      <c r="C5" s="11" t="s">
        <v>248</v>
      </c>
      <c r="D5" s="11" t="s">
        <v>457</v>
      </c>
      <c r="E5" s="11" t="s">
        <v>458</v>
      </c>
      <c r="F5" s="11"/>
      <c r="G5" s="11" t="str">
        <f>枚举参数!P3</f>
        <v>Property</v>
      </c>
      <c r="H5" s="11"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11"/>
      <c r="J5" s="11"/>
      <c r="K5" s="11"/>
      <c r="L5" s="11"/>
      <c r="M5" s="11"/>
      <c r="N5" s="11"/>
      <c r="O5" s="11"/>
    </row>
    <row r="6" spans="1:15" ht="16.5" x14ac:dyDescent="0.2">
      <c r="A6" s="16">
        <v>3000003</v>
      </c>
      <c r="B6" s="11" t="s">
        <v>249</v>
      </c>
      <c r="C6" s="11" t="s">
        <v>250</v>
      </c>
      <c r="D6" s="11" t="s">
        <v>450</v>
      </c>
      <c r="E6" s="11" t="s">
        <v>459</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11"/>
      <c r="J6" s="11"/>
      <c r="K6" s="11"/>
      <c r="L6" s="11"/>
      <c r="M6" s="11"/>
      <c r="N6" s="11"/>
      <c r="O6" s="11"/>
    </row>
    <row r="7" spans="1:15" ht="16.5" x14ac:dyDescent="0.2">
      <c r="A7" s="16">
        <v>3000004</v>
      </c>
      <c r="B7" s="11" t="s">
        <v>262</v>
      </c>
      <c r="C7" s="11" t="s">
        <v>263</v>
      </c>
      <c r="D7" s="11" t="s">
        <v>261</v>
      </c>
      <c r="E7" s="11" t="s">
        <v>544</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269</v>
      </c>
      <c r="C8" s="11" t="s">
        <v>618</v>
      </c>
      <c r="D8" s="11" t="s">
        <v>537</v>
      </c>
      <c r="E8" s="11" t="s">
        <v>543</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270</v>
      </c>
      <c r="C9" s="11" t="s">
        <v>619</v>
      </c>
      <c r="D9" s="11" t="s">
        <v>537</v>
      </c>
      <c r="E9" s="11" t="s">
        <v>542</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272</v>
      </c>
      <c r="C10" s="11" t="s">
        <v>273</v>
      </c>
      <c r="D10" s="11" t="s">
        <v>457</v>
      </c>
      <c r="E10" s="11" t="s">
        <v>466</v>
      </c>
      <c r="F10" s="11"/>
      <c r="G10" s="11" t="e">
        <f>枚举参数!#REF!</f>
        <v>#REF!</v>
      </c>
      <c r="H10" s="11" t="e">
        <f>枚举参数!#REF!</f>
        <v>#REF!</v>
      </c>
      <c r="I10" s="11"/>
      <c r="J10" s="11"/>
      <c r="K10" s="11"/>
      <c r="L10" s="11"/>
      <c r="M10" s="11"/>
      <c r="N10" s="11"/>
      <c r="O10" s="11"/>
    </row>
    <row r="11" spans="1:15" ht="16.5" x14ac:dyDescent="0.2">
      <c r="A11" s="16">
        <v>3000008</v>
      </c>
      <c r="B11" s="11" t="s">
        <v>274</v>
      </c>
      <c r="C11" s="11" t="s">
        <v>275</v>
      </c>
      <c r="D11" s="11" t="s">
        <v>461</v>
      </c>
      <c r="E11" s="11" t="s">
        <v>460</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277</v>
      </c>
      <c r="C12" s="11" t="s">
        <v>276</v>
      </c>
      <c r="D12" s="11" t="s">
        <v>457</v>
      </c>
      <c r="E12" s="11" t="s">
        <v>468</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279</v>
      </c>
      <c r="C13" s="11" t="s">
        <v>278</v>
      </c>
      <c r="D13" s="11" t="s">
        <v>539</v>
      </c>
      <c r="E13" s="11" t="s">
        <v>548</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280</v>
      </c>
      <c r="C14" s="11" t="s">
        <v>281</v>
      </c>
      <c r="D14" s="11" t="s">
        <v>539</v>
      </c>
      <c r="E14" s="11" t="s">
        <v>550</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282</v>
      </c>
      <c r="C15" s="11" t="s">
        <v>283</v>
      </c>
      <c r="D15" s="11" t="s">
        <v>462</v>
      </c>
      <c r="E15" s="11" t="s">
        <v>463</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285</v>
      </c>
      <c r="C16" s="11" t="s">
        <v>286</v>
      </c>
      <c r="D16" s="11" t="s">
        <v>462</v>
      </c>
      <c r="E16" s="11" t="s">
        <v>464</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287</v>
      </c>
      <c r="C17" s="11" t="s">
        <v>620</v>
      </c>
      <c r="D17" s="11" t="s">
        <v>456</v>
      </c>
      <c r="E17" s="11" t="s">
        <v>467</v>
      </c>
      <c r="F17" s="11"/>
      <c r="G17" s="11" t="str">
        <f>枚举参数!P13</f>
        <v>TreasureRadar</v>
      </c>
      <c r="H17" s="11">
        <f>枚举参数!Q14</f>
        <v>0</v>
      </c>
      <c r="I17" s="11"/>
      <c r="J17" s="11"/>
      <c r="K17" s="11"/>
      <c r="L17" s="11"/>
      <c r="M17" s="11"/>
      <c r="N17" s="11"/>
      <c r="O17" s="11"/>
    </row>
    <row r="18" spans="1:15" ht="16.5" x14ac:dyDescent="0.2">
      <c r="A18" s="16">
        <v>3000015</v>
      </c>
      <c r="B18" s="11" t="s">
        <v>288</v>
      </c>
      <c r="C18" s="11" t="s">
        <v>290</v>
      </c>
      <c r="D18" s="11" t="s">
        <v>446</v>
      </c>
      <c r="E18" s="11">
        <v>0.02</v>
      </c>
      <c r="F18" s="11"/>
      <c r="G18" s="11"/>
      <c r="H18" s="11"/>
      <c r="I18" s="11"/>
      <c r="J18" s="11"/>
      <c r="K18" s="11"/>
      <c r="L18" s="11"/>
      <c r="M18" s="11"/>
      <c r="N18" s="11"/>
      <c r="O18" s="11"/>
    </row>
    <row r="19" spans="1:15" ht="16.5" x14ac:dyDescent="0.2">
      <c r="A19" s="16">
        <v>3000016</v>
      </c>
      <c r="B19" s="11" t="s">
        <v>294</v>
      </c>
      <c r="C19" s="11" t="s">
        <v>617</v>
      </c>
      <c r="D19" s="11" t="s">
        <v>292</v>
      </c>
      <c r="E19" s="11" t="s">
        <v>551</v>
      </c>
      <c r="F19" s="11"/>
      <c r="G19" s="11"/>
      <c r="H19" s="11"/>
      <c r="I19" s="11"/>
      <c r="J19" s="11"/>
      <c r="K19" s="11"/>
      <c r="L19" s="11"/>
      <c r="M19" s="11"/>
      <c r="N19" s="11"/>
      <c r="O19" s="11"/>
    </row>
    <row r="20" spans="1:15" ht="16.5" x14ac:dyDescent="0.2">
      <c r="A20" s="16">
        <v>3000017</v>
      </c>
      <c r="B20" s="11" t="s">
        <v>295</v>
      </c>
      <c r="C20" s="11" t="s">
        <v>298</v>
      </c>
      <c r="D20" s="11" t="s">
        <v>470</v>
      </c>
      <c r="E20" s="11" t="s">
        <v>469</v>
      </c>
      <c r="F20" s="11"/>
      <c r="G20" s="11"/>
      <c r="H20" s="11"/>
      <c r="I20" s="11"/>
      <c r="J20" s="11"/>
      <c r="K20" s="11"/>
      <c r="L20" s="11"/>
      <c r="M20" s="11"/>
      <c r="N20" s="11"/>
      <c r="O20" s="11"/>
    </row>
    <row r="21" spans="1:15" ht="16.5" x14ac:dyDescent="0.2">
      <c r="A21" s="16">
        <v>3000018</v>
      </c>
      <c r="B21" s="11" t="s">
        <v>300</v>
      </c>
      <c r="C21" s="11" t="s">
        <v>320</v>
      </c>
      <c r="D21" s="7" t="s">
        <v>318</v>
      </c>
      <c r="E21" s="11">
        <v>1</v>
      </c>
      <c r="F21" s="11"/>
      <c r="G21" s="11"/>
      <c r="H21" s="11"/>
      <c r="I21" s="11"/>
      <c r="J21" s="11"/>
      <c r="K21" s="11"/>
      <c r="L21" s="11"/>
      <c r="M21" s="11"/>
      <c r="N21" s="11"/>
      <c r="O21" s="11"/>
    </row>
    <row r="22" spans="1:15" ht="16.5" x14ac:dyDescent="0.2">
      <c r="A22" s="16">
        <v>3000019</v>
      </c>
      <c r="B22" s="11" t="s">
        <v>301</v>
      </c>
      <c r="C22" s="11" t="s">
        <v>321</v>
      </c>
      <c r="D22" s="7" t="s">
        <v>318</v>
      </c>
      <c r="E22" s="11">
        <v>1</v>
      </c>
      <c r="F22" s="11"/>
      <c r="G22" s="11"/>
      <c r="H22" s="11"/>
      <c r="I22" s="11"/>
      <c r="J22" s="11"/>
      <c r="K22" s="11"/>
      <c r="L22" s="11"/>
      <c r="M22" s="11"/>
      <c r="N22" s="11"/>
      <c r="O22" s="11"/>
    </row>
    <row r="23" spans="1:15" ht="16.5" x14ac:dyDescent="0.2">
      <c r="A23" s="16">
        <v>3000020</v>
      </c>
      <c r="B23" s="11" t="s">
        <v>313</v>
      </c>
      <c r="C23" s="11" t="s">
        <v>322</v>
      </c>
      <c r="D23" s="7" t="s">
        <v>318</v>
      </c>
      <c r="E23" s="11">
        <v>11000060</v>
      </c>
      <c r="F23" s="11"/>
      <c r="G23" s="11"/>
      <c r="H23" s="11"/>
      <c r="I23" s="11"/>
      <c r="J23" s="11"/>
      <c r="K23" s="11"/>
      <c r="L23" s="11"/>
      <c r="M23" s="11"/>
      <c r="N23" s="11"/>
      <c r="O23" s="11"/>
    </row>
    <row r="24" spans="1:15" ht="16.5" x14ac:dyDescent="0.2">
      <c r="A24" s="16">
        <v>3000021</v>
      </c>
      <c r="B24" s="11" t="s">
        <v>314</v>
      </c>
      <c r="C24" s="11" t="s">
        <v>323</v>
      </c>
      <c r="D24" s="7" t="s">
        <v>318</v>
      </c>
      <c r="E24" s="11">
        <v>1</v>
      </c>
      <c r="F24" s="11"/>
      <c r="G24" s="9" t="s">
        <v>512</v>
      </c>
      <c r="H24" s="11"/>
      <c r="I24" s="11"/>
      <c r="J24" s="11"/>
      <c r="K24" s="11"/>
      <c r="L24" s="11"/>
      <c r="M24" s="11"/>
      <c r="N24" s="11"/>
      <c r="O24" s="11"/>
    </row>
    <row r="25" spans="1:15" ht="16.5" x14ac:dyDescent="0.2">
      <c r="A25" s="22">
        <v>3100001</v>
      </c>
      <c r="B25" s="11" t="s">
        <v>479</v>
      </c>
      <c r="C25" s="11" t="s">
        <v>480</v>
      </c>
      <c r="D25" s="11" t="s">
        <v>500</v>
      </c>
      <c r="E25" s="11" t="s">
        <v>557</v>
      </c>
      <c r="G25" s="9" t="s">
        <v>549</v>
      </c>
    </row>
    <row r="26" spans="1:15" ht="16.5" x14ac:dyDescent="0.2">
      <c r="A26" s="22">
        <v>3100002</v>
      </c>
      <c r="B26" s="11" t="s">
        <v>499</v>
      </c>
      <c r="C26" s="11" t="s">
        <v>498</v>
      </c>
      <c r="D26" s="11" t="s">
        <v>497</v>
      </c>
      <c r="E26" s="11" t="s">
        <v>558</v>
      </c>
      <c r="G26" s="9" t="s">
        <v>547</v>
      </c>
    </row>
    <row r="27" spans="1:15" ht="16.5" x14ac:dyDescent="0.2">
      <c r="A27" s="22">
        <v>3100003</v>
      </c>
      <c r="B27" s="11" t="s">
        <v>506</v>
      </c>
      <c r="C27" s="11" t="s">
        <v>504</v>
      </c>
      <c r="D27" s="11" t="s">
        <v>500</v>
      </c>
      <c r="E27" s="11" t="s">
        <v>559</v>
      </c>
      <c r="G27" s="9" t="s">
        <v>545</v>
      </c>
    </row>
    <row r="28" spans="1:15" ht="16.5" x14ac:dyDescent="0.2">
      <c r="A28" s="22">
        <v>3100004</v>
      </c>
      <c r="B28" s="11" t="s">
        <v>506</v>
      </c>
      <c r="C28" s="11" t="s">
        <v>505</v>
      </c>
      <c r="D28" s="11" t="s">
        <v>497</v>
      </c>
      <c r="E28" s="11" t="s">
        <v>560</v>
      </c>
      <c r="G28" s="9" t="s">
        <v>546</v>
      </c>
    </row>
    <row r="29" spans="1:15" ht="16.5" x14ac:dyDescent="0.2">
      <c r="A29" s="22">
        <v>3100005</v>
      </c>
      <c r="B29" s="11" t="s">
        <v>509</v>
      </c>
      <c r="C29" s="11" t="s">
        <v>535</v>
      </c>
      <c r="D29" s="11" t="s">
        <v>497</v>
      </c>
      <c r="E29" s="11" t="s">
        <v>561</v>
      </c>
    </row>
    <row r="30" spans="1:15" ht="16.5" x14ac:dyDescent="0.2">
      <c r="A30" s="22">
        <v>3100006</v>
      </c>
      <c r="B30" s="11" t="s">
        <v>509</v>
      </c>
      <c r="C30" s="11" t="s">
        <v>553</v>
      </c>
      <c r="D30" s="11" t="s">
        <v>497</v>
      </c>
      <c r="E30" s="11" t="s">
        <v>562</v>
      </c>
    </row>
    <row r="31" spans="1:15" ht="16.5" x14ac:dyDescent="0.2">
      <c r="A31" s="22">
        <v>3100007</v>
      </c>
      <c r="B31" s="11" t="s">
        <v>555</v>
      </c>
      <c r="C31" s="11" t="s">
        <v>563</v>
      </c>
      <c r="D31" s="11" t="s">
        <v>497</v>
      </c>
      <c r="E31" s="11" t="s">
        <v>646</v>
      </c>
    </row>
    <row r="32" spans="1:15" ht="16.5" x14ac:dyDescent="0.2">
      <c r="A32" s="22">
        <v>3100008</v>
      </c>
      <c r="B32" s="11" t="s">
        <v>555</v>
      </c>
      <c r="C32" s="11" t="s">
        <v>571</v>
      </c>
      <c r="D32" s="11" t="s">
        <v>457</v>
      </c>
      <c r="E32" s="11" t="s">
        <v>570</v>
      </c>
    </row>
    <row r="33" spans="1:5" ht="16.5" x14ac:dyDescent="0.2">
      <c r="A33" s="22">
        <v>3100009</v>
      </c>
      <c r="B33" s="11" t="s">
        <v>566</v>
      </c>
      <c r="C33" s="11" t="s">
        <v>567</v>
      </c>
      <c r="D33" s="11" t="s">
        <v>497</v>
      </c>
      <c r="E33" s="11" t="s">
        <v>628</v>
      </c>
    </row>
    <row r="34" spans="1:5" ht="16.5" x14ac:dyDescent="0.2">
      <c r="A34" s="22">
        <v>3100010</v>
      </c>
      <c r="B34" s="11" t="s">
        <v>586</v>
      </c>
      <c r="C34" s="11" t="s">
        <v>587</v>
      </c>
      <c r="D34" s="11" t="s">
        <v>450</v>
      </c>
      <c r="E34" s="11" t="s">
        <v>591</v>
      </c>
    </row>
    <row r="35" spans="1:5" ht="16.5" x14ac:dyDescent="0.2">
      <c r="A35" s="22">
        <v>3100011</v>
      </c>
      <c r="B35" s="11" t="s">
        <v>592</v>
      </c>
      <c r="C35" s="11" t="s">
        <v>594</v>
      </c>
      <c r="D35" s="11" t="s">
        <v>595</v>
      </c>
      <c r="E35" s="11" t="s">
        <v>596</v>
      </c>
    </row>
    <row r="36" spans="1:5" ht="16.5" x14ac:dyDescent="0.2">
      <c r="A36" s="22">
        <v>3100012</v>
      </c>
      <c r="B36" s="11" t="s">
        <v>623</v>
      </c>
      <c r="C36" s="11" t="s">
        <v>624</v>
      </c>
      <c r="D36" s="11" t="s">
        <v>450</v>
      </c>
      <c r="E36" s="11" t="s">
        <v>629</v>
      </c>
    </row>
    <row r="37" spans="1:5" ht="16.5" x14ac:dyDescent="0.2">
      <c r="A37" s="22">
        <v>3100013</v>
      </c>
      <c r="B37" s="11" t="s">
        <v>623</v>
      </c>
      <c r="C37" s="11" t="s">
        <v>626</v>
      </c>
      <c r="D37" s="11" t="s">
        <v>461</v>
      </c>
      <c r="E37" s="11" t="s">
        <v>641</v>
      </c>
    </row>
    <row r="38" spans="1:5" ht="16.5" x14ac:dyDescent="0.2">
      <c r="A38" s="22">
        <v>3100014</v>
      </c>
      <c r="B38" s="11" t="s">
        <v>630</v>
      </c>
      <c r="C38" s="11" t="s">
        <v>631</v>
      </c>
      <c r="D38" s="11" t="s">
        <v>450</v>
      </c>
      <c r="E38" s="11" t="s">
        <v>642</v>
      </c>
    </row>
    <row r="39" spans="1:5" ht="16.5" x14ac:dyDescent="0.2">
      <c r="A39" s="22">
        <v>3100015</v>
      </c>
      <c r="B39" s="11" t="s">
        <v>630</v>
      </c>
      <c r="C39" s="11" t="s">
        <v>632</v>
      </c>
      <c r="D39" s="11" t="s">
        <v>461</v>
      </c>
      <c r="E39" s="11" t="s">
        <v>643</v>
      </c>
    </row>
    <row r="40" spans="1:5" ht="16.5" x14ac:dyDescent="0.2">
      <c r="A40" s="22">
        <v>3100016</v>
      </c>
      <c r="B40" s="11" t="s">
        <v>640</v>
      </c>
      <c r="C40" s="11" t="s">
        <v>633</v>
      </c>
      <c r="D40" s="11" t="s">
        <v>450</v>
      </c>
      <c r="E40" s="11" t="s">
        <v>644</v>
      </c>
    </row>
    <row r="41" spans="1:5" ht="16.5" x14ac:dyDescent="0.2">
      <c r="A41" s="22">
        <v>3100017</v>
      </c>
      <c r="B41" s="11" t="s">
        <v>630</v>
      </c>
      <c r="C41" s="11" t="s">
        <v>634</v>
      </c>
      <c r="D41" s="11" t="s">
        <v>461</v>
      </c>
      <c r="E41" s="11" t="s">
        <v>645</v>
      </c>
    </row>
    <row r="42" spans="1:5" ht="16.5" x14ac:dyDescent="0.2">
      <c r="A42" s="22">
        <v>3100018</v>
      </c>
      <c r="B42" s="11" t="s">
        <v>647</v>
      </c>
      <c r="C42" s="11" t="s">
        <v>648</v>
      </c>
      <c r="D42" s="11" t="s">
        <v>705</v>
      </c>
      <c r="E42" s="11" t="s">
        <v>654</v>
      </c>
    </row>
    <row r="43" spans="1:5" ht="16.5" x14ac:dyDescent="0.2">
      <c r="A43" s="22">
        <v>3100019</v>
      </c>
      <c r="B43" s="11" t="s">
        <v>647</v>
      </c>
      <c r="C43" s="11" t="s">
        <v>649</v>
      </c>
      <c r="D43" s="11" t="s">
        <v>653</v>
      </c>
      <c r="E43" s="11" t="s">
        <v>655</v>
      </c>
    </row>
    <row r="44" spans="1:5" ht="16.5" x14ac:dyDescent="0.2">
      <c r="A44" s="22">
        <v>3100020</v>
      </c>
      <c r="B44" s="11" t="s">
        <v>647</v>
      </c>
      <c r="C44" s="11" t="s">
        <v>650</v>
      </c>
      <c r="D44" s="11" t="s">
        <v>653</v>
      </c>
      <c r="E44" s="11" t="s">
        <v>656</v>
      </c>
    </row>
    <row r="45" spans="1:5" ht="16.5" x14ac:dyDescent="0.2">
      <c r="A45" s="22">
        <v>3100021</v>
      </c>
      <c r="B45" s="11" t="s">
        <v>647</v>
      </c>
      <c r="C45" s="11" t="s">
        <v>651</v>
      </c>
      <c r="D45" s="11" t="s">
        <v>703</v>
      </c>
      <c r="E45" s="11" t="s">
        <v>657</v>
      </c>
    </row>
    <row r="46" spans="1:5" ht="16.5" x14ac:dyDescent="0.2">
      <c r="A46" s="22">
        <v>3100022</v>
      </c>
      <c r="B46" s="11" t="s">
        <v>658</v>
      </c>
      <c r="C46" s="11" t="s">
        <v>659</v>
      </c>
      <c r="D46" s="11" t="s">
        <v>653</v>
      </c>
      <c r="E46" s="11" t="s">
        <v>664</v>
      </c>
    </row>
    <row r="47" spans="1:5" ht="16.5" x14ac:dyDescent="0.2">
      <c r="A47" s="22">
        <v>3100023</v>
      </c>
      <c r="B47" s="11" t="s">
        <v>658</v>
      </c>
      <c r="C47" s="11" t="s">
        <v>660</v>
      </c>
      <c r="D47" s="11" t="s">
        <v>653</v>
      </c>
      <c r="E47" s="11" t="s">
        <v>665</v>
      </c>
    </row>
    <row r="48" spans="1:5" ht="16.5" x14ac:dyDescent="0.2">
      <c r="A48" s="22">
        <v>3100024</v>
      </c>
      <c r="B48" s="11" t="s">
        <v>658</v>
      </c>
      <c r="C48" s="11" t="s">
        <v>661</v>
      </c>
      <c r="D48" s="11" t="s">
        <v>653</v>
      </c>
      <c r="E48" s="11" t="s">
        <v>666</v>
      </c>
    </row>
    <row r="49" spans="1:5" ht="16.5" x14ac:dyDescent="0.2">
      <c r="A49" s="22">
        <v>3100025</v>
      </c>
      <c r="B49" s="11" t="s">
        <v>658</v>
      </c>
      <c r="C49" s="11" t="s">
        <v>662</v>
      </c>
      <c r="D49" s="11" t="s">
        <v>653</v>
      </c>
      <c r="E49" s="11" t="s">
        <v>667</v>
      </c>
    </row>
    <row r="50" spans="1:5" ht="16.5" x14ac:dyDescent="0.2">
      <c r="A50" s="22">
        <v>3100026</v>
      </c>
      <c r="B50" s="11" t="s">
        <v>668</v>
      </c>
      <c r="C50" s="11" t="s">
        <v>669</v>
      </c>
      <c r="D50" s="11" t="s">
        <v>653</v>
      </c>
      <c r="E50" s="11" t="s">
        <v>674</v>
      </c>
    </row>
    <row r="51" spans="1:5" ht="16.5" x14ac:dyDescent="0.2">
      <c r="A51" s="22">
        <v>3100027</v>
      </c>
      <c r="B51" s="11" t="s">
        <v>668</v>
      </c>
      <c r="C51" s="11" t="s">
        <v>670</v>
      </c>
      <c r="D51" s="11" t="s">
        <v>653</v>
      </c>
      <c r="E51" s="11" t="s">
        <v>673</v>
      </c>
    </row>
    <row r="52" spans="1:5" ht="16.5" x14ac:dyDescent="0.2">
      <c r="A52" s="22">
        <v>3100028</v>
      </c>
      <c r="B52" s="11" t="s">
        <v>668</v>
      </c>
      <c r="C52" s="11" t="s">
        <v>671</v>
      </c>
      <c r="D52" s="11" t="s">
        <v>653</v>
      </c>
      <c r="E52" s="11" t="s">
        <v>675</v>
      </c>
    </row>
    <row r="53" spans="1:5" ht="16.5" x14ac:dyDescent="0.2">
      <c r="A53" s="22">
        <v>3100029</v>
      </c>
      <c r="B53" s="11" t="s">
        <v>668</v>
      </c>
      <c r="C53" s="11" t="s">
        <v>672</v>
      </c>
      <c r="D53" s="11" t="s">
        <v>653</v>
      </c>
      <c r="E53" s="11" t="s">
        <v>676</v>
      </c>
    </row>
    <row r="54" spans="1:5" ht="16.5" x14ac:dyDescent="0.2">
      <c r="A54" s="22">
        <v>3100030</v>
      </c>
      <c r="B54" s="11" t="s">
        <v>677</v>
      </c>
      <c r="C54" s="11" t="s">
        <v>678</v>
      </c>
      <c r="D54" s="11" t="s">
        <v>719</v>
      </c>
      <c r="E54" s="11" t="s">
        <v>718</v>
      </c>
    </row>
    <row r="55" spans="1:5" ht="16.5" x14ac:dyDescent="0.2">
      <c r="A55" s="22">
        <v>3100031</v>
      </c>
      <c r="B55" s="11" t="s">
        <v>709</v>
      </c>
      <c r="C55" s="11" t="s">
        <v>711</v>
      </c>
      <c r="D55" s="11" t="s">
        <v>461</v>
      </c>
      <c r="E55" s="11" t="s">
        <v>715</v>
      </c>
    </row>
    <row r="56" spans="1:5" ht="16.5" x14ac:dyDescent="0.2">
      <c r="A56" s="22">
        <v>3100032</v>
      </c>
      <c r="B56" s="11" t="s">
        <v>709</v>
      </c>
      <c r="C56" s="11" t="s">
        <v>712</v>
      </c>
      <c r="D56" s="11" t="s">
        <v>461</v>
      </c>
      <c r="E56" s="11" t="s">
        <v>716</v>
      </c>
    </row>
    <row r="57" spans="1:5" ht="16.5" x14ac:dyDescent="0.2">
      <c r="A57" s="22">
        <v>3100033</v>
      </c>
      <c r="B57" s="11" t="s">
        <v>709</v>
      </c>
      <c r="C57" s="11" t="s">
        <v>713</v>
      </c>
      <c r="D57" s="11" t="s">
        <v>461</v>
      </c>
      <c r="E57" s="11" t="s">
        <v>728</v>
      </c>
    </row>
    <row r="58" spans="1:5" ht="16.5" x14ac:dyDescent="0.2">
      <c r="A58" s="22">
        <v>3100034</v>
      </c>
      <c r="B58" s="11" t="s">
        <v>709</v>
      </c>
      <c r="C58" s="11" t="s">
        <v>714</v>
      </c>
      <c r="D58" s="11" t="s">
        <v>461</v>
      </c>
      <c r="E58" s="11" t="s">
        <v>717</v>
      </c>
    </row>
    <row r="59" spans="1:5" ht="16.5" x14ac:dyDescent="0.2">
      <c r="A59" s="22">
        <v>3100035</v>
      </c>
      <c r="B59" s="11" t="s">
        <v>720</v>
      </c>
      <c r="C59" s="11" t="s">
        <v>723</v>
      </c>
      <c r="D59" s="11" t="s">
        <v>707</v>
      </c>
      <c r="E59" s="11" t="s">
        <v>724</v>
      </c>
    </row>
    <row r="60" spans="1:5" ht="16.5" x14ac:dyDescent="0.2">
      <c r="A60" s="22">
        <v>3100036</v>
      </c>
      <c r="B60" s="11" t="s">
        <v>725</v>
      </c>
      <c r="C60" s="11" t="s">
        <v>734</v>
      </c>
      <c r="D60" s="11" t="s">
        <v>727</v>
      </c>
      <c r="E60" s="11" t="s">
        <v>733</v>
      </c>
    </row>
    <row r="61" spans="1:5" ht="16.5" x14ac:dyDescent="0.2">
      <c r="A61" s="22">
        <v>3100037</v>
      </c>
      <c r="B61" s="11" t="s">
        <v>725</v>
      </c>
      <c r="C61" s="11" t="s">
        <v>735</v>
      </c>
      <c r="D61" s="11" t="s">
        <v>727</v>
      </c>
      <c r="E61" s="11" t="s">
        <v>743</v>
      </c>
    </row>
    <row r="62" spans="1:5" ht="16.5" x14ac:dyDescent="0.2">
      <c r="A62" s="22">
        <v>3100038</v>
      </c>
      <c r="B62" s="11" t="s">
        <v>725</v>
      </c>
      <c r="C62" s="11" t="s">
        <v>736</v>
      </c>
      <c r="D62" s="11" t="s">
        <v>727</v>
      </c>
      <c r="E62" s="11" t="s">
        <v>744</v>
      </c>
    </row>
    <row r="63" spans="1:5" ht="16.5" x14ac:dyDescent="0.2">
      <c r="A63" s="22">
        <v>3100039</v>
      </c>
      <c r="B63" s="11" t="s">
        <v>725</v>
      </c>
      <c r="C63" s="11" t="s">
        <v>726</v>
      </c>
      <c r="D63" s="11" t="s">
        <v>727</v>
      </c>
      <c r="E63" s="11" t="s">
        <v>745</v>
      </c>
    </row>
    <row r="64" spans="1:5" ht="16.5" x14ac:dyDescent="0.2">
      <c r="A64" s="22">
        <v>3100040</v>
      </c>
      <c r="B64" s="11" t="s">
        <v>746</v>
      </c>
      <c r="C64" s="11" t="s">
        <v>747</v>
      </c>
      <c r="D64" s="11" t="s">
        <v>727</v>
      </c>
      <c r="E64" s="11" t="s">
        <v>759</v>
      </c>
    </row>
    <row r="65" spans="1:5" ht="16.5" x14ac:dyDescent="0.2">
      <c r="A65" s="22">
        <v>3100041</v>
      </c>
      <c r="B65" s="11" t="s">
        <v>746</v>
      </c>
      <c r="C65" s="11" t="s">
        <v>747</v>
      </c>
      <c r="D65" s="11" t="s">
        <v>727</v>
      </c>
      <c r="E65" s="11" t="s">
        <v>760</v>
      </c>
    </row>
    <row r="66" spans="1:5" ht="16.5" x14ac:dyDescent="0.2">
      <c r="A66" s="22">
        <v>3100042</v>
      </c>
      <c r="B66" s="11" t="s">
        <v>746</v>
      </c>
      <c r="C66" s="11" t="s">
        <v>747</v>
      </c>
      <c r="D66" s="11" t="s">
        <v>727</v>
      </c>
      <c r="E66" s="11" t="s">
        <v>762</v>
      </c>
    </row>
    <row r="67" spans="1:5" ht="16.5" x14ac:dyDescent="0.2">
      <c r="A67" s="22">
        <v>3100043</v>
      </c>
      <c r="B67" s="11" t="s">
        <v>746</v>
      </c>
      <c r="C67" s="11" t="s">
        <v>747</v>
      </c>
      <c r="D67" s="11" t="s">
        <v>727</v>
      </c>
      <c r="E67" s="11" t="s">
        <v>763</v>
      </c>
    </row>
    <row r="68" spans="1:5" ht="16.5" x14ac:dyDescent="0.2">
      <c r="A68" s="22">
        <v>3100044</v>
      </c>
      <c r="B68" s="11" t="s">
        <v>764</v>
      </c>
      <c r="C68" s="11" t="s">
        <v>765</v>
      </c>
      <c r="D68" s="11" t="s">
        <v>707</v>
      </c>
      <c r="E68" s="11" t="s">
        <v>766</v>
      </c>
    </row>
    <row r="69" spans="1:5" ht="16.5" x14ac:dyDescent="0.2">
      <c r="A69" s="22">
        <v>3100045</v>
      </c>
      <c r="B69" s="11" t="s">
        <v>791</v>
      </c>
      <c r="C69" s="11" t="s">
        <v>792</v>
      </c>
      <c r="D69" s="11" t="s">
        <v>727</v>
      </c>
      <c r="E69" s="11" t="s">
        <v>802</v>
      </c>
    </row>
    <row r="70" spans="1:5" ht="16.5" x14ac:dyDescent="0.2">
      <c r="A70" s="22">
        <v>3100046</v>
      </c>
      <c r="B70" s="11" t="s">
        <v>791</v>
      </c>
      <c r="C70" s="11" t="s">
        <v>793</v>
      </c>
      <c r="D70" s="11" t="s">
        <v>727</v>
      </c>
      <c r="E70" s="11" t="s">
        <v>803</v>
      </c>
    </row>
    <row r="71" spans="1:5" ht="16.5" x14ac:dyDescent="0.2">
      <c r="A71" s="22">
        <v>3100047</v>
      </c>
      <c r="B71" s="11" t="s">
        <v>791</v>
      </c>
      <c r="C71" s="11" t="s">
        <v>794</v>
      </c>
      <c r="D71" s="11" t="s">
        <v>727</v>
      </c>
      <c r="E71" s="11" t="s">
        <v>804</v>
      </c>
    </row>
    <row r="72" spans="1:5" ht="16.5" x14ac:dyDescent="0.2">
      <c r="A72" s="22">
        <v>3100048</v>
      </c>
      <c r="B72" s="11" t="s">
        <v>791</v>
      </c>
      <c r="C72" s="11" t="s">
        <v>795</v>
      </c>
      <c r="D72" s="11" t="s">
        <v>727</v>
      </c>
      <c r="E72" s="11" t="s">
        <v>816</v>
      </c>
    </row>
    <row r="73" spans="1:5" ht="16.5" x14ac:dyDescent="0.2">
      <c r="A73" s="22">
        <v>3100049</v>
      </c>
      <c r="B73" s="11" t="s">
        <v>807</v>
      </c>
      <c r="C73" s="11" t="s">
        <v>808</v>
      </c>
      <c r="D73" s="11" t="s">
        <v>727</v>
      </c>
      <c r="E73" s="11" t="s">
        <v>817</v>
      </c>
    </row>
    <row r="74" spans="1:5" ht="16.5" x14ac:dyDescent="0.2">
      <c r="A74" s="22">
        <v>3100050</v>
      </c>
      <c r="B74" s="11" t="s">
        <v>807</v>
      </c>
      <c r="C74" s="11" t="s">
        <v>809</v>
      </c>
      <c r="D74" s="11" t="s">
        <v>727</v>
      </c>
      <c r="E74" s="11" t="s">
        <v>818</v>
      </c>
    </row>
    <row r="75" spans="1:5" ht="16.5" x14ac:dyDescent="0.2">
      <c r="A75" s="22">
        <v>3100051</v>
      </c>
      <c r="B75" s="11" t="s">
        <v>807</v>
      </c>
      <c r="C75" s="11" t="s">
        <v>810</v>
      </c>
      <c r="D75" s="11" t="s">
        <v>727</v>
      </c>
      <c r="E75" s="11" t="s">
        <v>819</v>
      </c>
    </row>
    <row r="76" spans="1:5" ht="16.5" x14ac:dyDescent="0.2">
      <c r="A76" s="22">
        <v>3100052</v>
      </c>
      <c r="B76" s="11" t="s">
        <v>807</v>
      </c>
      <c r="C76" s="11" t="s">
        <v>811</v>
      </c>
      <c r="D76" s="11" t="s">
        <v>727</v>
      </c>
      <c r="E76" s="11" t="s">
        <v>820</v>
      </c>
    </row>
  </sheetData>
  <phoneticPr fontId="1" type="noConversion"/>
  <conditionalFormatting sqref="A4:A76">
    <cfRule type="duplicateValues" dxfId="29" priority="9"/>
  </conditionalFormatting>
  <conditionalFormatting sqref="E27:E28">
    <cfRule type="duplicateValues" dxfId="28" priority="8"/>
  </conditionalFormatting>
  <conditionalFormatting sqref="E36:E37">
    <cfRule type="duplicateValues" dxfId="27" priority="7"/>
  </conditionalFormatting>
  <conditionalFormatting sqref="E38:E41">
    <cfRule type="duplicateValues" dxfId="26" priority="6"/>
  </conditionalFormatting>
  <conditionalFormatting sqref="E55:E58">
    <cfRule type="duplicateValues" dxfId="25" priority="5"/>
  </conditionalFormatting>
  <conditionalFormatting sqref="A60:A76">
    <cfRule type="duplicateValues" dxfId="24" priority="4"/>
  </conditionalFormatting>
  <conditionalFormatting sqref="E64:E67">
    <cfRule type="duplicateValues" dxfId="23" priority="3"/>
  </conditionalFormatting>
  <conditionalFormatting sqref="E69:E72">
    <cfRule type="duplicateValues" dxfId="22" priority="2"/>
  </conditionalFormatting>
  <conditionalFormatting sqref="E73:E76">
    <cfRule type="duplicateValues" dxfId="21" priority="1"/>
  </conditionalFormatting>
  <hyperlinks>
    <hyperlink ref="D2"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73"/>
  <sheetViews>
    <sheetView showGridLines="0" workbookViewId="0">
      <pane xSplit="1" ySplit="3" topLeftCell="B16" activePane="bottomRight" state="frozen"/>
      <selection pane="topRight" activeCell="B1" sqref="B1"/>
      <selection pane="bottomLeft" activeCell="A4" sqref="A4"/>
      <selection pane="bottomRight" activeCell="C65" sqref="C65"/>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88</v>
      </c>
      <c r="C1" s="5" t="s">
        <v>8</v>
      </c>
      <c r="D1" s="5" t="s">
        <v>108</v>
      </c>
      <c r="E1" s="5" t="s">
        <v>89</v>
      </c>
      <c r="F1" s="5" t="s">
        <v>85</v>
      </c>
      <c r="G1" s="5" t="s">
        <v>761</v>
      </c>
      <c r="H1" s="5" t="s">
        <v>113</v>
      </c>
      <c r="I1" s="5" t="s">
        <v>149</v>
      </c>
      <c r="J1" s="5" t="s">
        <v>495</v>
      </c>
      <c r="K1" s="5" t="s">
        <v>496</v>
      </c>
    </row>
    <row r="2" spans="1:11" ht="16.5" x14ac:dyDescent="0.2">
      <c r="A2" s="9" t="s">
        <v>67</v>
      </c>
      <c r="B2" s="9" t="s">
        <v>76</v>
      </c>
      <c r="C2" s="9" t="s">
        <v>76</v>
      </c>
      <c r="D2" s="9" t="s">
        <v>452</v>
      </c>
      <c r="E2" s="9" t="s">
        <v>93</v>
      </c>
      <c r="F2" s="9" t="s">
        <v>86</v>
      </c>
      <c r="G2" s="9" t="s">
        <v>451</v>
      </c>
      <c r="H2" s="9" t="s">
        <v>4</v>
      </c>
      <c r="I2" s="9" t="s">
        <v>90</v>
      </c>
      <c r="J2" s="21" t="s">
        <v>233</v>
      </c>
      <c r="K2" s="9" t="s">
        <v>219</v>
      </c>
    </row>
    <row r="3" spans="1:11" ht="15" x14ac:dyDescent="0.2">
      <c r="A3" s="17" t="s">
        <v>73</v>
      </c>
      <c r="B3" s="17" t="s">
        <v>5</v>
      </c>
      <c r="C3" s="17" t="s">
        <v>92</v>
      </c>
      <c r="D3" s="17" t="s">
        <v>109</v>
      </c>
      <c r="E3" s="17" t="s">
        <v>94</v>
      </c>
      <c r="F3" s="17" t="s">
        <v>87</v>
      </c>
      <c r="G3" s="17" t="s">
        <v>722</v>
      </c>
      <c r="H3" s="17" t="s">
        <v>95</v>
      </c>
      <c r="I3" s="17" t="s">
        <v>115</v>
      </c>
      <c r="J3" s="17" t="s">
        <v>234</v>
      </c>
      <c r="K3" s="17" t="s">
        <v>114</v>
      </c>
    </row>
    <row r="4" spans="1:11" ht="16.5" x14ac:dyDescent="0.2">
      <c r="A4" s="11">
        <v>4000001</v>
      </c>
      <c r="B4" s="11" t="s">
        <v>147</v>
      </c>
      <c r="C4" s="11" t="s">
        <v>148</v>
      </c>
      <c r="D4" s="11" t="b">
        <v>0</v>
      </c>
      <c r="E4" s="11">
        <v>10</v>
      </c>
      <c r="F4" s="11">
        <v>1</v>
      </c>
      <c r="G4" s="11"/>
      <c r="H4" s="11"/>
      <c r="I4" s="11">
        <v>1</v>
      </c>
      <c r="J4" s="11" t="s">
        <v>151</v>
      </c>
      <c r="K4" s="11"/>
    </row>
    <row r="5" spans="1:11" ht="16.5" x14ac:dyDescent="0.2">
      <c r="A5" s="11">
        <v>4000002</v>
      </c>
      <c r="B5" s="11" t="s">
        <v>180</v>
      </c>
      <c r="C5" s="11" t="s">
        <v>182</v>
      </c>
      <c r="D5" s="11" t="b">
        <v>0</v>
      </c>
      <c r="E5" s="11">
        <v>10</v>
      </c>
      <c r="F5" s="11">
        <v>10</v>
      </c>
      <c r="G5" s="11"/>
      <c r="H5" s="11"/>
      <c r="I5" s="11">
        <v>1</v>
      </c>
      <c r="J5" s="11" t="s">
        <v>690</v>
      </c>
      <c r="K5" s="11"/>
    </row>
    <row r="6" spans="1:11" ht="16.5" x14ac:dyDescent="0.2">
      <c r="A6" s="11">
        <v>4000003</v>
      </c>
      <c r="B6" s="11" t="s">
        <v>184</v>
      </c>
      <c r="C6" s="11" t="s">
        <v>185</v>
      </c>
      <c r="D6" s="11" t="b">
        <v>0</v>
      </c>
      <c r="E6" s="11">
        <v>10</v>
      </c>
      <c r="F6" s="11">
        <v>10</v>
      </c>
      <c r="G6" s="11"/>
      <c r="H6" s="11"/>
      <c r="I6" s="11">
        <v>1</v>
      </c>
      <c r="J6" s="11" t="s">
        <v>167</v>
      </c>
      <c r="K6" s="11"/>
    </row>
    <row r="7" spans="1:11" ht="16.5" x14ac:dyDescent="0.2">
      <c r="A7" s="11">
        <v>4000004</v>
      </c>
      <c r="B7" s="11" t="s">
        <v>196</v>
      </c>
      <c r="C7" s="11" t="s">
        <v>197</v>
      </c>
      <c r="D7" s="11" t="b">
        <v>0</v>
      </c>
      <c r="E7" s="11">
        <v>10</v>
      </c>
      <c r="F7" s="11">
        <v>10</v>
      </c>
      <c r="G7" s="11"/>
      <c r="H7" s="11"/>
      <c r="I7" s="11">
        <v>1</v>
      </c>
      <c r="J7" s="11" t="s">
        <v>178</v>
      </c>
      <c r="K7" s="11"/>
    </row>
    <row r="8" spans="1:11" ht="16.5" x14ac:dyDescent="0.2">
      <c r="A8" s="11">
        <v>4000005</v>
      </c>
      <c r="B8" s="11" t="s">
        <v>229</v>
      </c>
      <c r="C8" s="11" t="s">
        <v>230</v>
      </c>
      <c r="D8" s="11" t="b">
        <v>0</v>
      </c>
      <c r="E8" s="11">
        <v>10</v>
      </c>
      <c r="F8" s="11">
        <v>99</v>
      </c>
      <c r="G8" s="11"/>
      <c r="H8" s="11"/>
      <c r="I8" s="11">
        <v>1</v>
      </c>
      <c r="J8" s="11" t="s">
        <v>231</v>
      </c>
      <c r="K8" s="11">
        <v>1</v>
      </c>
    </row>
    <row r="9" spans="1:11" ht="16.5" x14ac:dyDescent="0.2">
      <c r="A9" s="11">
        <v>4000006</v>
      </c>
      <c r="B9" s="11" t="s">
        <v>251</v>
      </c>
      <c r="C9" s="11" t="s">
        <v>252</v>
      </c>
      <c r="D9" s="11" t="b">
        <v>1</v>
      </c>
      <c r="E9" s="11">
        <v>1</v>
      </c>
      <c r="F9" s="11">
        <v>10</v>
      </c>
      <c r="G9" s="11"/>
      <c r="H9" s="11"/>
      <c r="I9" s="11">
        <v>1</v>
      </c>
      <c r="J9" s="11" t="s">
        <v>532</v>
      </c>
      <c r="K9" s="11" t="s">
        <v>534</v>
      </c>
    </row>
    <row r="10" spans="1:11" ht="16.5" x14ac:dyDescent="0.2">
      <c r="A10" s="11">
        <v>4000007</v>
      </c>
      <c r="B10" s="11" t="s">
        <v>256</v>
      </c>
      <c r="C10" s="11" t="s">
        <v>258</v>
      </c>
      <c r="D10" s="11" t="b">
        <v>1</v>
      </c>
      <c r="E10" s="11">
        <v>1</v>
      </c>
      <c r="F10" s="11">
        <v>10</v>
      </c>
      <c r="G10" s="11"/>
      <c r="H10" s="11"/>
      <c r="I10" s="11">
        <v>1</v>
      </c>
      <c r="J10" s="11" t="s">
        <v>255</v>
      </c>
      <c r="K10" s="11" t="s">
        <v>517</v>
      </c>
    </row>
    <row r="11" spans="1:11" ht="16.5" x14ac:dyDescent="0.2">
      <c r="A11" s="11">
        <v>4000008</v>
      </c>
      <c r="B11" s="11" t="s">
        <v>266</v>
      </c>
      <c r="C11" s="11" t="s">
        <v>267</v>
      </c>
      <c r="D11" s="11" t="b">
        <v>1</v>
      </c>
      <c r="E11" s="11">
        <v>1</v>
      </c>
      <c r="F11" s="11">
        <v>10</v>
      </c>
      <c r="G11" s="11"/>
      <c r="H11" s="11"/>
      <c r="I11" s="11">
        <v>1</v>
      </c>
      <c r="J11" s="11" t="s">
        <v>264</v>
      </c>
      <c r="K11" s="11">
        <v>0.5</v>
      </c>
    </row>
    <row r="12" spans="1:11" ht="16.5" x14ac:dyDescent="0.2">
      <c r="A12" s="11">
        <v>4000009</v>
      </c>
      <c r="B12" s="11" t="s">
        <v>247</v>
      </c>
      <c r="C12" s="11" t="s">
        <v>248</v>
      </c>
      <c r="D12" s="11" t="b">
        <v>1</v>
      </c>
      <c r="E12" s="11">
        <v>10</v>
      </c>
      <c r="F12" s="11">
        <v>99</v>
      </c>
      <c r="G12" s="11"/>
      <c r="H12" s="11"/>
      <c r="I12" s="11">
        <v>1</v>
      </c>
      <c r="J12" s="11" t="s">
        <v>526</v>
      </c>
      <c r="K12" s="11" t="s">
        <v>522</v>
      </c>
    </row>
    <row r="13" spans="1:11" ht="16.5" x14ac:dyDescent="0.2">
      <c r="A13" s="11">
        <v>4000010</v>
      </c>
      <c r="B13" s="11" t="s">
        <v>249</v>
      </c>
      <c r="C13" s="11" t="s">
        <v>250</v>
      </c>
      <c r="D13" s="11" t="b">
        <v>1</v>
      </c>
      <c r="E13" s="11">
        <v>10</v>
      </c>
      <c r="F13" s="11">
        <v>99</v>
      </c>
      <c r="G13" s="11"/>
      <c r="H13" s="11"/>
      <c r="I13" s="11">
        <v>1</v>
      </c>
      <c r="J13" s="11" t="s">
        <v>519</v>
      </c>
      <c r="K13" s="11" t="s">
        <v>527</v>
      </c>
    </row>
    <row r="14" spans="1:11" ht="16.5" x14ac:dyDescent="0.2">
      <c r="A14" s="11">
        <v>4000011</v>
      </c>
      <c r="B14" s="11" t="s">
        <v>272</v>
      </c>
      <c r="C14" s="11" t="s">
        <v>273</v>
      </c>
      <c r="D14" s="11" t="b">
        <v>1</v>
      </c>
      <c r="E14" s="11">
        <v>10</v>
      </c>
      <c r="F14" s="11">
        <v>99</v>
      </c>
      <c r="G14" s="11"/>
      <c r="H14" s="11"/>
      <c r="I14" s="11">
        <v>1</v>
      </c>
      <c r="J14" s="11" t="s">
        <v>271</v>
      </c>
      <c r="K14" s="11" t="s">
        <v>524</v>
      </c>
    </row>
    <row r="15" spans="1:11" ht="16.5" x14ac:dyDescent="0.2">
      <c r="A15" s="11">
        <v>4000012</v>
      </c>
      <c r="B15" s="11" t="s">
        <v>274</v>
      </c>
      <c r="C15" s="11" t="s">
        <v>275</v>
      </c>
      <c r="D15" s="11" t="b">
        <v>1</v>
      </c>
      <c r="E15" s="11">
        <v>10</v>
      </c>
      <c r="F15" s="11">
        <v>99</v>
      </c>
      <c r="G15" s="11"/>
      <c r="H15" s="11"/>
      <c r="I15" s="11">
        <v>1</v>
      </c>
      <c r="J15" s="11" t="s">
        <v>521</v>
      </c>
      <c r="K15" s="11" t="s">
        <v>520</v>
      </c>
    </row>
    <row r="16" spans="1:11" ht="16.5" x14ac:dyDescent="0.2">
      <c r="A16" s="11">
        <v>4000013</v>
      </c>
      <c r="B16" s="11" t="s">
        <v>277</v>
      </c>
      <c r="C16" s="11" t="s">
        <v>276</v>
      </c>
      <c r="D16" s="11" t="b">
        <v>1</v>
      </c>
      <c r="E16" s="11">
        <v>10</v>
      </c>
      <c r="F16" s="11">
        <v>99</v>
      </c>
      <c r="G16" s="11"/>
      <c r="H16" s="11"/>
      <c r="I16" s="11">
        <v>1</v>
      </c>
      <c r="J16" s="11" t="s">
        <v>445</v>
      </c>
      <c r="K16" s="11" t="s">
        <v>523</v>
      </c>
    </row>
    <row r="17" spans="1:14" ht="16.5" x14ac:dyDescent="0.2">
      <c r="A17" s="11">
        <v>4000014</v>
      </c>
      <c r="B17" s="11" t="s">
        <v>287</v>
      </c>
      <c r="C17" s="11" t="s">
        <v>620</v>
      </c>
      <c r="D17" s="11" t="b">
        <v>1</v>
      </c>
      <c r="E17" s="11">
        <v>3</v>
      </c>
      <c r="F17" s="11">
        <v>99</v>
      </c>
      <c r="G17" s="11">
        <v>1</v>
      </c>
      <c r="H17" s="11"/>
      <c r="I17" s="11">
        <v>1</v>
      </c>
      <c r="J17" s="11" t="s">
        <v>503</v>
      </c>
      <c r="K17" s="11" t="s">
        <v>465</v>
      </c>
    </row>
    <row r="18" spans="1:14" ht="16.5" x14ac:dyDescent="0.2">
      <c r="A18" s="11">
        <v>4000015</v>
      </c>
      <c r="B18" s="11" t="s">
        <v>295</v>
      </c>
      <c r="C18" s="11" t="s">
        <v>298</v>
      </c>
      <c r="D18" s="11" t="b">
        <v>1</v>
      </c>
      <c r="E18" s="11">
        <v>5</v>
      </c>
      <c r="F18" s="11">
        <v>99</v>
      </c>
      <c r="G18" s="11"/>
      <c r="H18" s="11"/>
      <c r="I18" s="11">
        <v>1</v>
      </c>
      <c r="J18" s="11" t="s">
        <v>297</v>
      </c>
      <c r="K18" s="11" t="s">
        <v>525</v>
      </c>
    </row>
    <row r="19" spans="1:14" ht="16.5" x14ac:dyDescent="0.2">
      <c r="A19" s="11">
        <v>4100001</v>
      </c>
      <c r="B19" s="11" t="s">
        <v>482</v>
      </c>
      <c r="C19" s="11" t="s">
        <v>483</v>
      </c>
      <c r="D19" s="11" t="b">
        <v>1</v>
      </c>
      <c r="E19" s="11">
        <v>1</v>
      </c>
      <c r="F19" s="11">
        <v>99</v>
      </c>
      <c r="G19" s="11"/>
      <c r="H19" s="11"/>
      <c r="I19" s="11">
        <v>1</v>
      </c>
      <c r="J19" s="11" t="s">
        <v>484</v>
      </c>
      <c r="K19" s="11"/>
    </row>
    <row r="20" spans="1:14" ht="16.5" x14ac:dyDescent="0.2">
      <c r="A20" s="11">
        <v>4100002</v>
      </c>
      <c r="B20" s="11" t="s">
        <v>501</v>
      </c>
      <c r="C20" s="11" t="s">
        <v>502</v>
      </c>
      <c r="D20" s="11" t="b">
        <v>1</v>
      </c>
      <c r="E20" s="11">
        <v>5</v>
      </c>
      <c r="F20" s="11">
        <v>99</v>
      </c>
      <c r="G20" s="11"/>
      <c r="H20" s="11"/>
      <c r="I20" s="11">
        <v>1</v>
      </c>
      <c r="J20" s="11" t="s">
        <v>710</v>
      </c>
      <c r="K20" s="11" t="s">
        <v>721</v>
      </c>
    </row>
    <row r="21" spans="1:14" ht="16.5" x14ac:dyDescent="0.2">
      <c r="A21" s="11">
        <v>4100003</v>
      </c>
      <c r="B21" s="11" t="s">
        <v>507</v>
      </c>
      <c r="C21" s="11" t="s">
        <v>504</v>
      </c>
      <c r="D21" s="11" t="b">
        <v>1</v>
      </c>
      <c r="E21" s="11">
        <v>5</v>
      </c>
      <c r="F21" s="11">
        <v>99</v>
      </c>
      <c r="G21" s="11"/>
      <c r="H21" s="11"/>
      <c r="I21" s="11">
        <v>1</v>
      </c>
      <c r="J21" s="11" t="s">
        <v>518</v>
      </c>
      <c r="K21" s="11" t="s">
        <v>528</v>
      </c>
    </row>
    <row r="22" spans="1:14" ht="16.5" x14ac:dyDescent="0.2">
      <c r="A22" s="11">
        <v>4100004</v>
      </c>
      <c r="B22" s="11" t="s">
        <v>508</v>
      </c>
      <c r="C22" s="11" t="s">
        <v>505</v>
      </c>
      <c r="D22" s="11" t="b">
        <v>1</v>
      </c>
      <c r="E22" s="11">
        <v>5</v>
      </c>
      <c r="F22" s="11">
        <v>99</v>
      </c>
      <c r="G22" s="11"/>
      <c r="H22" s="11"/>
      <c r="I22" s="11">
        <v>1</v>
      </c>
      <c r="J22" s="11" t="s">
        <v>518</v>
      </c>
      <c r="K22" s="11" t="s">
        <v>529</v>
      </c>
      <c r="N22" s="9" t="s">
        <v>512</v>
      </c>
    </row>
    <row r="23" spans="1:14" ht="16.5" x14ac:dyDescent="0.2">
      <c r="A23" s="11">
        <v>4100005</v>
      </c>
      <c r="B23" s="11" t="s">
        <v>510</v>
      </c>
      <c r="C23" s="11" t="s">
        <v>535</v>
      </c>
      <c r="D23" s="11" t="b">
        <v>1</v>
      </c>
      <c r="E23" s="11">
        <v>1</v>
      </c>
      <c r="F23" s="11">
        <v>99</v>
      </c>
      <c r="G23" s="11"/>
      <c r="H23" s="11"/>
      <c r="I23" s="11">
        <v>1</v>
      </c>
      <c r="J23" s="11" t="s">
        <v>533</v>
      </c>
      <c r="K23" s="11" t="s">
        <v>552</v>
      </c>
      <c r="N23" s="9" t="s">
        <v>564</v>
      </c>
    </row>
    <row r="24" spans="1:14" ht="16.5" x14ac:dyDescent="0.2">
      <c r="A24" s="11">
        <v>4100006</v>
      </c>
      <c r="B24" s="11" t="s">
        <v>510</v>
      </c>
      <c r="C24" s="11" t="s">
        <v>553</v>
      </c>
      <c r="D24" s="11" t="b">
        <v>1</v>
      </c>
      <c r="E24" s="11">
        <v>1</v>
      </c>
      <c r="F24" s="11">
        <v>99</v>
      </c>
      <c r="G24" s="11"/>
      <c r="H24" s="11"/>
      <c r="I24" s="11">
        <v>1</v>
      </c>
      <c r="J24" s="11" t="s">
        <v>533</v>
      </c>
      <c r="K24" s="11" t="s">
        <v>554</v>
      </c>
      <c r="N24" s="9" t="s">
        <v>547</v>
      </c>
    </row>
    <row r="25" spans="1:14" ht="16.5" x14ac:dyDescent="0.2">
      <c r="A25" s="11">
        <v>4100007</v>
      </c>
      <c r="B25" s="11" t="s">
        <v>556</v>
      </c>
      <c r="C25" s="11" t="s">
        <v>563</v>
      </c>
      <c r="D25" s="11" t="b">
        <v>1</v>
      </c>
      <c r="E25" s="11">
        <v>5</v>
      </c>
      <c r="F25" s="11">
        <v>99</v>
      </c>
      <c r="G25" s="11"/>
      <c r="H25" s="11"/>
      <c r="I25" s="11">
        <v>1</v>
      </c>
      <c r="J25" s="11" t="s">
        <v>568</v>
      </c>
      <c r="K25" s="11" t="s">
        <v>565</v>
      </c>
    </row>
    <row r="26" spans="1:14" ht="16.5" x14ac:dyDescent="0.2">
      <c r="A26" s="11">
        <v>4100008</v>
      </c>
      <c r="B26" s="11" t="s">
        <v>555</v>
      </c>
      <c r="C26" s="11" t="s">
        <v>573</v>
      </c>
      <c r="D26" s="11" t="b">
        <v>1</v>
      </c>
      <c r="E26" s="11">
        <v>5</v>
      </c>
      <c r="F26" s="11">
        <v>99</v>
      </c>
      <c r="G26" s="11"/>
      <c r="H26" s="11"/>
      <c r="I26" s="11">
        <v>1</v>
      </c>
      <c r="J26" s="11" t="s">
        <v>519</v>
      </c>
      <c r="K26" s="11" t="s">
        <v>572</v>
      </c>
      <c r="N26" s="9" t="s">
        <v>545</v>
      </c>
    </row>
    <row r="27" spans="1:14" ht="16.5" x14ac:dyDescent="0.2">
      <c r="A27" s="11">
        <v>4100009</v>
      </c>
      <c r="B27" s="11" t="s">
        <v>574</v>
      </c>
      <c r="C27" s="11" t="s">
        <v>567</v>
      </c>
      <c r="D27" s="11" t="b">
        <v>1</v>
      </c>
      <c r="E27" s="11">
        <v>1</v>
      </c>
      <c r="F27" s="11">
        <v>99</v>
      </c>
      <c r="G27" s="11"/>
      <c r="H27" s="11"/>
      <c r="I27" s="11">
        <v>1</v>
      </c>
      <c r="J27" s="11" t="s">
        <v>518</v>
      </c>
      <c r="K27" s="11" t="s">
        <v>569</v>
      </c>
      <c r="N27" s="9" t="s">
        <v>546</v>
      </c>
    </row>
    <row r="28" spans="1:14" ht="16.5" x14ac:dyDescent="0.2">
      <c r="A28" s="11">
        <v>4100010</v>
      </c>
      <c r="B28" s="11" t="s">
        <v>576</v>
      </c>
      <c r="C28" s="11" t="s">
        <v>577</v>
      </c>
      <c r="D28" s="11" t="b">
        <v>1</v>
      </c>
      <c r="E28" s="11">
        <v>10</v>
      </c>
      <c r="F28" s="11">
        <v>5</v>
      </c>
      <c r="G28" s="11"/>
      <c r="H28" s="11"/>
      <c r="I28" s="11">
        <v>1</v>
      </c>
      <c r="J28" s="11" t="s">
        <v>575</v>
      </c>
      <c r="K28" s="11">
        <v>4</v>
      </c>
    </row>
    <row r="29" spans="1:14" ht="16.5" x14ac:dyDescent="0.2">
      <c r="A29" s="11">
        <v>4100011</v>
      </c>
      <c r="B29" s="11" t="s">
        <v>576</v>
      </c>
      <c r="C29" s="11" t="s">
        <v>578</v>
      </c>
      <c r="D29" s="11" t="b">
        <v>1</v>
      </c>
      <c r="E29" s="11">
        <v>10</v>
      </c>
      <c r="F29" s="11">
        <v>4</v>
      </c>
      <c r="G29" s="11"/>
      <c r="H29" s="11"/>
      <c r="I29" s="11">
        <v>1</v>
      </c>
      <c r="J29" s="11" t="s">
        <v>575</v>
      </c>
      <c r="K29" s="11">
        <v>4</v>
      </c>
    </row>
    <row r="30" spans="1:14" ht="16.5" x14ac:dyDescent="0.2">
      <c r="A30" s="11">
        <v>4100012</v>
      </c>
      <c r="B30" s="11" t="s">
        <v>576</v>
      </c>
      <c r="C30" s="11" t="s">
        <v>579</v>
      </c>
      <c r="D30" s="11" t="b">
        <v>1</v>
      </c>
      <c r="E30" s="11">
        <v>10</v>
      </c>
      <c r="F30" s="11">
        <v>3</v>
      </c>
      <c r="G30" s="11"/>
      <c r="H30" s="11"/>
      <c r="I30" s="11">
        <v>1</v>
      </c>
      <c r="J30" s="11" t="s">
        <v>575</v>
      </c>
      <c r="K30" s="11">
        <v>4</v>
      </c>
    </row>
    <row r="31" spans="1:14" ht="16.5" x14ac:dyDescent="0.2">
      <c r="A31" s="11">
        <v>4100013</v>
      </c>
      <c r="B31" s="11" t="s">
        <v>576</v>
      </c>
      <c r="C31" s="11" t="s">
        <v>580</v>
      </c>
      <c r="D31" s="11" t="b">
        <v>1</v>
      </c>
      <c r="E31" s="11">
        <v>10</v>
      </c>
      <c r="F31" s="11">
        <v>2</v>
      </c>
      <c r="G31" s="11"/>
      <c r="H31" s="11"/>
      <c r="I31" s="11">
        <v>1</v>
      </c>
      <c r="J31" s="11" t="s">
        <v>575</v>
      </c>
      <c r="K31" s="11">
        <v>4</v>
      </c>
    </row>
    <row r="32" spans="1:14" ht="16.5" x14ac:dyDescent="0.2">
      <c r="A32" s="11">
        <v>4100014</v>
      </c>
      <c r="B32" s="11" t="s">
        <v>586</v>
      </c>
      <c r="C32" s="11" t="s">
        <v>587</v>
      </c>
      <c r="D32" s="11" t="b">
        <v>1</v>
      </c>
      <c r="E32" s="11">
        <v>1</v>
      </c>
      <c r="F32" s="11">
        <v>99</v>
      </c>
      <c r="G32" s="11"/>
      <c r="H32" s="11"/>
      <c r="I32" s="11">
        <v>1</v>
      </c>
      <c r="J32" s="11" t="s">
        <v>590</v>
      </c>
      <c r="K32" s="11"/>
    </row>
    <row r="33" spans="1:11" ht="16.5" x14ac:dyDescent="0.2">
      <c r="A33" s="11">
        <v>4100015</v>
      </c>
      <c r="B33" s="11" t="s">
        <v>592</v>
      </c>
      <c r="C33" s="11" t="s">
        <v>593</v>
      </c>
      <c r="D33" s="11" t="b">
        <v>1</v>
      </c>
      <c r="E33" s="11">
        <v>10</v>
      </c>
      <c r="F33" s="11">
        <v>99</v>
      </c>
      <c r="G33" s="11"/>
      <c r="H33" s="11"/>
      <c r="I33" s="11">
        <v>1</v>
      </c>
      <c r="J33" s="11" t="s">
        <v>652</v>
      </c>
      <c r="K33" s="11" t="s">
        <v>604</v>
      </c>
    </row>
    <row r="34" spans="1:11" ht="16.5" x14ac:dyDescent="0.2">
      <c r="A34" s="11">
        <v>4100016</v>
      </c>
      <c r="B34" s="11" t="s">
        <v>597</v>
      </c>
      <c r="C34" s="11" t="s">
        <v>598</v>
      </c>
      <c r="D34" s="11" t="b">
        <v>1</v>
      </c>
      <c r="E34" s="11">
        <v>10</v>
      </c>
      <c r="F34" s="11">
        <v>5</v>
      </c>
      <c r="G34" s="11"/>
      <c r="H34" s="11"/>
      <c r="I34" s="11">
        <v>1</v>
      </c>
      <c r="J34" s="11" t="s">
        <v>603</v>
      </c>
      <c r="K34" s="11" t="s">
        <v>605</v>
      </c>
    </row>
    <row r="35" spans="1:11" ht="16.5" x14ac:dyDescent="0.2">
      <c r="A35" s="11">
        <v>4100017</v>
      </c>
      <c r="B35" s="11" t="s">
        <v>597</v>
      </c>
      <c r="C35" s="11" t="s">
        <v>599</v>
      </c>
      <c r="D35" s="11" t="b">
        <v>1</v>
      </c>
      <c r="E35" s="11">
        <v>10</v>
      </c>
      <c r="F35" s="11">
        <v>4</v>
      </c>
      <c r="G35" s="11"/>
      <c r="H35" s="11"/>
      <c r="I35" s="11">
        <v>1</v>
      </c>
      <c r="J35" s="11" t="s">
        <v>603</v>
      </c>
      <c r="K35" s="11" t="s">
        <v>605</v>
      </c>
    </row>
    <row r="36" spans="1:11" ht="16.5" x14ac:dyDescent="0.2">
      <c r="A36" s="11">
        <v>4100018</v>
      </c>
      <c r="B36" s="11" t="s">
        <v>597</v>
      </c>
      <c r="C36" s="11" t="s">
        <v>600</v>
      </c>
      <c r="D36" s="11" t="b">
        <v>1</v>
      </c>
      <c r="E36" s="11">
        <v>10</v>
      </c>
      <c r="F36" s="11">
        <v>3</v>
      </c>
      <c r="G36" s="11"/>
      <c r="H36" s="11"/>
      <c r="I36" s="11">
        <v>1</v>
      </c>
      <c r="J36" s="11" t="s">
        <v>603</v>
      </c>
      <c r="K36" s="11" t="s">
        <v>605</v>
      </c>
    </row>
    <row r="37" spans="1:11" ht="16.5" x14ac:dyDescent="0.2">
      <c r="A37" s="11">
        <v>4100019</v>
      </c>
      <c r="B37" s="11" t="s">
        <v>597</v>
      </c>
      <c r="C37" s="11" t="s">
        <v>601</v>
      </c>
      <c r="D37" s="11" t="b">
        <v>1</v>
      </c>
      <c r="E37" s="11">
        <v>10</v>
      </c>
      <c r="F37" s="11">
        <v>2</v>
      </c>
      <c r="G37" s="11"/>
      <c r="H37" s="11"/>
      <c r="I37" s="11">
        <v>1</v>
      </c>
      <c r="J37" s="11" t="s">
        <v>603</v>
      </c>
      <c r="K37" s="11" t="s">
        <v>605</v>
      </c>
    </row>
    <row r="38" spans="1:11" ht="16.5" x14ac:dyDescent="0.2">
      <c r="A38" s="11">
        <v>4100020</v>
      </c>
      <c r="B38" s="11" t="s">
        <v>608</v>
      </c>
      <c r="C38" s="11" t="s">
        <v>609</v>
      </c>
      <c r="D38" s="11" t="b">
        <v>1</v>
      </c>
      <c r="E38" s="11">
        <v>10</v>
      </c>
      <c r="F38" s="11">
        <v>5</v>
      </c>
      <c r="G38" s="11"/>
      <c r="H38" s="11"/>
      <c r="I38" s="11">
        <v>1</v>
      </c>
      <c r="J38" s="11" t="s">
        <v>603</v>
      </c>
      <c r="K38" s="11" t="s">
        <v>610</v>
      </c>
    </row>
    <row r="39" spans="1:11" ht="16.5" x14ac:dyDescent="0.2">
      <c r="A39" s="11">
        <v>4100021</v>
      </c>
      <c r="B39" s="11" t="s">
        <v>623</v>
      </c>
      <c r="C39" s="11" t="s">
        <v>624</v>
      </c>
      <c r="D39" s="11" t="b">
        <v>1</v>
      </c>
      <c r="E39" s="11">
        <v>10</v>
      </c>
      <c r="F39" s="11">
        <v>99</v>
      </c>
      <c r="G39" s="11"/>
      <c r="H39" s="11"/>
      <c r="I39" s="11">
        <v>1</v>
      </c>
      <c r="J39" s="11" t="s">
        <v>622</v>
      </c>
      <c r="K39" s="11" t="s">
        <v>625</v>
      </c>
    </row>
    <row r="40" spans="1:11" ht="16.5" x14ac:dyDescent="0.2">
      <c r="A40" s="11">
        <v>4100022</v>
      </c>
      <c r="B40" s="11" t="s">
        <v>623</v>
      </c>
      <c r="C40" s="11" t="s">
        <v>626</v>
      </c>
      <c r="D40" s="11" t="b">
        <v>1</v>
      </c>
      <c r="E40" s="11">
        <v>10</v>
      </c>
      <c r="F40" s="11">
        <v>99</v>
      </c>
      <c r="G40" s="11"/>
      <c r="H40" s="11"/>
      <c r="I40" s="11">
        <v>1</v>
      </c>
      <c r="J40" s="11" t="s">
        <v>622</v>
      </c>
      <c r="K40" s="11" t="s">
        <v>627</v>
      </c>
    </row>
    <row r="41" spans="1:11" ht="16.5" x14ac:dyDescent="0.2">
      <c r="A41" s="11">
        <v>4100023</v>
      </c>
      <c r="B41" s="11" t="s">
        <v>630</v>
      </c>
      <c r="C41" s="11" t="s">
        <v>663</v>
      </c>
      <c r="D41" s="11" t="b">
        <v>1</v>
      </c>
      <c r="E41" s="11">
        <v>10</v>
      </c>
      <c r="F41" s="11">
        <v>99</v>
      </c>
      <c r="G41" s="11"/>
      <c r="H41" s="11"/>
      <c r="I41" s="11">
        <v>1</v>
      </c>
      <c r="J41" s="11" t="s">
        <v>635</v>
      </c>
      <c r="K41" s="11" t="s">
        <v>636</v>
      </c>
    </row>
    <row r="42" spans="1:11" ht="16.5" x14ac:dyDescent="0.2">
      <c r="A42" s="11">
        <v>4100024</v>
      </c>
      <c r="B42" s="11" t="s">
        <v>630</v>
      </c>
      <c r="C42" s="11" t="s">
        <v>632</v>
      </c>
      <c r="D42" s="11" t="b">
        <v>1</v>
      </c>
      <c r="E42" s="11">
        <v>10</v>
      </c>
      <c r="F42" s="11">
        <v>99</v>
      </c>
      <c r="G42" s="11"/>
      <c r="H42" s="11"/>
      <c r="I42" s="11">
        <v>1</v>
      </c>
      <c r="J42" s="11" t="s">
        <v>635</v>
      </c>
      <c r="K42" s="11" t="s">
        <v>637</v>
      </c>
    </row>
    <row r="43" spans="1:11" ht="16.5" x14ac:dyDescent="0.2">
      <c r="A43" s="11">
        <v>4100025</v>
      </c>
      <c r="B43" s="11" t="s">
        <v>630</v>
      </c>
      <c r="C43" s="11" t="s">
        <v>633</v>
      </c>
      <c r="D43" s="11" t="b">
        <v>1</v>
      </c>
      <c r="E43" s="11">
        <v>10</v>
      </c>
      <c r="F43" s="11">
        <v>99</v>
      </c>
      <c r="G43" s="11"/>
      <c r="H43" s="11"/>
      <c r="I43" s="11">
        <v>1</v>
      </c>
      <c r="J43" s="11" t="s">
        <v>635</v>
      </c>
      <c r="K43" s="11" t="s">
        <v>638</v>
      </c>
    </row>
    <row r="44" spans="1:11" ht="16.5" x14ac:dyDescent="0.2">
      <c r="A44" s="11">
        <v>4100026</v>
      </c>
      <c r="B44" s="11" t="s">
        <v>630</v>
      </c>
      <c r="C44" s="11" t="s">
        <v>634</v>
      </c>
      <c r="D44" s="11" t="b">
        <v>1</v>
      </c>
      <c r="E44" s="11">
        <v>10</v>
      </c>
      <c r="F44" s="11">
        <v>99</v>
      </c>
      <c r="G44" s="11"/>
      <c r="H44" s="11"/>
      <c r="I44" s="11">
        <v>1</v>
      </c>
      <c r="J44" s="11" t="s">
        <v>635</v>
      </c>
      <c r="K44" s="11" t="s">
        <v>639</v>
      </c>
    </row>
    <row r="45" spans="1:11" ht="16.5" x14ac:dyDescent="0.2">
      <c r="A45" s="11">
        <v>4100027</v>
      </c>
      <c r="B45" s="11" t="s">
        <v>689</v>
      </c>
      <c r="C45" s="11" t="s">
        <v>680</v>
      </c>
      <c r="D45" s="11" t="b">
        <v>0</v>
      </c>
      <c r="E45" s="11">
        <v>10</v>
      </c>
      <c r="F45" s="11">
        <v>5</v>
      </c>
      <c r="G45" s="11"/>
      <c r="H45" s="11"/>
      <c r="I45" s="11">
        <v>1</v>
      </c>
      <c r="J45" s="11" t="s">
        <v>167</v>
      </c>
      <c r="K45" s="11"/>
    </row>
    <row r="46" spans="1:11" ht="16.5" x14ac:dyDescent="0.2">
      <c r="A46" s="11">
        <v>4100028</v>
      </c>
      <c r="B46" s="11" t="s">
        <v>689</v>
      </c>
      <c r="C46" s="11" t="s">
        <v>681</v>
      </c>
      <c r="D46" s="11" t="b">
        <v>0</v>
      </c>
      <c r="E46" s="11">
        <v>10</v>
      </c>
      <c r="F46" s="11">
        <v>8</v>
      </c>
      <c r="G46" s="11"/>
      <c r="H46" s="11"/>
      <c r="I46" s="11">
        <v>1</v>
      </c>
      <c r="J46" s="11" t="s">
        <v>167</v>
      </c>
      <c r="K46" s="11"/>
    </row>
    <row r="47" spans="1:11" ht="16.5" x14ac:dyDescent="0.2">
      <c r="A47" s="11">
        <v>4100029</v>
      </c>
      <c r="B47" s="11" t="s">
        <v>689</v>
      </c>
      <c r="C47" s="11" t="s">
        <v>682</v>
      </c>
      <c r="D47" s="11" t="b">
        <v>0</v>
      </c>
      <c r="E47" s="11">
        <v>10</v>
      </c>
      <c r="F47" s="11">
        <v>12</v>
      </c>
      <c r="G47" s="11"/>
      <c r="H47" s="11"/>
      <c r="I47" s="11">
        <v>1</v>
      </c>
      <c r="J47" s="11" t="s">
        <v>167</v>
      </c>
      <c r="K47" s="11"/>
    </row>
    <row r="48" spans="1:11" ht="16.5" x14ac:dyDescent="0.2">
      <c r="A48" s="11">
        <v>4100030</v>
      </c>
      <c r="B48" s="11" t="s">
        <v>689</v>
      </c>
      <c r="C48" s="11" t="s">
        <v>683</v>
      </c>
      <c r="D48" s="11" t="b">
        <v>0</v>
      </c>
      <c r="E48" s="11">
        <v>10</v>
      </c>
      <c r="F48" s="11">
        <v>15</v>
      </c>
      <c r="G48" s="11"/>
      <c r="H48" s="11"/>
      <c r="I48" s="11">
        <v>1</v>
      </c>
      <c r="J48" s="11" t="s">
        <v>167</v>
      </c>
      <c r="K48" s="11"/>
    </row>
    <row r="49" spans="1:11" ht="16.5" x14ac:dyDescent="0.2">
      <c r="A49" s="11">
        <v>4100031</v>
      </c>
      <c r="B49" s="11" t="s">
        <v>709</v>
      </c>
      <c r="C49" s="11" t="s">
        <v>753</v>
      </c>
      <c r="D49" s="11" t="b">
        <v>1</v>
      </c>
      <c r="E49" s="11">
        <v>1</v>
      </c>
      <c r="F49" s="11">
        <v>99</v>
      </c>
      <c r="G49" s="11">
        <v>5</v>
      </c>
      <c r="H49" s="11"/>
      <c r="I49" s="11">
        <v>1</v>
      </c>
      <c r="J49" s="11" t="s">
        <v>707</v>
      </c>
      <c r="K49" s="11" t="s">
        <v>758</v>
      </c>
    </row>
    <row r="50" spans="1:11" ht="16.5" x14ac:dyDescent="0.2">
      <c r="A50" s="11">
        <v>4100032</v>
      </c>
      <c r="B50" s="11" t="s">
        <v>709</v>
      </c>
      <c r="C50" s="11" t="s">
        <v>754</v>
      </c>
      <c r="D50" s="11" t="b">
        <v>1</v>
      </c>
      <c r="E50" s="11">
        <v>1</v>
      </c>
      <c r="F50" s="11">
        <v>99</v>
      </c>
      <c r="G50" s="11">
        <v>4</v>
      </c>
      <c r="H50" s="11"/>
      <c r="I50" s="11">
        <v>1</v>
      </c>
      <c r="J50" s="11" t="s">
        <v>707</v>
      </c>
      <c r="K50" s="11" t="s">
        <v>758</v>
      </c>
    </row>
    <row r="51" spans="1:11" ht="16.5" x14ac:dyDescent="0.2">
      <c r="A51" s="11">
        <v>4100033</v>
      </c>
      <c r="B51" s="11" t="s">
        <v>709</v>
      </c>
      <c r="C51" s="11" t="s">
        <v>755</v>
      </c>
      <c r="D51" s="11" t="b">
        <v>1</v>
      </c>
      <c r="E51" s="11">
        <v>1</v>
      </c>
      <c r="F51" s="11">
        <v>99</v>
      </c>
      <c r="G51" s="11">
        <v>3</v>
      </c>
      <c r="H51" s="11"/>
      <c r="I51" s="11">
        <v>1</v>
      </c>
      <c r="J51" s="11" t="s">
        <v>707</v>
      </c>
      <c r="K51" s="11" t="s">
        <v>758</v>
      </c>
    </row>
    <row r="52" spans="1:11" ht="16.5" x14ac:dyDescent="0.2">
      <c r="A52" s="11">
        <v>4100034</v>
      </c>
      <c r="B52" s="11" t="s">
        <v>709</v>
      </c>
      <c r="C52" s="11" t="s">
        <v>756</v>
      </c>
      <c r="D52" s="11" t="b">
        <v>1</v>
      </c>
      <c r="E52" s="11">
        <v>1</v>
      </c>
      <c r="F52" s="11">
        <v>99</v>
      </c>
      <c r="G52" s="11">
        <v>2</v>
      </c>
      <c r="H52" s="11"/>
      <c r="I52" s="11">
        <v>1</v>
      </c>
      <c r="J52" s="11" t="s">
        <v>707</v>
      </c>
      <c r="K52" s="11" t="s">
        <v>758</v>
      </c>
    </row>
    <row r="53" spans="1:11" ht="16.5" x14ac:dyDescent="0.2">
      <c r="A53" s="11">
        <v>4100035</v>
      </c>
      <c r="B53" s="11" t="s">
        <v>729</v>
      </c>
      <c r="C53" s="11" t="s">
        <v>737</v>
      </c>
      <c r="D53" s="11" t="b">
        <v>1</v>
      </c>
      <c r="E53" s="11">
        <v>1</v>
      </c>
      <c r="F53" s="11">
        <v>99</v>
      </c>
      <c r="G53" s="11"/>
      <c r="H53" s="11"/>
      <c r="I53" s="11">
        <v>1</v>
      </c>
      <c r="J53" s="11" t="s">
        <v>731</v>
      </c>
      <c r="K53" s="11" t="s">
        <v>740</v>
      </c>
    </row>
    <row r="54" spans="1:11" ht="16.5" x14ac:dyDescent="0.2">
      <c r="A54" s="11">
        <v>4100036</v>
      </c>
      <c r="B54" s="11" t="s">
        <v>729</v>
      </c>
      <c r="C54" s="11" t="s">
        <v>738</v>
      </c>
      <c r="D54" s="11" t="b">
        <v>1</v>
      </c>
      <c r="E54" s="11">
        <v>1</v>
      </c>
      <c r="F54" s="11">
        <v>99</v>
      </c>
      <c r="G54" s="11"/>
      <c r="H54" s="11"/>
      <c r="I54" s="11">
        <v>1</v>
      </c>
      <c r="J54" s="11" t="s">
        <v>731</v>
      </c>
      <c r="K54" s="11" t="s">
        <v>741</v>
      </c>
    </row>
    <row r="55" spans="1:11" ht="16.5" x14ac:dyDescent="0.2">
      <c r="A55" s="11">
        <v>4100037</v>
      </c>
      <c r="B55" s="11" t="s">
        <v>729</v>
      </c>
      <c r="C55" s="11" t="s">
        <v>739</v>
      </c>
      <c r="D55" s="11" t="b">
        <v>1</v>
      </c>
      <c r="E55" s="11">
        <v>1</v>
      </c>
      <c r="F55" s="11">
        <v>99</v>
      </c>
      <c r="G55" s="11"/>
      <c r="H55" s="11"/>
      <c r="I55" s="11">
        <v>1</v>
      </c>
      <c r="J55" s="11" t="s">
        <v>731</v>
      </c>
      <c r="K55" s="11" t="s">
        <v>742</v>
      </c>
    </row>
    <row r="56" spans="1:11" ht="16.5" x14ac:dyDescent="0.2">
      <c r="A56" s="11">
        <v>4100038</v>
      </c>
      <c r="B56" s="11" t="s">
        <v>729</v>
      </c>
      <c r="C56" s="11" t="s">
        <v>730</v>
      </c>
      <c r="D56" s="11" t="b">
        <v>1</v>
      </c>
      <c r="E56" s="11">
        <v>1</v>
      </c>
      <c r="F56" s="11">
        <v>99</v>
      </c>
      <c r="G56" s="11"/>
      <c r="H56" s="11"/>
      <c r="I56" s="11">
        <v>1</v>
      </c>
      <c r="J56" s="11" t="s">
        <v>731</v>
      </c>
      <c r="K56" s="11" t="s">
        <v>732</v>
      </c>
    </row>
    <row r="57" spans="1:11" ht="16.5" x14ac:dyDescent="0.2">
      <c r="A57" s="11">
        <v>4100039</v>
      </c>
      <c r="B57" s="11" t="s">
        <v>746</v>
      </c>
      <c r="C57" s="11" t="s">
        <v>748</v>
      </c>
      <c r="D57" s="11" t="b">
        <v>0</v>
      </c>
      <c r="E57" s="11">
        <v>5</v>
      </c>
      <c r="F57" s="11">
        <v>99</v>
      </c>
      <c r="G57" s="11">
        <v>1</v>
      </c>
      <c r="H57" s="11"/>
      <c r="I57" s="11">
        <v>1</v>
      </c>
      <c r="J57" s="11" t="s">
        <v>462</v>
      </c>
      <c r="K57" s="11" t="s">
        <v>757</v>
      </c>
    </row>
    <row r="58" spans="1:11" ht="16.5" x14ac:dyDescent="0.2">
      <c r="A58" s="11">
        <v>4100040</v>
      </c>
      <c r="B58" s="11" t="s">
        <v>746</v>
      </c>
      <c r="C58" s="11" t="s">
        <v>749</v>
      </c>
      <c r="D58" s="11" t="b">
        <v>0</v>
      </c>
      <c r="E58" s="11">
        <v>5</v>
      </c>
      <c r="F58" s="11">
        <v>99</v>
      </c>
      <c r="G58" s="11">
        <v>1</v>
      </c>
      <c r="H58" s="11"/>
      <c r="I58" s="11">
        <v>1</v>
      </c>
      <c r="J58" s="11" t="s">
        <v>462</v>
      </c>
      <c r="K58" s="11" t="s">
        <v>751</v>
      </c>
    </row>
    <row r="59" spans="1:11" ht="16.5" x14ac:dyDescent="0.2">
      <c r="A59" s="11">
        <v>4100041</v>
      </c>
      <c r="B59" s="11" t="s">
        <v>746</v>
      </c>
      <c r="C59" s="11" t="s">
        <v>750</v>
      </c>
      <c r="D59" s="11" t="b">
        <v>0</v>
      </c>
      <c r="E59" s="11">
        <v>5</v>
      </c>
      <c r="F59" s="11">
        <v>99</v>
      </c>
      <c r="G59" s="11">
        <v>1</v>
      </c>
      <c r="H59" s="11"/>
      <c r="I59" s="11">
        <v>1</v>
      </c>
      <c r="J59" s="11" t="s">
        <v>462</v>
      </c>
      <c r="K59" s="11" t="s">
        <v>752</v>
      </c>
    </row>
    <row r="60" spans="1:11" ht="16.5" x14ac:dyDescent="0.2">
      <c r="A60" s="11">
        <v>4100042</v>
      </c>
      <c r="B60" s="11" t="s">
        <v>746</v>
      </c>
      <c r="C60" s="11" t="s">
        <v>748</v>
      </c>
      <c r="D60" s="11" t="b">
        <v>0</v>
      </c>
      <c r="E60" s="11">
        <v>5</v>
      </c>
      <c r="F60" s="11">
        <v>99</v>
      </c>
      <c r="G60" s="11">
        <v>1</v>
      </c>
      <c r="H60" s="11"/>
      <c r="I60" s="11">
        <v>1</v>
      </c>
      <c r="J60" s="11" t="s">
        <v>462</v>
      </c>
      <c r="K60" s="11" t="s">
        <v>775</v>
      </c>
    </row>
    <row r="61" spans="1:11" ht="16.5" x14ac:dyDescent="0.2">
      <c r="A61" s="11">
        <v>4100043</v>
      </c>
      <c r="B61" s="11" t="s">
        <v>774</v>
      </c>
      <c r="C61" s="11" t="s">
        <v>750</v>
      </c>
      <c r="D61" s="11" t="b">
        <v>0</v>
      </c>
      <c r="E61" s="11">
        <v>10</v>
      </c>
      <c r="F61" s="11">
        <v>10</v>
      </c>
      <c r="G61" s="11">
        <v>2</v>
      </c>
      <c r="H61" s="11"/>
      <c r="I61" s="11">
        <v>1</v>
      </c>
      <c r="J61" s="11" t="s">
        <v>462</v>
      </c>
      <c r="K61" s="11" t="s">
        <v>776</v>
      </c>
    </row>
    <row r="62" spans="1:11" ht="16.5" x14ac:dyDescent="0.2">
      <c r="A62" s="11">
        <v>4100044</v>
      </c>
      <c r="B62" s="11" t="s">
        <v>779</v>
      </c>
      <c r="C62" s="11" t="s">
        <v>780</v>
      </c>
      <c r="D62" s="11" t="b">
        <v>1</v>
      </c>
      <c r="E62" s="11">
        <v>1</v>
      </c>
      <c r="F62" s="11">
        <v>99</v>
      </c>
      <c r="G62" s="11"/>
      <c r="H62" s="11"/>
      <c r="I62" s="11">
        <v>1</v>
      </c>
      <c r="J62" s="11" t="s">
        <v>777</v>
      </c>
      <c r="K62" s="11" t="s">
        <v>784</v>
      </c>
    </row>
    <row r="63" spans="1:11" ht="16.5" x14ac:dyDescent="0.2">
      <c r="A63" s="11">
        <v>4100045</v>
      </c>
      <c r="B63" s="11" t="s">
        <v>779</v>
      </c>
      <c r="C63" s="11" t="s">
        <v>781</v>
      </c>
      <c r="D63" s="11" t="b">
        <v>1</v>
      </c>
      <c r="E63" s="11">
        <v>1</v>
      </c>
      <c r="F63" s="11">
        <v>99</v>
      </c>
      <c r="G63" s="11"/>
      <c r="H63" s="11"/>
      <c r="I63" s="11">
        <v>1</v>
      </c>
      <c r="J63" s="11" t="s">
        <v>777</v>
      </c>
      <c r="K63" s="11" t="s">
        <v>785</v>
      </c>
    </row>
    <row r="64" spans="1:11" ht="16.5" x14ac:dyDescent="0.2">
      <c r="A64" s="11">
        <v>4100046</v>
      </c>
      <c r="B64" s="11" t="s">
        <v>779</v>
      </c>
      <c r="C64" s="11" t="s">
        <v>782</v>
      </c>
      <c r="D64" s="11" t="b">
        <v>1</v>
      </c>
      <c r="E64" s="11">
        <v>1</v>
      </c>
      <c r="F64" s="11">
        <v>99</v>
      </c>
      <c r="G64" s="11"/>
      <c r="H64" s="11"/>
      <c r="I64" s="11">
        <v>1</v>
      </c>
      <c r="J64" s="11" t="s">
        <v>777</v>
      </c>
      <c r="K64" s="11" t="s">
        <v>786</v>
      </c>
    </row>
    <row r="65" spans="1:11" ht="16.5" x14ac:dyDescent="0.2">
      <c r="A65" s="11">
        <v>4100047</v>
      </c>
      <c r="B65" s="11" t="s">
        <v>779</v>
      </c>
      <c r="C65" s="11" t="s">
        <v>783</v>
      </c>
      <c r="D65" s="11" t="b">
        <v>1</v>
      </c>
      <c r="E65" s="11">
        <v>1</v>
      </c>
      <c r="F65" s="11">
        <v>99</v>
      </c>
      <c r="G65" s="11"/>
      <c r="H65" s="11"/>
      <c r="I65" s="11">
        <v>1</v>
      </c>
      <c r="J65" s="11" t="s">
        <v>777</v>
      </c>
      <c r="K65" s="11" t="s">
        <v>787</v>
      </c>
    </row>
    <row r="66" spans="1:11" ht="16.5" x14ac:dyDescent="0.2">
      <c r="A66" s="11">
        <v>4100048</v>
      </c>
      <c r="B66" s="11" t="s">
        <v>791</v>
      </c>
      <c r="C66" s="11" t="s">
        <v>792</v>
      </c>
      <c r="D66" s="11" t="b">
        <v>1</v>
      </c>
      <c r="E66" s="11">
        <v>1</v>
      </c>
      <c r="F66" s="11">
        <v>99</v>
      </c>
      <c r="G66" s="11"/>
      <c r="H66" s="11"/>
      <c r="I66" s="11">
        <v>1</v>
      </c>
      <c r="J66" s="11" t="s">
        <v>796</v>
      </c>
      <c r="K66" s="11" t="s">
        <v>798</v>
      </c>
    </row>
    <row r="67" spans="1:11" ht="16.5" x14ac:dyDescent="0.2">
      <c r="A67" s="11">
        <v>4100049</v>
      </c>
      <c r="B67" s="11" t="s">
        <v>791</v>
      </c>
      <c r="C67" s="11" t="s">
        <v>793</v>
      </c>
      <c r="D67" s="11" t="b">
        <v>1</v>
      </c>
      <c r="E67" s="11">
        <v>1</v>
      </c>
      <c r="F67" s="11">
        <v>99</v>
      </c>
      <c r="G67" s="11"/>
      <c r="H67" s="11"/>
      <c r="I67" s="11">
        <v>1</v>
      </c>
      <c r="J67" s="11" t="s">
        <v>796</v>
      </c>
      <c r="K67" s="11" t="s">
        <v>799</v>
      </c>
    </row>
    <row r="68" spans="1:11" ht="16.5" x14ac:dyDescent="0.2">
      <c r="A68" s="11">
        <v>4100050</v>
      </c>
      <c r="B68" s="11" t="s">
        <v>791</v>
      </c>
      <c r="C68" s="11" t="s">
        <v>794</v>
      </c>
      <c r="D68" s="11" t="b">
        <v>1</v>
      </c>
      <c r="E68" s="11">
        <v>1</v>
      </c>
      <c r="F68" s="11">
        <v>99</v>
      </c>
      <c r="G68" s="11"/>
      <c r="H68" s="11"/>
      <c r="I68" s="11">
        <v>1</v>
      </c>
      <c r="J68" s="11" t="s">
        <v>796</v>
      </c>
      <c r="K68" s="11" t="s">
        <v>800</v>
      </c>
    </row>
    <row r="69" spans="1:11" ht="16.5" x14ac:dyDescent="0.2">
      <c r="A69" s="11">
        <v>4100051</v>
      </c>
      <c r="B69" s="11" t="s">
        <v>791</v>
      </c>
      <c r="C69" s="11" t="s">
        <v>795</v>
      </c>
      <c r="D69" s="11" t="b">
        <v>1</v>
      </c>
      <c r="E69" s="11">
        <v>1</v>
      </c>
      <c r="F69" s="11">
        <v>99</v>
      </c>
      <c r="G69" s="11"/>
      <c r="H69" s="11"/>
      <c r="I69" s="11">
        <v>1</v>
      </c>
      <c r="J69" s="11" t="s">
        <v>796</v>
      </c>
      <c r="K69" s="11" t="s">
        <v>801</v>
      </c>
    </row>
    <row r="70" spans="1:11" ht="16.5" x14ac:dyDescent="0.2">
      <c r="A70" s="11">
        <v>4100052</v>
      </c>
      <c r="B70" s="11" t="s">
        <v>807</v>
      </c>
      <c r="C70" s="11" t="s">
        <v>808</v>
      </c>
      <c r="D70" s="11" t="b">
        <v>1</v>
      </c>
      <c r="E70" s="11">
        <v>1</v>
      </c>
      <c r="F70" s="11">
        <v>1</v>
      </c>
      <c r="G70" s="11"/>
      <c r="H70" s="11"/>
      <c r="I70" s="11">
        <v>1</v>
      </c>
      <c r="J70" s="11" t="s">
        <v>806</v>
      </c>
      <c r="K70" s="11" t="s">
        <v>812</v>
      </c>
    </row>
    <row r="71" spans="1:11" ht="16.5" x14ac:dyDescent="0.2">
      <c r="A71" s="11">
        <v>4100053</v>
      </c>
      <c r="B71" s="11" t="s">
        <v>807</v>
      </c>
      <c r="C71" s="11" t="s">
        <v>809</v>
      </c>
      <c r="D71" s="11" t="b">
        <v>1</v>
      </c>
      <c r="E71" s="11">
        <v>1</v>
      </c>
      <c r="F71" s="11">
        <v>1</v>
      </c>
      <c r="G71" s="11"/>
      <c r="H71" s="11"/>
      <c r="I71" s="11">
        <v>1</v>
      </c>
      <c r="J71" s="11" t="s">
        <v>806</v>
      </c>
      <c r="K71" s="11" t="s">
        <v>813</v>
      </c>
    </row>
    <row r="72" spans="1:11" ht="16.5" x14ac:dyDescent="0.2">
      <c r="A72" s="11">
        <v>4100054</v>
      </c>
      <c r="B72" s="11" t="s">
        <v>807</v>
      </c>
      <c r="C72" s="11" t="s">
        <v>810</v>
      </c>
      <c r="D72" s="11" t="b">
        <v>1</v>
      </c>
      <c r="E72" s="11">
        <v>1</v>
      </c>
      <c r="F72" s="11">
        <v>1</v>
      </c>
      <c r="G72" s="11"/>
      <c r="H72" s="11"/>
      <c r="I72" s="11">
        <v>1</v>
      </c>
      <c r="J72" s="11" t="s">
        <v>806</v>
      </c>
      <c r="K72" s="11" t="s">
        <v>814</v>
      </c>
    </row>
    <row r="73" spans="1:11" ht="16.5" x14ac:dyDescent="0.2">
      <c r="A73" s="11">
        <v>4100055</v>
      </c>
      <c r="B73" s="11" t="s">
        <v>807</v>
      </c>
      <c r="C73" s="11" t="s">
        <v>811</v>
      </c>
      <c r="D73" s="11" t="b">
        <v>1</v>
      </c>
      <c r="E73" s="11">
        <v>1</v>
      </c>
      <c r="F73" s="11">
        <v>1</v>
      </c>
      <c r="G73" s="11"/>
      <c r="H73" s="11"/>
      <c r="I73" s="11">
        <v>1</v>
      </c>
      <c r="J73" s="11" t="s">
        <v>806</v>
      </c>
      <c r="K73" s="11" t="s">
        <v>815</v>
      </c>
    </row>
  </sheetData>
  <phoneticPr fontId="1" type="noConversion"/>
  <conditionalFormatting sqref="A4:A73">
    <cfRule type="duplicateValues" dxfId="13" priority="9"/>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s>
  <pageMargins left="0.7" right="0.7" top="0.75" bottom="0.75" header="0.3" footer="0.3"/>
  <pageSetup paperSize="9"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topLeftCell="Y1" workbookViewId="0">
      <selection activeCell="Z1" sqref="Z1"/>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20" t="s">
        <v>444</v>
      </c>
      <c r="B1" s="5"/>
      <c r="C1" s="10"/>
      <c r="E1" s="8" t="s">
        <v>443</v>
      </c>
      <c r="F1" s="9"/>
      <c r="I1" s="8" t="s">
        <v>37</v>
      </c>
      <c r="L1" s="8" t="s">
        <v>58</v>
      </c>
      <c r="M1" s="9"/>
      <c r="P1" s="8" t="s">
        <v>536</v>
      </c>
      <c r="S1" s="8" t="s">
        <v>96</v>
      </c>
      <c r="W1" s="8" t="s">
        <v>531</v>
      </c>
      <c r="Z1" s="8" t="s">
        <v>206</v>
      </c>
      <c r="AD1" s="8" t="s">
        <v>511</v>
      </c>
    </row>
    <row r="2" spans="1:31" x14ac:dyDescent="0.2">
      <c r="A2" s="9" t="s">
        <v>30</v>
      </c>
      <c r="B2" s="9" t="str">
        <f>[1]!获取备注内容(A2)</f>
        <v>默认，只会攻击一个目标</v>
      </c>
      <c r="C2" s="10"/>
      <c r="E2" s="9" t="s">
        <v>442</v>
      </c>
      <c r="F2" s="9" t="str">
        <f>[1]!获取备注内容(E2)</f>
        <v>不需要选择目标，通常用于Random或者ALL的技能。如果是怪物持有技能，等价于Enemy</v>
      </c>
      <c r="I2" s="9" t="s">
        <v>103</v>
      </c>
      <c r="L2" s="9" t="s">
        <v>60</v>
      </c>
      <c r="M2" s="9" t="str">
        <f>[1]!获取备注内容(L2)</f>
        <v>枚举默认值，表示没有任何过滤</v>
      </c>
      <c r="P2" s="9" t="s">
        <v>455</v>
      </c>
      <c r="S2" s="9" t="s">
        <v>150</v>
      </c>
      <c r="T2" s="11" t="str">
        <f>[1]!获取备注内容(S2)</f>
        <v/>
      </c>
      <c r="W2" s="9" t="s">
        <v>80</v>
      </c>
      <c r="Z2" s="9" t="s">
        <v>515</v>
      </c>
      <c r="AD2" s="9" t="s">
        <v>516</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423</v>
      </c>
      <c r="F3" s="9" t="str">
        <f>[1]!获取备注内容(E3)</f>
        <v>对自己释放，如果是玩家技能，表示不需要指定目标（目标是自己）。如果是怪物技能，表示该技能对自己释放</v>
      </c>
      <c r="I3" s="9" t="s">
        <v>104</v>
      </c>
      <c r="L3" s="9" t="s">
        <v>412</v>
      </c>
      <c r="M3" s="9" t="str">
        <f>[1]!获取备注内容(L3)</f>
        <v>怪物强度1</v>
      </c>
      <c r="P3" s="9" t="s">
        <v>652</v>
      </c>
      <c r="Q3" s="11"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9" t="s">
        <v>97</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530</v>
      </c>
      <c r="Z3" s="9" t="s">
        <v>704</v>
      </c>
      <c r="AA3" s="11" t="str">
        <f>[1]!获取备注内容(Z3)</f>
        <v>给技能目标释放状态。所以就可以有伤害是0的纯状态技能，注意状态附加是优先于伤害计算的。参数是状态ID</v>
      </c>
      <c r="AD3" s="9" t="s">
        <v>220</v>
      </c>
      <c r="AE3" s="11" t="str">
        <f>[1]!获取备注内容(AD3)</f>
        <v>如果技能释放位置有怪物，那么条件成立</v>
      </c>
    </row>
    <row r="4" spans="1:31" x14ac:dyDescent="0.2">
      <c r="A4" s="9" t="s">
        <v>136</v>
      </c>
      <c r="B4" s="9" t="str">
        <f>[1]!获取备注内容(A4)</f>
        <v>随机目标，目标可重复。可以结合targetArg实现随机选取多个目标</v>
      </c>
      <c r="C4" s="10"/>
      <c r="E4" s="9" t="s">
        <v>697</v>
      </c>
      <c r="F4" s="9" t="str">
        <f>[1]!获取备注内容(E4)</f>
        <v>对友方释放，如果是玩家技能，等价于Self。如果是怪物技能，正常情况下等价于Monster，但如果该怪物被奴役，Help就表示玩家。</v>
      </c>
      <c r="I4" s="9"/>
      <c r="L4" s="9" t="s">
        <v>413</v>
      </c>
      <c r="M4" s="9" t="str">
        <f>[1]!获取备注内容(L4)</f>
        <v/>
      </c>
      <c r="P4" s="5" t="s">
        <v>450</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9" t="s">
        <v>179</v>
      </c>
      <c r="T4" s="11" t="str">
        <f>[1]!获取备注内容(S4)</f>
        <v>缴械。不能使用主动技能，怪物被缴械后，技能CD暂停。玩家也是可以被缴械的。无参数</v>
      </c>
      <c r="W4" s="9" t="s">
        <v>79</v>
      </c>
      <c r="Z4" s="9" t="s">
        <v>441</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205</v>
      </c>
      <c r="AE4" s="11" t="str">
        <f>[1]!获取备注内容(AD4)</f>
        <v>如果技能释放位置没有怪物，那么条件成立</v>
      </c>
    </row>
    <row r="5" spans="1:31" x14ac:dyDescent="0.2">
      <c r="A5" s="9" t="s">
        <v>20</v>
      </c>
      <c r="B5" s="9" t="str">
        <f>[1]!获取备注内容(A5)</f>
        <v>所有目标</v>
      </c>
      <c r="C5" s="10"/>
      <c r="E5" s="9" t="s">
        <v>699</v>
      </c>
      <c r="F5" s="9" t="str">
        <f>[1]!获取备注内容(E5)</f>
        <v>如果是玩家技能，效果等同于Monster；如果是怪物技能，表示以玩家为目标，如果这个怪物被奴役，Enemy就等价于Monster</v>
      </c>
      <c r="I5" s="9"/>
      <c r="L5" s="9" t="s">
        <v>414</v>
      </c>
      <c r="M5" s="9" t="str">
        <f>[1]!获取备注内容(L5)</f>
        <v/>
      </c>
      <c r="P5" s="9" t="s">
        <v>453</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152</v>
      </c>
      <c r="T5" s="11" t="str">
        <f>[1]!获取备注内容(S5)</f>
        <v>冻结，冻结后不能反击，不能使用技能，技能CD暂停，暂时解除周围格子锁定。玩家不会中该状态。无参数</v>
      </c>
      <c r="Z5" s="9" t="s">
        <v>703</v>
      </c>
      <c r="AA5" s="11"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9" t="s">
        <v>221</v>
      </c>
      <c r="AE5" s="11" t="str">
        <f>[1]!获取备注内容(AD5)</f>
        <v>如果技能释放位置是空的格子，那么条件成立</v>
      </c>
    </row>
    <row r="6" spans="1:31" x14ac:dyDescent="0.2">
      <c r="A6" s="9" t="s">
        <v>132</v>
      </c>
      <c r="B6" s="9" t="str">
        <f>[1]!获取备注内容(A6)</f>
        <v>对一条线上的敌人造成伤害，直线的起点是技能释放者，终点与射程有关。这种释放方式的技能，不能作为召唤物绑定技能</v>
      </c>
      <c r="C6" s="10"/>
      <c r="E6" s="9" t="s">
        <v>424</v>
      </c>
      <c r="F6" s="9" t="str">
        <f>[1]!获取备注内容(E6)</f>
        <v>选择一个射程内的可见怪物。如果是怪物技能，表示射程内，非自己的其他怪物</v>
      </c>
      <c r="I6" s="9"/>
      <c r="L6" s="9" t="s">
        <v>415</v>
      </c>
      <c r="M6" s="9" t="str">
        <f>[1]!获取备注内容(L6)</f>
        <v/>
      </c>
      <c r="P6" s="9" t="s">
        <v>421</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691</v>
      </c>
      <c r="T6" s="11" t="str">
        <f>[1]!获取备注内容(S6)</f>
        <v>催眠，不能反击，不能使用技能,技能CD暂停，暂时解除周围格子锁定，受到任何伤害都会导致该状态失效，玩家不会中该状态。无参数</v>
      </c>
      <c r="Z6" s="9" t="s">
        <v>82</v>
      </c>
      <c r="AA6" s="11" t="str">
        <f>[1]!获取备注内容(Z6)</f>
        <v>变形，将目标的样子变成另外一个prefab，通常它会配合属性改变一起使用，被变形后的敌人会丢失所有技能。仅玩家拥有此技能。参数是变成目标prefab的名称</v>
      </c>
      <c r="AD6" s="9" t="s">
        <v>512</v>
      </c>
      <c r="AE6" s="11" t="str">
        <f>[1]!获取备注内容(AD6)</f>
        <v>近战伤害类型成立</v>
      </c>
    </row>
    <row r="7" spans="1:31" x14ac:dyDescent="0.2">
      <c r="A7" s="9" t="s">
        <v>212</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9" t="s">
        <v>22</v>
      </c>
      <c r="F7" s="9" t="str">
        <f>[1]!获取备注内容(E7)</f>
        <v>选择一个格子。原则上包含所有的格子，但应该把玩家所在位置的格子排除</v>
      </c>
      <c r="I7" s="9"/>
      <c r="L7" s="9" t="s">
        <v>416</v>
      </c>
      <c r="M7" s="9" t="str">
        <f>[1]!获取备注内容(L7)</f>
        <v>机械类型的怪物</v>
      </c>
      <c r="P7" s="9" t="s">
        <v>538</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652</v>
      </c>
      <c r="T7" s="11"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9" t="s">
        <v>83</v>
      </c>
      <c r="AA7" s="11" t="str">
        <f>[1]!获取备注内容(Z7)</f>
        <v>玩家与目标怪物位置互换，互换后，怪物暂时不会封锁格子，但符合“邻接锁定原则”（即玩家靠近后会封锁）。仅玩家拥有此技能。无参数</v>
      </c>
      <c r="AD7" s="9" t="s">
        <v>513</v>
      </c>
      <c r="AE7" s="11" t="str">
        <f>[1]!获取备注内容(AD7)</f>
        <v>实弹伤害成立</v>
      </c>
    </row>
    <row r="8" spans="1:31" x14ac:dyDescent="0.2">
      <c r="A8" s="9" t="s">
        <v>32</v>
      </c>
      <c r="B8" s="9" t="str">
        <f>[1]!获取备注内容(A8)</f>
        <v/>
      </c>
      <c r="C8" s="10"/>
      <c r="E8" s="12" t="s">
        <v>23</v>
      </c>
      <c r="F8" s="9" t="str">
        <f>[1]!获取备注内容(E8)</f>
        <v>选择一个翻开且不含障碍的格子，排除玩家所在的格子</v>
      </c>
      <c r="I8" s="9"/>
      <c r="L8" s="9" t="s">
        <v>417</v>
      </c>
      <c r="M8" s="9" t="str">
        <f>[1]!获取备注内容(L8)</f>
        <v>生命型怪物</v>
      </c>
      <c r="P8" s="9" t="s">
        <v>539</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473</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159</v>
      </c>
      <c r="AA8" s="11" t="str">
        <f>[1]!获取备注内容(Z8)</f>
        <v>将怪物随机移动到一个已经翻开的空格子，转移后，怪物暂时不会封锁格子，但符合“邻接锁定原则”（即玩家靠近后会封锁）。仅玩家拥有此技能。无参数</v>
      </c>
      <c r="AD8" s="9" t="s">
        <v>514</v>
      </c>
      <c r="AE8" s="11" t="str">
        <f>[1]!获取备注内容(AD8)</f>
        <v>光线伤害成立</v>
      </c>
    </row>
    <row r="9" spans="1:31" x14ac:dyDescent="0.2">
      <c r="A9" s="9" t="s">
        <v>33</v>
      </c>
      <c r="B9" s="9" t="str">
        <f>[1]!获取备注内容(A9)</f>
        <v/>
      </c>
      <c r="C9" s="10"/>
      <c r="E9" s="9" t="s">
        <v>24</v>
      </c>
      <c r="F9" s="9" t="str">
        <f>[1]!获取备注内容(E9)</f>
        <v>选择一个未翻开且不包含障碍的格子</v>
      </c>
      <c r="I9" s="9"/>
      <c r="P9" s="9" t="s">
        <v>289</v>
      </c>
      <c r="Q9" s="11" t="str">
        <f>[1]!获取备注内容(P9)</f>
        <v>近战攻击每消灭一个X系敌人，恢复生命值N%。仅玩家。参数是N_X.X（EffectCondition）该效果的生效条件，它关心None，MonsterTypeIron，MonsterTypeOrganisms这几个状态。</v>
      </c>
      <c r="S9" s="9" t="s">
        <v>778</v>
      </c>
      <c r="T9" s="11"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84</v>
      </c>
      <c r="AA9" s="11" t="str">
        <f>[1]!获取备注内容(Z9)</f>
        <v>奴役一个怪物，使这个怪物帮助自己攻击。玩家依然可以攻击这个怪物，但怪物不会反击，同时，怪物解除格锁定。仅玩家拥有此技能。无参数</v>
      </c>
      <c r="AD9" s="9" t="s">
        <v>540</v>
      </c>
      <c r="AE9" s="11" t="str">
        <f>[1]!获取备注内容(AD9)</f>
        <v>机械系怪物</v>
      </c>
    </row>
    <row r="10" spans="1:31" x14ac:dyDescent="0.2">
      <c r="A10" s="9" t="s">
        <v>213</v>
      </c>
      <c r="B10" s="9" t="str">
        <f>[1]!获取备注内容(A10)</f>
        <v/>
      </c>
      <c r="C10" s="10"/>
      <c r="E10" s="9" t="s">
        <v>25</v>
      </c>
      <c r="F10" s="9" t="str">
        <f>[1]!获取备注内容(E10)</f>
        <v>选择一个翻开且不含障碍，格子上没有物体，排除玩家所在的格子</v>
      </c>
      <c r="P10" s="9" t="s">
        <v>291</v>
      </c>
      <c r="Q10" s="11" t="str">
        <f>[1]!获取备注内容(P10)</f>
        <v>T攻击一定概率N%使敌人昏迷M个单位时间。仅玩家。参数是N_M_T.T（EffectCondition）该效果的生效条件，它关心None，DamageTypeMelee，DamageTypeCartridge，DamageTypeLaser这几个状态。</v>
      </c>
      <c r="S10" s="9" t="s">
        <v>471</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98</v>
      </c>
      <c r="AA10" s="11" t="str">
        <f>[1]!获取备注内容(Z10)</f>
        <v>防御驱散，随机驱散目标身上N个Debuff。注意由光环\被动技能附加的持续时间无限的状态是不能被驱散的。参数为为N</v>
      </c>
      <c r="AD10" s="9" t="s">
        <v>541</v>
      </c>
      <c r="AE10" s="11" t="str">
        <f>[1]!获取备注内容(AD10)</f>
        <v>生命系怪物</v>
      </c>
    </row>
    <row r="11" spans="1:31" x14ac:dyDescent="0.2">
      <c r="A11" s="9" t="s">
        <v>34</v>
      </c>
      <c r="B11" s="9" t="str">
        <f>[1]!获取备注内容(A11)</f>
        <v/>
      </c>
      <c r="E11" s="9" t="s">
        <v>55</v>
      </c>
      <c r="F11" s="9" t="str">
        <f>[1]!获取备注内容(E11)</f>
        <v>选择一个障碍（障碍不存在翻开与未翻开的概念）</v>
      </c>
      <c r="P11" s="9" t="s">
        <v>319</v>
      </c>
      <c r="Q11" s="11" t="str">
        <f>[1]!获取备注内容(P11)</f>
        <v>使用N次对应的召唤技能，重复启用被动技能不能重复召唤。注意这种方式召唤出来的召唤物，其能量/技能冷却都是从0开始，而且忽略召唤技能的时间消耗。仅玩家。参数为N</v>
      </c>
      <c r="S11" s="9" t="s">
        <v>797</v>
      </c>
      <c r="T11" s="11"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9" t="s">
        <v>99</v>
      </c>
      <c r="AA11" s="11" t="str">
        <f>[1]!获取备注内容(Z11)</f>
        <v>进攻驱散：随机驱散目标身上的N个Buff。注意由光环\被动技能附加的持续时间无限的状态是不能被驱散的。参数为N</v>
      </c>
    </row>
    <row r="12" spans="1:31" x14ac:dyDescent="0.2">
      <c r="A12" s="9" t="s">
        <v>35</v>
      </c>
      <c r="B12" s="9" t="str">
        <f>[1]!获取备注内容(A12)</f>
        <v/>
      </c>
      <c r="E12" s="9" t="s">
        <v>19</v>
      </c>
      <c r="F12" s="9" t="str">
        <f>[1]!获取备注内容(E12)</f>
        <v>选择一个障碍，而且该位置没有炮台</v>
      </c>
      <c r="P12" s="9" t="s">
        <v>324</v>
      </c>
      <c r="Q12" s="11" t="str">
        <f>[1]!获取备注内容(P12)</f>
        <v>预警雷达：目前保留，这属于另外一个模块功能</v>
      </c>
      <c r="S12" s="9" t="s">
        <v>519</v>
      </c>
      <c r="T12" s="11"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9" t="s">
        <v>204</v>
      </c>
      <c r="AA12" s="11"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9" t="s">
        <v>208</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26</v>
      </c>
      <c r="F13" s="9" t="str">
        <f>[1]!获取备注内容(E13)</f>
        <v>同上一条，但它不需要玩家选择位置</v>
      </c>
      <c r="P13" s="9" t="s">
        <v>325</v>
      </c>
      <c r="Q13" s="11" t="str">
        <f>[1]!获取备注内容(P13)</f>
        <v>寻宝雷达：目前保留，这属于另外一个模块功能</v>
      </c>
      <c r="S13" s="9" t="s">
        <v>589</v>
      </c>
      <c r="T13" s="11"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9" t="s">
        <v>211</v>
      </c>
      <c r="AA13" s="11"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9" t="s">
        <v>209</v>
      </c>
      <c r="B14" s="9" t="str">
        <f>[1]!获取备注内容(A14)</f>
        <v/>
      </c>
      <c r="E14" s="9" t="s">
        <v>59</v>
      </c>
      <c r="F14" s="9" t="str">
        <f>[1]!获取备注内容(E14)</f>
        <v>不需要选目标，表示召唤浮游炮</v>
      </c>
      <c r="S14" s="9" t="s">
        <v>472</v>
      </c>
      <c r="T14" s="11"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9" t="s">
        <v>238</v>
      </c>
      <c r="AA14" s="11"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9" t="s">
        <v>210</v>
      </c>
      <c r="B15" s="9" t="str">
        <f>[1]!获取备注内容(A15)</f>
        <v/>
      </c>
      <c r="E15" s="9" t="s">
        <v>54</v>
      </c>
      <c r="F15" s="9" t="str">
        <f>[1]!获取备注内容(E15)</f>
        <v>尚未被翻开的怪物，不需要玩家选择目标，它通常与multipleType为random时配合使用，表示随机一个没有被发现的怪物</v>
      </c>
      <c r="S15" s="9" t="s">
        <v>602</v>
      </c>
      <c r="T15" s="11"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9" t="s">
        <v>239</v>
      </c>
      <c r="AA15" s="11" t="str">
        <f>[1]!获取备注内容(Z15)</f>
        <v>将目标传送到一个已翻开的格子上，原则上怪物也可以使用这种技能（玩家会被传送到一个格子上）。没有参数</v>
      </c>
    </row>
    <row r="16" spans="1:31" x14ac:dyDescent="0.2">
      <c r="E16" s="9" t="s">
        <v>130</v>
      </c>
      <c r="F16" s="9" t="str">
        <f>[1]!获取备注内容(E16)</f>
        <v>选择上下左右临近的一个格子来表方向。它通常用于直线AOE攻击</v>
      </c>
      <c r="S16" s="9" t="s">
        <v>588</v>
      </c>
      <c r="T16" s="11"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9" t="s">
        <v>164</v>
      </c>
      <c r="F17" s="9" t="str">
        <f>[1]!获取备注内容(E17)</f>
        <v>选择一个射程内，可见的机械系敌人</v>
      </c>
      <c r="S17" s="9" t="s">
        <v>232</v>
      </c>
      <c r="T17" s="11" t="str">
        <f>[1]!获取备注内容(S17)</f>
        <v>死亡时，会随机杀死N个没有翻开的敌人。仅怪物。参数为N</v>
      </c>
    </row>
    <row r="18" spans="5:27" x14ac:dyDescent="0.2">
      <c r="E18" s="9" t="s">
        <v>166</v>
      </c>
      <c r="F18" s="9" t="str">
        <f>[1]!获取备注内容(E18)</f>
        <v>选择一个射程内，可见的生命系敌人</v>
      </c>
      <c r="S18" s="9" t="s">
        <v>265</v>
      </c>
      <c r="T18" s="11" t="str">
        <f>[1]!获取备注内容(S18)</f>
        <v>所有的远程攻击消耗时间减少N%。仅玩家。参数为N</v>
      </c>
    </row>
    <row r="19" spans="5:27" x14ac:dyDescent="0.2">
      <c r="S19" s="9" t="s">
        <v>271</v>
      </c>
      <c r="T19" s="11" t="str">
        <f>[1]!获取备注内容(S19)</f>
        <v>对生命值N%以下的敌人，造成的T伤害额外提高M%。参数是N_M_T。T（EffectCondition）该效果的生效条件，它关心None，DamageTypeMelee，DamageTypeCartridge，DamageTypeLaser这几个状态。</v>
      </c>
    </row>
    <row r="20" spans="5:27" x14ac:dyDescent="0.2">
      <c r="S20" s="9" t="s">
        <v>621</v>
      </c>
      <c r="T20" s="11" t="str">
        <f>[1]!获取备注内容(S20)</f>
        <v>对生命值N%以上的敌人，造成的T伤害额外提高M%。参数是N_M_T。T（EffectCondition）该效果的生效条件，它关心None，DamageTypeMelee，DamageTypeCartridge，DamageTypeLaser这几个状态。</v>
      </c>
    </row>
    <row r="21" spans="5:27" x14ac:dyDescent="0.2">
      <c r="S21" s="9" t="s">
        <v>445</v>
      </c>
      <c r="T21" s="11" t="str">
        <f>[1]!获取备注内容(S21)</f>
        <v>对距离N以内的目标造成的T伤害额外增加M%。参数是N_M_T。T（EffectCondition）该效果的生效条件，它关心None，DamageTypeMelee，DamageTypeCartridge，DamageTypeLaser这几个状态。</v>
      </c>
    </row>
    <row r="22" spans="5:27" x14ac:dyDescent="0.2">
      <c r="S22" s="9" t="s">
        <v>284</v>
      </c>
      <c r="T22" s="11"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9" t="s">
        <v>296</v>
      </c>
      <c r="T23" s="11" t="str">
        <f>[1]!获取备注内容(S23)</f>
        <v>T攻击一定概率N%造成1+M%伤害。参数是N_M_T。T（EffectCondition）该效果的生效条件，它关心None，DamageTypeMelee，DamageTypeCartridge，DamageTypeLaser这几个状态。</v>
      </c>
      <c r="AA23" s="7"/>
    </row>
    <row r="24" spans="5:27" x14ac:dyDescent="0.2">
      <c r="S24" s="9" t="s">
        <v>805</v>
      </c>
      <c r="T24" s="11"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2017-09-22T16:34:40Z</dcterms:modified>
</cp:coreProperties>
</file>