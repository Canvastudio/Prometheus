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6" rupBuild="20910"/>
  <workbookPr filterPrivacy="1" codeName="ThisWorkbook" autoCompressPictures="0"/>
  <bookViews>
    <workbookView xWindow="17740" yWindow="0" windowWidth="33460" windowHeight="24820" tabRatio="440" activeTab="1"/>
  </bookViews>
  <sheets>
    <sheet name="技能点" sheetId="5" r:id="rId1"/>
    <sheet name="主动技能" sheetId="1" r:id="rId2"/>
    <sheet name="计算草稿" sheetId="9" state="hidden" r:id="rId3"/>
    <sheet name="召唤技能" sheetId="2" r:id="rId4"/>
    <sheet name="召唤只能索敌流程" sheetId="8" state="hidden" r:id="rId5"/>
    <sheet name="被动技能" sheetId="6" r:id="rId6"/>
    <sheet name="状态" sheetId="7" r:id="rId7"/>
    <sheet name="枚举参数" sheetId="3" r:id="rId8"/>
  </sheets>
  <definedNames>
    <definedName name="DamageType" comment="伤害类型，以后可能会扩展">枚举参数!$Q$1:$Q$5</definedName>
    <definedName name="MultipleType" comment="多目标：玩家选择目标后（因为我们最多只让玩家选择一次），或者干脆就是随机目标（不让玩家选），但这个目标不一定就是最终目标，它可能会通过扩散（AOE）、随机多次来达到多目标的选取。总之它和TargetType一同决定技能目标。注意激光和普通飞行物在表现上的不一样会导致他们的表现处理逻辑有很大不同（反正我自己做的时候差异还是蛮大的）">枚举参数!$A$1:$A$16</definedName>
    <definedName name="PassiveType" comment="被动技能作用效果。除了Property与Halo，被动技能其他作用都只对玩家生效。">枚举参数!$M$1:$M$14</definedName>
    <definedName name="SpecialAction" comment="召唤物的行为模式">枚举参数!$G$1:$G$4</definedName>
    <definedName name="SpecialEffect" comment="主动技能的特殊效果">枚举参数!$S$1:$S$16</definedName>
    <definedName name="StateEffect" comment="状态的效果，一个状态可以有多个效果同时起效（依次起效）">枚举参数!$O$1:$O$24</definedName>
    <definedName name="TargetLimit" comment="这是一个过滤列表，符合这个条件的怪物，将不能被该技能列为可选目标（即便AOE、随机都不会命中它）">枚举参数!$J$1:$J$9</definedName>
    <definedName name="TargetType" comment="决定技能的释放方式。注意Self、Target、Help会根据不同的技能使用者，意义会不同">枚举参数!$D$1:$D$19</definedName>
  </definedNames>
  <calcPr calcId="140001" concurrentCalc="0"/>
  <fileRecoveryPr autoRecover="0"/>
  <extLst>
    <ext xmlns:mx="http://schemas.microsoft.com/office/mac/excel/2008/main" uri="{7523E5D3-25F3-A5E0-1632-64F254C22452}">
      <mx:ArchID Flags="2"/>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M5" i="2" l="1"/>
  <c r="M6" i="2"/>
  <c r="M7" i="2"/>
  <c r="B27" i="5"/>
  <c r="B28" i="5"/>
  <c r="B29" i="5"/>
  <c r="B30" i="5"/>
  <c r="B31" i="5"/>
  <c r="B32" i="5"/>
  <c r="B33" i="5"/>
  <c r="B34" i="5"/>
  <c r="B35" i="5"/>
  <c r="B36" i="5"/>
  <c r="B37" i="5"/>
  <c r="B38" i="5"/>
  <c r="B39" i="5"/>
  <c r="B40" i="5"/>
  <c r="B41" i="5"/>
  <c r="B42" i="5"/>
  <c r="B43" i="5"/>
  <c r="B44" i="5"/>
  <c r="B45" i="5"/>
  <c r="B46" i="5"/>
  <c r="B47" i="5"/>
  <c r="B48" i="5"/>
  <c r="B8" i="5"/>
  <c r="B9" i="5"/>
  <c r="B10" i="5"/>
  <c r="B11" i="5"/>
  <c r="B12" i="5"/>
  <c r="B13" i="5"/>
  <c r="B14" i="5"/>
  <c r="B15" i="5"/>
  <c r="B16" i="5"/>
  <c r="B17" i="5"/>
  <c r="B18" i="5"/>
  <c r="B19" i="5"/>
  <c r="B20" i="5"/>
  <c r="B21" i="5"/>
  <c r="B22" i="5"/>
  <c r="B23" i="5"/>
  <c r="B24" i="5"/>
  <c r="B25" i="5"/>
  <c r="B26" i="5"/>
  <c r="B6" i="5"/>
  <c r="B7" i="5"/>
  <c r="B5" i="5"/>
  <c r="M8" i="2"/>
  <c r="K4" i="9"/>
  <c r="K5" i="9"/>
  <c r="K6" i="9"/>
  <c r="K7" i="9"/>
  <c r="K8" i="9"/>
  <c r="E5" i="9"/>
  <c r="E6" i="9"/>
  <c r="E7" i="9"/>
  <c r="E8" i="9"/>
  <c r="E9" i="9"/>
  <c r="E10" i="9"/>
  <c r="E11" i="9"/>
  <c r="E12" i="9"/>
  <c r="E13" i="9"/>
  <c r="E14" i="9"/>
  <c r="E15" i="9"/>
  <c r="E16" i="9"/>
  <c r="E17" i="9"/>
  <c r="E18" i="9"/>
  <c r="E4" i="9"/>
</calcChain>
</file>

<file path=xl/comments1.xml><?xml version="1.0" encoding="utf-8"?>
<comments xmlns="http://schemas.openxmlformats.org/spreadsheetml/2006/main">
  <authors>
    <author>作者</author>
  </authors>
  <commentList>
    <comment ref="A2" authorId="0">
      <text>
        <r>
          <rPr>
            <sz val="9"/>
            <color indexed="81"/>
            <rFont val="宋体"/>
            <family val="3"/>
            <charset val="134"/>
          </rPr>
          <t>多目标：玩家选择目标后（因为我们最多只让玩家选择一次），或者干脆就是随机目标（不让玩家选），但这个目标不一定就是最终目标，它可能会通过扩散（AOE）、随机多次来达到多目标的选取。总之它和TargetType一同决定技能目标。注意激光和普通飞行物在表现上的不一样会导致他们的表现处理逻辑有很大不同（反正我自己做的时候差异还是蛮大的）</t>
        </r>
      </text>
    </comment>
    <comment ref="D2" authorId="0">
      <text>
        <r>
          <rPr>
            <sz val="9"/>
            <color indexed="81"/>
            <rFont val="宋体"/>
            <family val="3"/>
            <charset val="134"/>
          </rPr>
          <t>决定技能的释放方式。注意Self、Target、Help会根据不同的技能使用者，意义会不同</t>
        </r>
      </text>
    </comment>
    <comment ref="G2" authorId="0">
      <text>
        <r>
          <rPr>
            <b/>
            <sz val="9"/>
            <color indexed="81"/>
            <rFont val="宋体"/>
            <family val="3"/>
            <charset val="134"/>
          </rPr>
          <t>召唤物的行为模式</t>
        </r>
      </text>
    </comment>
    <comment ref="J2" authorId="0">
      <text>
        <r>
          <rPr>
            <sz val="9"/>
            <color indexed="81"/>
            <rFont val="宋体"/>
            <family val="3"/>
            <charset val="134"/>
          </rPr>
          <t>这是一个过滤列表，符合这个条件的怪物，将不能被该技能列为可选目标（即便AOE、随机都不会命中它）</t>
        </r>
      </text>
    </comment>
    <comment ref="M2" authorId="0">
      <text>
        <r>
          <rPr>
            <sz val="9"/>
            <color indexed="81"/>
            <rFont val="宋体"/>
            <family val="3"/>
            <charset val="134"/>
          </rPr>
          <t>被动技能作用效果。除了Property与Halo，被动技能其他作用都只对玩家生效。</t>
        </r>
      </text>
    </comment>
    <comment ref="O2" authorId="0">
      <text>
        <r>
          <rPr>
            <sz val="9"/>
            <color indexed="81"/>
            <rFont val="宋体"/>
            <family val="3"/>
            <charset val="134"/>
          </rPr>
          <t>状态的效果，一个状态可以有多个效果同时起效（依次起效）</t>
        </r>
      </text>
    </comment>
    <comment ref="Q2" authorId="0">
      <text>
        <r>
          <rPr>
            <sz val="9"/>
            <color indexed="81"/>
            <rFont val="宋体"/>
            <family val="3"/>
            <charset val="134"/>
          </rPr>
          <t>伤害类型，以后可能会扩展</t>
        </r>
      </text>
    </comment>
    <comment ref="S2" authorId="0">
      <text>
        <r>
          <rPr>
            <sz val="9"/>
            <color indexed="81"/>
            <rFont val="宋体"/>
            <family val="3"/>
            <charset val="134"/>
          </rPr>
          <t>主动技能的特殊效果</t>
        </r>
      </text>
    </comment>
    <comment ref="A3" authorId="0">
      <text>
        <r>
          <rPr>
            <sz val="9"/>
            <color indexed="81"/>
            <rFont val="宋体"/>
            <family val="3"/>
            <charset val="134"/>
          </rPr>
          <t>默认，只会攻击一个目标</t>
        </r>
      </text>
    </comment>
    <comment ref="D3" authorId="0">
      <text>
        <r>
          <rPr>
            <sz val="9"/>
            <color indexed="81"/>
            <rFont val="宋体"/>
            <family val="3"/>
            <charset val="134"/>
          </rPr>
          <t>不需要选择目标，通常用于Random或者ALL的技能。如果是怪物持有技能，等价于Enemy</t>
        </r>
      </text>
    </comment>
    <comment ref="G3" authorId="0">
      <text>
        <r>
          <rPr>
            <b/>
            <sz val="9"/>
            <color indexed="81"/>
            <rFont val="宋体"/>
            <family val="3"/>
            <charset val="134"/>
          </rPr>
          <t>普通攻击</t>
        </r>
      </text>
    </comment>
    <comment ref="J3" authorId="0">
      <text>
        <r>
          <rPr>
            <sz val="9"/>
            <color indexed="81"/>
            <rFont val="宋体"/>
            <family val="3"/>
            <charset val="134"/>
          </rPr>
          <t>枚举默认值，表示没有任何过滤</t>
        </r>
      </text>
    </comment>
    <comment ref="M3" authorId="0">
      <text>
        <r>
          <rPr>
            <b/>
            <sz val="9"/>
            <color indexed="81"/>
            <rFont val="宋体"/>
            <family val="3"/>
            <charset val="134"/>
          </rPr>
          <t>没有效果</t>
        </r>
      </text>
    </comment>
    <comment ref="O3" authorId="0">
      <text>
        <r>
          <rPr>
            <b/>
            <sz val="9"/>
            <color indexed="81"/>
            <rFont val="宋体"/>
            <family val="3"/>
            <charset val="134"/>
          </rPr>
          <t>没有任何要求</t>
        </r>
      </text>
    </comment>
    <comment ref="Q3" authorId="0">
      <text>
        <r>
          <rPr>
            <sz val="9"/>
            <color indexed="81"/>
            <rFont val="宋体"/>
            <family val="3"/>
            <charset val="134"/>
          </rPr>
          <t>物理伤害</t>
        </r>
      </text>
    </comment>
    <comment ref="A4" authorId="0">
      <text>
        <r>
          <rPr>
            <sz val="9"/>
            <color indexed="81"/>
            <rFont val="宋体"/>
            <family val="3"/>
            <charset val="134"/>
          </rPr>
          <t>随机目标，目标不重复。可以结合targetArg实现随机选取多个目标</t>
        </r>
      </text>
    </comment>
    <comment ref="D4" authorId="0">
      <text>
        <r>
          <rPr>
            <sz val="9"/>
            <color indexed="81"/>
            <rFont val="宋体"/>
            <family val="3"/>
            <charset val="134"/>
          </rPr>
          <t>对自己释放，如果是玩家技能，表示不需要指定目标（目标是自己）。如果是怪物技能，表示该技能对自己释放</t>
        </r>
      </text>
    </comment>
    <comment ref="G4" authorId="0">
      <text>
        <r>
          <rPr>
            <b/>
            <sz val="9"/>
            <color indexed="81"/>
            <rFont val="宋体"/>
            <family val="3"/>
            <charset val="134"/>
          </rPr>
          <t>复制玩家的主动技能</t>
        </r>
      </text>
    </comment>
    <comment ref="J4" authorId="0">
      <text>
        <r>
          <rPr>
            <sz val="9"/>
            <color indexed="81"/>
            <rFont val="宋体"/>
            <family val="3"/>
            <charset val="134"/>
          </rPr>
          <t>怪物强度1</t>
        </r>
      </text>
    </comment>
    <comment ref="M4" authorId="0">
      <text>
        <r>
          <rPr>
            <sz val="9"/>
            <color indexed="81"/>
            <rFont val="宋体"/>
            <family val="3"/>
            <charset val="134"/>
          </rPr>
          <t>改变属性，注意如果技能失效，属性会变回来。如果是当前生命值减少，判定为物理伤害。参数是rpn数组，可以有多个表达式。
这个算法的逻辑应该是，依次把玩家裸属性，芯片加成属性，被动技能增加属性，状态增加属性这4部分分别处理，当有某一部分变动时，重新计算那一部分。比如状态列表有变动，就应该重新计算整个状态属性加成，因为没办法在移除一个状态后倒扣属性。
注意，在属性表达式中，有一些参数是随环境变化的，所以每次在这些环境发生变化时，相应计算要跟着变化。</t>
        </r>
      </text>
    </comment>
    <comment ref="O4" authorId="0">
      <text>
        <r>
          <rPr>
            <sz val="9"/>
            <color indexed="81"/>
            <rFont val="宋体"/>
            <family val="3"/>
            <charset val="134"/>
          </rPr>
          <t>沉默，所有被动技能无效，有些被动技能是给自己/队友施加状态，那么这些状态此时也应该消失。玩家也能被沉默。注意这并不是驱散，它只会使那些永久性质的状态消失（因为导致这些状态的被动技能失效了）
无参数</t>
        </r>
      </text>
    </comment>
    <comment ref="Q4" authorId="0">
      <text>
        <r>
          <rPr>
            <sz val="9"/>
            <color indexed="81"/>
            <rFont val="宋体"/>
            <family val="3"/>
            <charset val="134"/>
          </rPr>
          <t>实弹伤害</t>
        </r>
      </text>
    </comment>
    <comment ref="S4" authorId="0">
      <text>
        <r>
          <rPr>
            <sz val="9"/>
            <color indexed="81"/>
            <rFont val="宋体"/>
            <family val="3"/>
            <charset val="134"/>
          </rPr>
          <t>给技能目标释放状态。所以就可以有伤害是0的纯状态技能，注意状态附加是优先于伤害计算的。参数是状态ID</t>
        </r>
      </text>
    </comment>
    <comment ref="A5" authorId="0">
      <text>
        <r>
          <rPr>
            <sz val="9"/>
            <color indexed="81"/>
            <rFont val="宋体"/>
            <family val="3"/>
            <charset val="134"/>
          </rPr>
          <t>随机目标，目标可重复。可以结合targetArg实现随机选取多个目标</t>
        </r>
      </text>
    </comment>
    <comment ref="D5" authorId="0">
      <text>
        <r>
          <rPr>
            <sz val="9"/>
            <color indexed="81"/>
            <rFont val="宋体"/>
            <family val="3"/>
            <charset val="134"/>
          </rPr>
          <t>对友方释放，如果是玩家技能，等价于Self。如果是怪物技能，正常情况下等价于Monster，但如果该怪物被奴役，Help就表示玩家。</t>
        </r>
      </text>
    </comment>
    <comment ref="M5" authorId="0">
      <text>
        <r>
          <rPr>
            <sz val="9"/>
            <color indexed="81"/>
            <rFont val="宋体"/>
            <family val="3"/>
            <charset val="134"/>
          </rPr>
          <t>光环，给自己以及范围f[0]内可见的同伴或者敌对（b[0]为true表示敌对，意奴役状态会改变目标应对）目标施加状态u[0]。注意通过这种方式附加的状态忽略状态持续时间，只有该被动技能失效（技能拥有者消失、被沉默，或者某种原因导致范围超出）状态才会消失。玩家同样可以持有该技能。</t>
        </r>
      </text>
    </comment>
    <comment ref="O5" authorId="0">
      <text>
        <r>
          <rPr>
            <sz val="9"/>
            <color indexed="81"/>
            <rFont val="宋体"/>
            <family val="3"/>
            <charset val="134"/>
          </rPr>
          <t>缴械。不能使用主动技能，怪物被缴械后，技能CD暂停。玩家也是可以被缴械的。无参数</t>
        </r>
      </text>
    </comment>
    <comment ref="Q5" authorId="0">
      <text>
        <r>
          <rPr>
            <sz val="9"/>
            <color indexed="81"/>
            <rFont val="宋体"/>
            <family val="3"/>
            <charset val="134"/>
          </rPr>
          <t>光线伤害</t>
        </r>
      </text>
    </comment>
    <comment ref="S5" authorId="0">
      <text>
        <r>
          <rPr>
            <sz val="9"/>
            <color indexed="81"/>
            <rFont val="宋体"/>
            <family val="3"/>
            <charset val="134"/>
          </rPr>
          <t>强制给自己释放状态，无视技能目标。注意这个BUFF是先优先伤害计算的。比如我释放了一个BUFF只持续非常短的时间，但是因为它是在技能前就附加上了，所以哪怕是一瞬间，这个BUFF也会起效。参数是状态ID</t>
        </r>
      </text>
    </comment>
    <comment ref="A6" authorId="0">
      <text>
        <r>
          <rPr>
            <sz val="9"/>
            <color indexed="81"/>
            <rFont val="宋体"/>
            <family val="3"/>
            <charset val="134"/>
          </rPr>
          <t>所有目标</t>
        </r>
      </text>
    </comment>
    <comment ref="D6" authorId="0">
      <text>
        <r>
          <rPr>
            <sz val="9"/>
            <color indexed="81"/>
            <rFont val="宋体"/>
            <family val="3"/>
            <charset val="134"/>
          </rPr>
          <t>如果是玩家技能，效果等同于Monster；如果是怪物技能，表示以玩家为目标，如果这个怪物被奴役，Enemy就等价于Monster</t>
        </r>
      </text>
    </comment>
    <comment ref="M6" authorId="0">
      <text>
        <r>
          <rPr>
            <sz val="9"/>
            <color indexed="81"/>
            <rFont val="宋体"/>
            <family val="3"/>
            <charset val="134"/>
          </rPr>
          <t>对刚刚翻开的敌人发动近战攻击会有一些额外的属性改变（rpn[0]）。翻开一个敌人后，如果有任何移动、攻击、翻开格子的行为，该效果都会不成立，即在翻开一个敌人后，没有以上行为，直接对其进行近战攻击，才能享受此被动效果（界面行为除外）。仅玩家。</t>
        </r>
      </text>
    </comment>
    <comment ref="O6" authorId="0">
      <text>
        <r>
          <rPr>
            <sz val="9"/>
            <color indexed="81"/>
            <rFont val="宋体"/>
            <family val="3"/>
            <charset val="134"/>
          </rPr>
          <t>冻结，冻结后不能反击，不能使用技能，技能CD暂停，暂时解除周围格子锁定。玩家不会中该状态。无参数</t>
        </r>
      </text>
    </comment>
    <comment ref="S6" authorId="0">
      <text>
        <r>
          <rPr>
            <sz val="9"/>
            <color indexed="81"/>
            <rFont val="宋体"/>
            <family val="3"/>
            <charset val="134"/>
          </rPr>
          <t>永久改变属性。一般不会用来修改玩家的属性（除非修改的是当前生命值，如果是当前生命值减少，判定为物理伤害）。参数是属性四则表达式，如果有多个表达式，使用|分割。
注意，和被动\状态不同，在主动技能Property的属性表达式中，虽然一些参数是随环境变化的，但在主动技能上，主动技能只在释放的一瞬间进行判定，所以只要属性加成完毕，那么之后不管外部环境怎么变，都不会影响之前对属性的改变。</t>
        </r>
      </text>
    </comment>
    <comment ref="A7" authorId="0">
      <text>
        <r>
          <rPr>
            <sz val="9"/>
            <color indexed="81"/>
            <rFont val="宋体"/>
            <family val="3"/>
            <charset val="134"/>
          </rPr>
          <t>对一条线上的敌人造成伤害，直线的起点是技能释放者，终点与射程有关。这种释放方式的技能，不能作为召唤物绑定技能</t>
        </r>
      </text>
    </comment>
    <comment ref="D7" authorId="0">
      <text>
        <r>
          <rPr>
            <sz val="9"/>
            <color indexed="81"/>
            <rFont val="宋体"/>
            <family val="3"/>
            <charset val="134"/>
          </rPr>
          <t>选择一个射程内的可见怪物。如果是怪物技能，表示射程内，非自己的其他怪物</t>
        </r>
      </text>
    </comment>
    <comment ref="M7" authorId="0">
      <text>
        <r>
          <rPr>
            <sz val="9"/>
            <color indexed="81"/>
            <rFont val="宋体"/>
            <family val="3"/>
            <charset val="134"/>
          </rPr>
          <t>玩家每走1格，ec[0]类型的伤害增加f[0](%)。在攻击后（近战&amp;远程都算，但要确实发生攻击行为，纯BUFF技能不算）效果重置。仅玩家可持有该技能。假如走了5格，增加的伤害应该是5*f[0]，而不是f[0]的5次方。
ec[0]（EffectCondition）该效果的生效条件，它关心None，DamageTypeMelee，DamageTypeCartridge，DamageTypeLaser这几个状态。</t>
        </r>
      </text>
    </comment>
    <comment ref="O7" authorId="0">
      <text>
        <r>
          <rPr>
            <sz val="9"/>
            <color indexed="81"/>
            <rFont val="宋体"/>
            <family val="3"/>
            <charset val="134"/>
          </rPr>
          <t>催眠，不能反击，不能使用技能,技能CD暂停，暂时解除周围格子锁定，受到任何伤害都会导致该状态失效，玩家不会中该状态。无参数</t>
        </r>
      </text>
    </comment>
    <comment ref="S7" authorId="0">
      <text>
        <r>
          <rPr>
            <sz val="9"/>
            <color indexed="81"/>
            <rFont val="宋体"/>
            <family val="3"/>
            <charset val="134"/>
          </rPr>
          <t>变形，将目标的样子变成另外一个prefab，通常它会配合属性改变一起使用，被变形后的敌人会丢失所有技能。仅玩家拥有此技能。参数是变成目标prefab的名称</t>
        </r>
      </text>
    </comment>
    <comment ref="A8" authorId="0">
      <text>
        <r>
          <rPr>
            <sz val="9"/>
            <color indexed="81"/>
            <rFont val="宋体"/>
            <family val="3"/>
            <charset val="134"/>
          </rPr>
          <t>上下左右扩散模式，1表示扩散半径为1。它会对半径内的其他目标同时造成效果（这里的效果一般指伤害，但如果技能释放目标是格子，那么也对格子有效）。这种扩散模式是基于上下左右的（斜向距离为2）。</t>
        </r>
      </text>
    </comment>
    <comment ref="D8" authorId="0">
      <text>
        <r>
          <rPr>
            <b/>
            <sz val="9"/>
            <color indexed="81"/>
            <rFont val="宋体"/>
            <family val="3"/>
            <charset val="134"/>
          </rPr>
          <t>选择一个格子。原则上包含所有的格子，但应该把玩家所在位置的格子排除</t>
        </r>
      </text>
    </comment>
    <comment ref="J8" authorId="0">
      <text>
        <r>
          <rPr>
            <sz val="9"/>
            <color indexed="81"/>
            <rFont val="宋体"/>
            <family val="3"/>
            <charset val="134"/>
          </rPr>
          <t>机械类型的怪物</t>
        </r>
      </text>
    </comment>
    <comment ref="M8" authorId="0">
      <text>
        <r>
          <rPr>
            <sz val="9"/>
            <color indexed="81"/>
            <rFont val="宋体"/>
            <family val="3"/>
            <charset val="134"/>
          </rPr>
          <t>每1单位时间，ec[0]类型伤害增加f[0](%)，玩家使用实弹技能后重置，累积最高不超过f[1](%)。仅玩家可持有该技能。假如经过了5时间，累加的伤害应该是5*f[0]，而不是f[0]的5次方。
ec[0]（EffectCondition）该效果的生效条件，它关心None，DamageTypeMelee，DamageTypeCartridge，DamageTypeLaser这几个状态。</t>
        </r>
      </text>
    </comment>
    <comment ref="O8" authorId="0">
      <text>
        <r>
          <rPr>
            <sz val="9"/>
            <color indexed="81"/>
            <rFont val="宋体"/>
            <family val="3"/>
            <charset val="134"/>
          </rPr>
          <t>临时改变属性，状态消失后，属性要变回来，除非修改的是当前生命值（如果是当前生命值减少，判定为物理伤害）。参数为rpn数组，可以有多个表达式。如果有多个表达式。注意，在属性表达式中，有一些参数是随环境变化的，所以每次在这些环境发生变化时，相应计算要跟着变化。</t>
        </r>
      </text>
    </comment>
    <comment ref="S8" authorId="0">
      <text>
        <r>
          <rPr>
            <sz val="9"/>
            <color indexed="81"/>
            <rFont val="宋体"/>
            <family val="3"/>
            <charset val="134"/>
          </rPr>
          <t>玩家与目标怪物位置互换，互换后，怪物暂时不会封锁格子，但符合“邻接锁定原则”（即玩家靠近后会封锁）。仅玩家拥有此技能。无参数</t>
        </r>
      </text>
    </comment>
    <comment ref="D9" authorId="0">
      <text>
        <r>
          <rPr>
            <b/>
            <sz val="9"/>
            <color indexed="81"/>
            <rFont val="宋体"/>
            <family val="3"/>
            <charset val="134"/>
          </rPr>
          <t>选择一个翻开且不含障碍的格子，排除玩家所在的格子</t>
        </r>
      </text>
    </comment>
    <comment ref="J9" authorId="0">
      <text>
        <r>
          <rPr>
            <sz val="9"/>
            <color indexed="81"/>
            <rFont val="宋体"/>
            <family val="3"/>
            <charset val="134"/>
          </rPr>
          <t>生命型怪物</t>
        </r>
      </text>
    </comment>
    <comment ref="M9" authorId="0">
      <text>
        <r>
          <rPr>
            <sz val="9"/>
            <color indexed="81"/>
            <rFont val="宋体"/>
            <family val="3"/>
            <charset val="134"/>
          </rPr>
          <t>每杀死一个ec[0]类型单位，ec[1]类型伤害增加f[0](%)，最高不超过f[1](%)。使用造成ec[1]伤害的技能后重置。仅玩家。
如果杀死5个机械单位，光线伤害提高5*f[0]，而不是f[0]的5次方。
ec[0]（EffectCondition）该效果的生效条件(目标类型)，它关心None，MonsterTypeIron，MonsterTypeOrganisms这几个状态。
ec[1]（EffectCondition）该效果的生效条件（伤害类型），它关心None，DamageTypeMelee，DamageTypeCartridge，DamageTypeLaser这几个状态。</t>
        </r>
      </text>
    </comment>
    <comment ref="O9" authorId="0">
      <text>
        <r>
          <rPr>
            <sz val="9"/>
            <color indexed="81"/>
            <rFont val="宋体"/>
            <family val="3"/>
            <charset val="134"/>
          </rPr>
          <t xml:space="preserve">伤害转移，受到f[0]次ec[0]型伤害，随机转移给范围f[1]内的其他可见怪物或者玩家，状态DOT也算（酌情，看实现难度）。怪物也可以有此状态，转移的伤害不会转移到伤害制造者身上。没有转移目标时，转移失败，宿主受到伤害，但也会消耗次数。转移发生时，宿主不受本次伤害。。如果达到转移次数，状态自动移除，但如果是被动技能施加的该状态，那么次数无效（真相是虽然达到了次数，但因为是被动技能施加，所以状态没法移除）。
转移的伤害不能再次被转移（A/B都有转移状态...），转移的伤害类型与之前一样，所以它依然会使其他伤害判定的效果生效（比如DamageTransfer、DamageResist...）。
ec[0]（EffectCondition）该效果的生效条件，它关心None，DamageTypeMelee，DamageTypeCartridge，DamageTypeLaser这几个状态。
</t>
        </r>
      </text>
    </comment>
    <comment ref="S9" authorId="0">
      <text>
        <r>
          <rPr>
            <sz val="9"/>
            <color indexed="81"/>
            <rFont val="宋体"/>
            <family val="3"/>
            <charset val="134"/>
          </rPr>
          <t>将怪物随机移动到一个已经翻开的空格子，转移后，怪物暂时不会封锁格子，但符合“邻接锁定原则”（即玩家靠近后会封锁）。仅玩家拥有此技能。无参数</t>
        </r>
      </text>
    </comment>
    <comment ref="D10" authorId="0">
      <text>
        <r>
          <rPr>
            <b/>
            <sz val="9"/>
            <color indexed="81"/>
            <rFont val="宋体"/>
            <family val="3"/>
            <charset val="134"/>
          </rPr>
          <t>选择一个未翻开且不包含障碍的格子</t>
        </r>
      </text>
    </comment>
    <comment ref="M10" authorId="0">
      <text>
        <r>
          <rPr>
            <sz val="9"/>
            <color indexed="81"/>
            <rFont val="宋体"/>
            <family val="3"/>
            <charset val="134"/>
          </rPr>
          <t>近战攻击每消灭一个ex[0]类型的敌人，恢复生命值f[0](%)。仅玩家。
ec[0]（EffectCondition）该效果的生效条件，它关心None，MonsterTypeIron，MonsterTypeOrganisms这几个状态。</t>
        </r>
      </text>
    </comment>
    <comment ref="O10" authorId="0">
      <text>
        <r>
          <rPr>
            <sz val="9"/>
            <color indexed="81"/>
            <rFont val="宋体"/>
            <family val="3"/>
            <charset val="134"/>
          </rPr>
          <t xml:space="preserve">伤害吸收，宿主接下来受到ec[0]类型的伤害会被吸收（宿主不受伤害）最多吸收rpn[0]点伤害或者吸收f[0]次伤害（DOT也算）。吸收足够的伤害或次数后，状态消失，除非它是被动技能施加的状态（总之，只要是被动技能施加的状态，除非被动技能失效，否则该状态绝对不会消失）。吸收伤害不会影响状态判定。
ec[0]（EffectCondition）该效果的生效条件，它关心None，DamageTypeMelee，DamageTypeCartridge，DamageTypeLaser这几个状态。
</t>
        </r>
      </text>
    </comment>
    <comment ref="S10" authorId="0">
      <text>
        <r>
          <rPr>
            <sz val="9"/>
            <color indexed="81"/>
            <rFont val="宋体"/>
            <family val="3"/>
            <charset val="134"/>
          </rPr>
          <t>奴役一个怪物，使这个怪物帮助自己攻击。玩家依然可以攻击这个怪物，但怪物不会反击，同时，怪物解除格锁定。仅玩家拥有此技能。无参数</t>
        </r>
      </text>
    </comment>
    <comment ref="D11" authorId="0">
      <text>
        <r>
          <rPr>
            <b/>
            <sz val="9"/>
            <color indexed="81"/>
            <rFont val="宋体"/>
            <family val="3"/>
            <charset val="134"/>
          </rPr>
          <t>选择一个翻开且不含障碍，格子上没有物体，排除玩家所在的格子</t>
        </r>
      </text>
    </comment>
    <comment ref="M11" authorId="0">
      <text>
        <r>
          <rPr>
            <sz val="9"/>
            <color indexed="81"/>
            <rFont val="宋体"/>
            <family val="3"/>
            <charset val="134"/>
          </rPr>
          <t>ec[0]类型攻击f[0](%)概率使敌人昏迷f[1]个回合。
ec[0]（EffectCondition）该效果的生效条件，它关心None，DamageTypeMelee，DamageTypeCartridge，DamageTypeLaser这几个状态。</t>
        </r>
      </text>
    </comment>
    <comment ref="O11" authorId="0">
      <text>
        <r>
          <rPr>
            <sz val="9"/>
            <color indexed="81"/>
            <rFont val="宋体"/>
            <family val="3"/>
            <charset val="134"/>
          </rPr>
          <t>伤害储存，记下下f[0]次受到的伤害，在自然消失时（被驱散不算自然消失，这里持续时间到，或者达到次数f[0]视为自然消失），为自己回复f[1]倍的生命值。原则这种状态不会由被动技能施加，但如果真是这样，按照规则，它将在f[0]次伤害后发生效果，但该状态不会移除，再受到f[0]次伤害后还可以继续发生效果。注意，宿主还是会受到伤害。
ec[0]（EffectCondition）该效果的生效条件，它关心None，DamageTypeMelee，DamageTypeCartridge，DamageTypeLaser这几个状态。</t>
        </r>
      </text>
    </comment>
    <comment ref="S11" authorId="0">
      <text>
        <r>
          <rPr>
            <sz val="9"/>
            <color indexed="81"/>
            <rFont val="宋体"/>
            <family val="3"/>
            <charset val="134"/>
          </rPr>
          <t>防御驱散，随机驱散目标身上N个Debuff。注意由光环\被动技能附加的持续时间无限的状态是不能被驱散的。参数为为N</t>
        </r>
      </text>
    </comment>
    <comment ref="D12" authorId="0">
      <text>
        <r>
          <rPr>
            <b/>
            <sz val="9"/>
            <color indexed="81"/>
            <rFont val="宋体"/>
            <family val="3"/>
            <charset val="134"/>
          </rPr>
          <t>选择一个障碍（障碍不存在翻开与未翻开的概念）</t>
        </r>
      </text>
    </comment>
    <comment ref="M12" authorId="0">
      <text>
        <r>
          <rPr>
            <sz val="9"/>
            <color indexed="81"/>
            <rFont val="宋体"/>
            <family val="3"/>
            <charset val="134"/>
          </rPr>
          <t>使用f[0]次对应id为[0]的召唤技能，重复启用被动技能不能重复召唤。注意这种方式召唤出来的召唤物，其能量/技能冷却都是从0开始，而且忽略召唤技能的时间消耗。</t>
        </r>
      </text>
    </comment>
    <comment ref="O12" authorId="0">
      <text>
        <r>
          <rPr>
            <sz val="9"/>
            <color indexed="81"/>
            <rFont val="宋体"/>
            <family val="3"/>
            <charset val="134"/>
          </rPr>
          <t>受到的ec[0]伤害f[0](%)返弹给伤害来源。
机制与伤害转移类似，只是这个一定会转移到伤害发动者身上。
为了简化流程，这里只考虑主动技能与近战的伤害（所以状态造成的生命值减少就不用检查了）。反弹的伤害不能再次被反弹（A/B都有反弹状态...），反弹的伤害类型与之前一样，所以它依然会使其他伤害判定的效果生效（比如DamageTransfer、DamageResist...）。
ec[0]（EffectCondition）该效果的生效条件，它关心None，DamageTypeMelee，DamageTypeCartridge，DamageTypeLaser这几个状态。</t>
        </r>
      </text>
    </comment>
    <comment ref="S12" authorId="0">
      <text>
        <r>
          <rPr>
            <sz val="9"/>
            <color indexed="81"/>
            <rFont val="宋体"/>
            <family val="3"/>
            <charset val="134"/>
          </rPr>
          <t>进攻驱散：随机驱散目标身上的N个Buff。注意由光环\被动技能附加的持续时间无限的状态是不能被驱散的。参数为N</t>
        </r>
      </text>
    </comment>
    <comment ref="D13" authorId="0">
      <text>
        <r>
          <rPr>
            <b/>
            <sz val="9"/>
            <color indexed="81"/>
            <rFont val="宋体"/>
            <family val="3"/>
            <charset val="134"/>
          </rPr>
          <t>选择一个障碍，
而且该位置没有炮台</t>
        </r>
      </text>
    </comment>
    <comment ref="M13" authorId="0">
      <text>
        <r>
          <rPr>
            <sz val="9"/>
            <color indexed="81"/>
            <rFont val="宋体"/>
            <family val="3"/>
            <charset val="134"/>
          </rPr>
          <t>预警雷达：目前保留，这属于另外一个模块功能</t>
        </r>
      </text>
    </comment>
    <comment ref="O13" authorId="0">
      <text>
        <r>
          <rPr>
            <sz val="9"/>
            <color indexed="81"/>
            <rFont val="宋体"/>
            <family val="3"/>
            <charset val="134"/>
          </rPr>
          <t>一定概率f[0](%)受到的ec[0]伤害降低f[1](%)。注意，每个状态都是独立计算/生效的，如果一个对象同时有DamageResist和MeleeResist，只要在每次判定该状态的时候去计算就好了，而不必把"减伤总和"算出来。
ec[0]（EffectCondition）该效果的生效条件，它关心None，DamageTypeMelee，DamageTypeCartridge，DamageTypeLaser这几个状态。</t>
        </r>
      </text>
    </comment>
    <comment ref="S13" authorId="0">
      <text>
        <r>
          <rPr>
            <sz val="9"/>
            <color indexed="81"/>
            <rFont val="宋体"/>
            <family val="3"/>
            <charset val="134"/>
          </rPr>
          <t xml:space="preserve">满足条件时，会返还技能一半的消耗，这个效果只对玩家有效。参数即条件，是一个类型为EffectCondition的枚举类型（这里获取到的是字符串，你得自己转一下），它关心的是None，HasMonster，NoMonster，Empty这几个信息。
</t>
        </r>
      </text>
    </comment>
    <comment ref="A14" authorId="0">
      <text>
        <r>
          <rPr>
            <sz val="9"/>
            <color indexed="81"/>
            <rFont val="宋体"/>
            <family val="3"/>
            <charset val="134"/>
          </rPr>
          <t>含斜向扩散模式，1表示扩散半径为1。它会对半径内的其他目标同时造成效果（这里的效果一般指伤害，但如果技能释放目标是格子，那么也对格子有效）。这种扩散模式是基于上下左右与斜向的（斜向距离为1）。</t>
        </r>
      </text>
    </comment>
    <comment ref="D14" authorId="0">
      <text>
        <r>
          <rPr>
            <b/>
            <sz val="9"/>
            <color indexed="81"/>
            <rFont val="宋体"/>
            <family val="3"/>
            <charset val="134"/>
          </rPr>
          <t>同上一条，但它不需要玩家选择位置</t>
        </r>
      </text>
    </comment>
    <comment ref="M14" authorId="0">
      <text>
        <r>
          <rPr>
            <sz val="9"/>
            <color indexed="81"/>
            <rFont val="宋体"/>
            <family val="3"/>
            <charset val="134"/>
          </rPr>
          <t>寻宝雷达：目前保留，这属于另外一个模块功能</t>
        </r>
      </text>
    </comment>
    <comment ref="O14" authorId="0">
      <text>
        <r>
          <rPr>
            <sz val="9"/>
            <color indexed="81"/>
            <rFont val="宋体"/>
            <family val="3"/>
            <charset val="134"/>
          </rPr>
          <t>除非是场上最后一个怪物，否则免疫一切伤害。仅怪物。注意“最后一个”是为方便理解，真正意义是“场上没有除了有该类型状态的其他怪物”，比如场上可能剩余两个拥有该类型状态的怪物，这时候他们俩都可以受到伤害。
没有参数。</t>
        </r>
      </text>
    </comment>
    <comment ref="S14" authorId="0">
      <text>
        <r>
          <rPr>
            <sz val="9"/>
            <color indexed="81"/>
            <rFont val="宋体"/>
            <family val="3"/>
            <charset val="134"/>
          </rPr>
          <t xml:space="preserve">翻开一个格子后，再翻开附近的格子（含斜向）。仅玩家拥有此技能。参数为翻开附近格子的距离。
注意，在使用Round或者Diffuse时，也可以达到翻开附近格子的效果，他们的区别在于，使用Round或者Diffuse所翻开的格子，都可以被认定是“技能释放的目标位置”，而使用参数达到翻开附近格子的效果，这些格子是不会被判定为“技能释放的目标位置”的，这对使用EffectCondition做为判定条件时，有显著的区别。虽然它自己没有EffectCondition参数，但它通常会与其他效果一并出现在一个技能中，其他效果就可能使用EffectCondition作为自己是否应该生效的判断依据。
原则上，如果使用了Round或者Diffuse，而此效果参数又不为0，会先根据Round或者Diffuse翻开周围格子后，再在此基础上，又翻开一圈（后翻开的格子不作为“技能释放的目标位置”）。
</t>
        </r>
      </text>
    </comment>
    <comment ref="D15" authorId="0">
      <text>
        <r>
          <rPr>
            <b/>
            <sz val="9"/>
            <color indexed="81"/>
            <rFont val="宋体"/>
            <family val="3"/>
            <charset val="134"/>
          </rPr>
          <t>不需要选目标，表示召唤浮游炮</t>
        </r>
      </text>
    </comment>
    <comment ref="O15" authorId="0">
      <text>
        <r>
          <rPr>
            <sz val="9"/>
            <color indexed="81"/>
            <rFont val="宋体"/>
            <family val="3"/>
            <charset val="134"/>
          </rPr>
          <t>免疫指向技能，即有此状态的怪物，不能在玩家手动选择目标时，被筛选出来。注意这仅仅是不能被玩家手动选中，如果是AOE或者随机技能（不需要选择目标）依然可能打中这个怪物（打不打得中要看技能的TargetLimit）。仅怪物，没有参数</t>
        </r>
      </text>
    </comment>
    <comment ref="S15" authorId="0">
      <text>
        <r>
          <rPr>
            <sz val="9"/>
            <color indexed="81"/>
            <rFont val="宋体"/>
            <family val="3"/>
            <charset val="134"/>
          </rPr>
          <t xml:space="preserve">将玩家传送到一个格子上，只有玩家技能可以有该特性。参数即条件，是一个类型为EffectCondition的枚举类型（这里获取到的是字符串，你得自己转一下），它关心的是None，HasMonster，NoMonster，Empty这几个信息。
原则上，即便没有参数或者参数成立，目标位置不可站立时（有怪物或者机关）也会传送失败，但如果是物品，那么传送过去会直接拾取物品。
</t>
        </r>
      </text>
    </comment>
    <comment ref="D16" authorId="0">
      <text>
        <r>
          <rPr>
            <b/>
            <sz val="9"/>
            <color indexed="81"/>
            <rFont val="宋体"/>
            <family val="3"/>
            <charset val="134"/>
          </rPr>
          <t>尚未被翻开的怪物，不需要玩家选择目标，它通常与
multipleType为random时配合使用，表示随机一个没有被发现的怪物</t>
        </r>
      </text>
    </comment>
    <comment ref="O16" authorId="0">
      <text>
        <r>
          <rPr>
            <sz val="9"/>
            <color indexed="81"/>
            <rFont val="宋体"/>
            <family val="3"/>
            <charset val="134"/>
          </rPr>
          <t>状态自然消失时爆炸（怪物死亡不会引发爆炸，状态被驱散也不会爆炸），对玩家造成rpn[0]伤害。仅怪物有此状态。</t>
        </r>
      </text>
    </comment>
    <comment ref="S16" authorId="0">
      <text>
        <r>
          <rPr>
            <sz val="9"/>
            <color indexed="81"/>
            <rFont val="宋体"/>
            <family val="3"/>
            <charset val="134"/>
          </rPr>
          <t>将目标传送到一个已翻开的格子上，原则上怪物也可以使用这种技能（玩家会被传送到一个格子上）。没有参数</t>
        </r>
      </text>
    </comment>
    <comment ref="D17" authorId="0">
      <text>
        <r>
          <rPr>
            <sz val="9"/>
            <color indexed="81"/>
            <rFont val="宋体"/>
            <family val="3"/>
            <charset val="134"/>
          </rPr>
          <t>选择上下左右临近的一个格子来表方向。它通常用于直线AOE攻击</t>
        </r>
      </text>
    </comment>
    <comment ref="O17" authorId="0">
      <text>
        <r>
          <rPr>
            <sz val="9"/>
            <color indexed="81"/>
            <rFont val="宋体"/>
            <family val="3"/>
            <charset val="134"/>
          </rPr>
          <t>状态自然消失时叫醒范围f[0]内的其他怪物（怪物死亡不会引发Alarm，状态被驱散也不会Alarm），在范围f[0]内的怪物（不论是不是被Alarm唤醒）危险等级dangerous_levels立即提升至Hostility。仅怪物。</t>
        </r>
      </text>
    </comment>
    <comment ref="D18" authorId="0">
      <text>
        <r>
          <rPr>
            <sz val="9"/>
            <color indexed="81"/>
            <rFont val="宋体"/>
            <family val="3"/>
            <charset val="134"/>
          </rPr>
          <t>选择一个射程内，可见的机械系敌人</t>
        </r>
      </text>
    </comment>
    <comment ref="O18" authorId="0">
      <text>
        <r>
          <rPr>
            <sz val="9"/>
            <color indexed="81"/>
            <rFont val="宋体"/>
            <family val="3"/>
            <charset val="134"/>
          </rPr>
          <t>死亡时，会随机杀死f[0]个没有翻开的敌人。仅怪物。</t>
        </r>
      </text>
    </comment>
    <comment ref="D19" authorId="0">
      <text>
        <r>
          <rPr>
            <sz val="9"/>
            <color indexed="81"/>
            <rFont val="宋体"/>
            <family val="3"/>
            <charset val="134"/>
          </rPr>
          <t>选择一个射程内，可见的生命系敌人</t>
        </r>
      </text>
    </comment>
    <comment ref="O19" authorId="0">
      <text>
        <r>
          <rPr>
            <sz val="9"/>
            <color indexed="81"/>
            <rFont val="宋体"/>
            <family val="3"/>
            <charset val="134"/>
          </rPr>
          <t>所有的远程攻击消耗时间减少f[0](%)。仅玩家。参数为N</t>
        </r>
      </text>
    </comment>
    <comment ref="O20" authorId="0">
      <text>
        <r>
          <rPr>
            <sz val="9"/>
            <color indexed="81"/>
            <rFont val="宋体"/>
            <family val="3"/>
            <charset val="134"/>
          </rPr>
          <t>对生命值f[0](%)以下的敌人，造成的</t>
        </r>
        <r>
          <rPr>
            <b/>
            <sz val="9"/>
            <color indexed="81"/>
            <rFont val="宋体"/>
            <family val="3"/>
            <charset val="134"/>
          </rPr>
          <t>ec[0]伤害</t>
        </r>
        <r>
          <rPr>
            <sz val="9"/>
            <color indexed="81"/>
            <rFont val="宋体"/>
            <family val="3"/>
            <charset val="134"/>
          </rPr>
          <t>额外提高f[1]。
ec[0]（EffectCondition）该效果的生效条件，它关心None，DamageTypeMelee，DamageTypeCartridge，DamageTypeLaser这几个状态。</t>
        </r>
      </text>
    </comment>
    <comment ref="O21" authorId="0">
      <text>
        <r>
          <rPr>
            <sz val="9"/>
            <color indexed="81"/>
            <rFont val="宋体"/>
            <family val="3"/>
            <charset val="134"/>
          </rPr>
          <t>对生命值f[0](%)以上的敌人，造成的ec[0]伤害额外提高f[1](%)。
ec[0]（EffectCondition）该效果的生效条件，它关心None，DamageTypeMelee，DamageTypeCartridge，DamageTypeLaser这几个状态。</t>
        </r>
      </text>
    </comment>
    <comment ref="O22" authorId="0">
      <text>
        <r>
          <rPr>
            <sz val="9"/>
            <color indexed="81"/>
            <rFont val="宋体"/>
            <family val="3"/>
            <charset val="134"/>
          </rPr>
          <t>对距离f[0]以内的目标造成的ec[0]伤害额外增加f[1](%)。
ec[0]（EffectCondition）该效果的生效条件，它关心None，DamageTypeMelee，DamageTypeCartridge，DamageTypeLaser这几个状态。</t>
        </r>
      </text>
    </comment>
    <comment ref="O23" authorId="0">
      <text>
        <r>
          <rPr>
            <sz val="9"/>
            <color indexed="81"/>
            <rFont val="宋体"/>
            <family val="3"/>
            <charset val="134"/>
          </rPr>
          <t>ec[0]攻击一定概率f[0]造成f[1]伤害。
ec[0]（EffectCondition）该效果的生效条件，它关心None，DamageTypeMelee，DamageTypeCartridge，DamageTypeLaser这几个状态。</t>
        </r>
      </text>
    </comment>
    <comment ref="O24" authorId="0">
      <text>
        <r>
          <rPr>
            <sz val="9"/>
            <color indexed="81"/>
            <rFont val="宋体"/>
            <family val="3"/>
            <charset val="134"/>
          </rPr>
          <t>每受到一次effectConditionArg[0]伤害（每次当前生命值减少），增加近战伤害numbers[0](%，后同),实弹伤害B%,激光伤害C%。有些技能会伤害多次，所以这会让这个怪物伤害累积非常高，DOT也一样。比如每次受到伤害增加近战攻击10%，那么受到5次伤害，近战伤害增加50%。仅怪物有此状态。参数effectConditionArg[0],numbers[0],numbers[1],numbers[2]
T（EffectCondition）该效果的生效条件，它关心None，DamageTypeMelee，DamageTypeCartridge，DamageTypeLaser这几个状态。T</t>
        </r>
      </text>
    </comment>
  </commentList>
</comments>
</file>

<file path=xl/sharedStrings.xml><?xml version="1.0" encoding="utf-8"?>
<sst xmlns="http://schemas.openxmlformats.org/spreadsheetml/2006/main" count="1646" uniqueCount="1107">
  <si>
    <t>编号</t>
    <phoneticPr fontId="1" type="noConversion"/>
  </si>
  <si>
    <t>ulong</t>
    <phoneticPr fontId="1" type="noConversion"/>
  </si>
  <si>
    <t>id</t>
    <phoneticPr fontId="1" type="noConversion"/>
  </si>
  <si>
    <t>string</t>
    <phoneticPr fontId="1" type="noConversion"/>
  </si>
  <si>
    <t>name</t>
    <phoneticPr fontId="1" type="noConversion"/>
  </si>
  <si>
    <t>describe</t>
    <phoneticPr fontId="1" type="noConversion"/>
  </si>
  <si>
    <t>string</t>
    <phoneticPr fontId="1" type="noConversion"/>
  </si>
  <si>
    <t>描述</t>
    <phoneticPr fontId="1" type="noConversion"/>
  </si>
  <si>
    <t>carry</t>
    <phoneticPr fontId="1" type="noConversion"/>
  </si>
  <si>
    <t>TargetType</t>
    <phoneticPr fontId="1" type="noConversion"/>
  </si>
  <si>
    <t>string[|]</t>
    <phoneticPr fontId="1" type="noConversion"/>
  </si>
  <si>
    <t>命中_爆炸</t>
    <phoneticPr fontId="1" type="noConversion"/>
  </si>
  <si>
    <t>float</t>
    <phoneticPr fontId="1" type="noConversion"/>
  </si>
  <si>
    <t>string</t>
    <phoneticPr fontId="1" type="noConversion"/>
  </si>
  <si>
    <t>GUN01</t>
    <phoneticPr fontId="1" type="noConversion"/>
  </si>
  <si>
    <t>costTime</t>
  </si>
  <si>
    <t>炮台位置</t>
    <phoneticPr fontId="1" type="noConversion"/>
  </si>
  <si>
    <t>All</t>
    <phoneticPr fontId="1" type="noConversion"/>
  </si>
  <si>
    <t>Monster</t>
  </si>
  <si>
    <t>Block</t>
    <phoneticPr fontId="1" type="noConversion"/>
  </si>
  <si>
    <t>LightBlock</t>
    <phoneticPr fontId="1" type="noConversion"/>
  </si>
  <si>
    <t>DarkBlock</t>
    <phoneticPr fontId="1" type="noConversion"/>
  </si>
  <si>
    <t>EmptyBlock</t>
    <phoneticPr fontId="1" type="noConversion"/>
  </si>
  <si>
    <t>全炮台位置</t>
    <phoneticPr fontId="1" type="noConversion"/>
  </si>
  <si>
    <t>effect_hit</t>
    <phoneticPr fontId="1" type="noConversion"/>
  </si>
  <si>
    <t>Normal</t>
  </si>
  <si>
    <t>炮台位置</t>
  </si>
  <si>
    <t>Normal</t>
    <phoneticPr fontId="1" type="noConversion"/>
  </si>
  <si>
    <t>Random</t>
    <phoneticPr fontId="1" type="noConversion"/>
  </si>
  <si>
    <t>Diffuse_2</t>
  </si>
  <si>
    <t>Diffuse_3</t>
  </si>
  <si>
    <t>Diffuse_5</t>
  </si>
  <si>
    <t>Diffuse_6</t>
  </si>
  <si>
    <t>卫星</t>
  </si>
  <si>
    <t>SpecialAction</t>
    <phoneticPr fontId="1" type="noConversion"/>
  </si>
  <si>
    <t>NormalAttack</t>
    <phoneticPr fontId="1" type="noConversion"/>
  </si>
  <si>
    <t>describe</t>
    <phoneticPr fontId="1" type="noConversion"/>
  </si>
  <si>
    <t>name</t>
    <phoneticPr fontId="1" type="noConversion"/>
  </si>
  <si>
    <t>MultipleType</t>
    <phoneticPr fontId="1" type="noConversion"/>
  </si>
  <si>
    <t>卫星</t>
    <phoneticPr fontId="1" type="noConversion"/>
  </si>
  <si>
    <t>卫星机1</t>
    <phoneticPr fontId="1" type="noConversion"/>
  </si>
  <si>
    <t>卫星机2</t>
    <phoneticPr fontId="1" type="noConversion"/>
  </si>
  <si>
    <t>子弹A</t>
    <phoneticPr fontId="1" type="noConversion"/>
  </si>
  <si>
    <t>Laser01</t>
    <phoneticPr fontId="1" type="noConversion"/>
  </si>
  <si>
    <t>召唤炮台</t>
    <phoneticPr fontId="1" type="noConversion"/>
  </si>
  <si>
    <t>float</t>
    <phoneticPr fontId="1" type="noConversion"/>
  </si>
  <si>
    <t>int[~]</t>
    <phoneticPr fontId="1" type="noConversion"/>
  </si>
  <si>
    <t>int[~]</t>
    <phoneticPr fontId="1" type="noConversion"/>
  </si>
  <si>
    <t>0~7</t>
    <phoneticPr fontId="1" type="noConversion"/>
  </si>
  <si>
    <t>0~0</t>
    <phoneticPr fontId="1" type="noConversion"/>
  </si>
  <si>
    <t>0~30</t>
    <phoneticPr fontId="1" type="noConversion"/>
  </si>
  <si>
    <t>HideMonster</t>
    <phoneticPr fontId="1" type="noConversion"/>
  </si>
  <si>
    <t>ObstructBlock</t>
    <phoneticPr fontId="1" type="noConversion"/>
  </si>
  <si>
    <t>Random</t>
  </si>
  <si>
    <t>TargetLimit</t>
    <phoneticPr fontId="1" type="noConversion"/>
  </si>
  <si>
    <t>卫星</t>
    <phoneticPr fontId="1" type="noConversion"/>
  </si>
  <si>
    <t>targetArg</t>
    <phoneticPr fontId="1" type="noConversion"/>
  </si>
  <si>
    <t>float[|;]</t>
    <phoneticPr fontId="1" type="noConversion"/>
  </si>
  <si>
    <t>effect_fly</t>
    <phoneticPr fontId="1" type="noConversion"/>
  </si>
  <si>
    <t>damage</t>
    <phoneticPr fontId="1" type="noConversion"/>
  </si>
  <si>
    <t>costTime</t>
    <phoneticPr fontId="1" type="noConversion"/>
  </si>
  <si>
    <t>float</t>
    <phoneticPr fontId="1" type="noConversion"/>
  </si>
  <si>
    <t>技能点编号</t>
    <phoneticPr fontId="1" type="noConversion"/>
  </si>
  <si>
    <t>ulong</t>
    <phoneticPr fontId="1" type="noConversion"/>
  </si>
  <si>
    <t>1000001;1000001;1000001;1000001</t>
    <phoneticPr fontId="1" type="noConversion"/>
  </si>
  <si>
    <t>技能名称</t>
    <phoneticPr fontId="1" type="noConversion"/>
  </si>
  <si>
    <t>string</t>
    <phoneticPr fontId="1" type="noConversion"/>
  </si>
  <si>
    <t>name</t>
    <phoneticPr fontId="1" type="noConversion"/>
  </si>
  <si>
    <t>Laser</t>
    <phoneticPr fontId="1" type="noConversion"/>
  </si>
  <si>
    <t>Physical</t>
    <phoneticPr fontId="1" type="noConversion"/>
  </si>
  <si>
    <t>targetType</t>
    <phoneticPr fontId="1" type="noConversion"/>
  </si>
  <si>
    <t>Enslave</t>
    <phoneticPr fontId="1" type="noConversion"/>
  </si>
  <si>
    <t>describe</t>
    <phoneticPr fontId="1" type="noConversion"/>
  </si>
  <si>
    <t>StateEffect</t>
    <phoneticPr fontId="1" type="noConversion"/>
  </si>
  <si>
    <t>Silent</t>
    <phoneticPr fontId="1" type="noConversion"/>
  </si>
  <si>
    <t>OffensiveDisperse</t>
    <phoneticPr fontId="1" type="noConversion"/>
  </si>
  <si>
    <t>`</t>
    <phoneticPr fontId="1" type="noConversion"/>
  </si>
  <si>
    <t>SpecialAction</t>
    <phoneticPr fontId="1" type="noConversion"/>
  </si>
  <si>
    <t>NormalAttack</t>
    <phoneticPr fontId="1" type="noConversion"/>
  </si>
  <si>
    <t>CopyAttack</t>
    <phoneticPr fontId="1" type="noConversion"/>
  </si>
  <si>
    <t>usePower</t>
    <phoneticPr fontId="1" type="noConversion"/>
  </si>
  <si>
    <t>passiveType</t>
    <phoneticPr fontId="1" type="noConversion"/>
  </si>
  <si>
    <t>int[|;]</t>
    <phoneticPr fontId="1" type="noConversion"/>
  </si>
  <si>
    <t>1;2|1;2|1;2</t>
    <phoneticPr fontId="1" type="noConversion"/>
  </si>
  <si>
    <t>1;2;3;4|1;2|1;2;3</t>
    <phoneticPr fontId="1" type="noConversion"/>
  </si>
  <si>
    <t>characterActivate</t>
    <phoneticPr fontId="1" type="noConversion"/>
  </si>
  <si>
    <t>skillIds</t>
    <phoneticPr fontId="1" type="noConversion"/>
  </si>
  <si>
    <t>carry</t>
    <phoneticPr fontId="1" type="noConversion"/>
  </si>
  <si>
    <t>南瓜</t>
    <phoneticPr fontId="1" type="noConversion"/>
  </si>
  <si>
    <t>1;1</t>
    <phoneticPr fontId="1" type="noConversion"/>
  </si>
  <si>
    <t>当前生命值</t>
    <phoneticPr fontId="1" type="noConversion"/>
  </si>
  <si>
    <t>最大生命值</t>
    <phoneticPr fontId="1" type="noConversion"/>
  </si>
  <si>
    <t>at</t>
    <phoneticPr fontId="1" type="noConversion"/>
  </si>
  <si>
    <t>((p_mhp-p_nhp)*2/p_mhp+1)*p_laser</t>
    <phoneticPr fontId="1" type="noConversion"/>
  </si>
  <si>
    <t>当前距离</t>
    <phoneticPr fontId="1" type="noConversion"/>
  </si>
  <si>
    <t>最大距离</t>
    <phoneticPr fontId="1" type="noConversion"/>
  </si>
  <si>
    <t>0~4</t>
    <phoneticPr fontId="1" type="noConversion"/>
  </si>
  <si>
    <t>0~5</t>
    <phoneticPr fontId="1" type="noConversion"/>
  </si>
  <si>
    <t>Direction</t>
  </si>
  <si>
    <t>Direction</t>
    <phoneticPr fontId="1" type="noConversion"/>
  </si>
  <si>
    <t>Line</t>
  </si>
  <si>
    <t>Line</t>
    <phoneticPr fontId="1" type="noConversion"/>
  </si>
  <si>
    <t>榴弹</t>
    <phoneticPr fontId="1" type="noConversion"/>
  </si>
  <si>
    <t>贯通射线</t>
    <phoneticPr fontId="1" type="noConversion"/>
  </si>
  <si>
    <t>Random_2</t>
    <phoneticPr fontId="1" type="noConversion"/>
  </si>
  <si>
    <t>全弹齐发</t>
    <phoneticPr fontId="1" type="noConversion"/>
  </si>
  <si>
    <t>1;1;1|1;1;1|1;1;1</t>
    <phoneticPr fontId="1" type="noConversion"/>
  </si>
  <si>
    <t>散射</t>
    <phoneticPr fontId="1" type="noConversion"/>
  </si>
  <si>
    <t>1;1;1</t>
    <phoneticPr fontId="1" type="noConversion"/>
  </si>
  <si>
    <t>1;1|1;1|1;1|1;1|1;1</t>
    <phoneticPr fontId="1" type="noConversion"/>
  </si>
  <si>
    <t>汽油弹</t>
    <phoneticPr fontId="1" type="noConversion"/>
  </si>
  <si>
    <t>0~3</t>
    <phoneticPr fontId="1" type="noConversion"/>
  </si>
  <si>
    <t>炫光射线</t>
  </si>
  <si>
    <t>1;1</t>
    <phoneticPr fontId="1" type="noConversion"/>
  </si>
  <si>
    <t>2~4</t>
    <phoneticPr fontId="1" type="noConversion"/>
  </si>
  <si>
    <t>昏迷</t>
    <phoneticPr fontId="1" type="noConversion"/>
  </si>
  <si>
    <t>炫光射线：无法攻击</t>
    <phoneticPr fontId="1" type="noConversion"/>
  </si>
  <si>
    <t>None</t>
    <phoneticPr fontId="1" type="noConversion"/>
  </si>
  <si>
    <t>Freeze</t>
  </si>
  <si>
    <t>Freeze</t>
    <phoneticPr fontId="1" type="noConversion"/>
  </si>
  <si>
    <t>对一条直线上的目标造成110%光线系伤害</t>
    <phoneticPr fontId="1" type="noConversion"/>
  </si>
  <si>
    <t>对随机5个目标造成100%光线系伤害，目标不重复。</t>
    <phoneticPr fontId="1" type="noConversion"/>
  </si>
  <si>
    <t>对随机3个目标造成80%实弹系伤害，目标可以重复，所以目标越少，伤害越集中</t>
    <phoneticPr fontId="1" type="noConversion"/>
  </si>
  <si>
    <t>对目标周围2格内的所有敌人造成130%实弹系伤害。</t>
    <phoneticPr fontId="1" type="noConversion"/>
  </si>
  <si>
    <t>对目标造成1~2倍实弹伤害。距离越远，伤害越高</t>
    <phoneticPr fontId="1" type="noConversion"/>
  </si>
  <si>
    <t>((dis+3)/4)*p_cartridge</t>
    <phoneticPr fontId="1" type="noConversion"/>
  </si>
  <si>
    <t>1~4</t>
    <phoneticPr fontId="1" type="noConversion"/>
  </si>
  <si>
    <t>精神错乱</t>
    <phoneticPr fontId="1" type="noConversion"/>
  </si>
  <si>
    <t>变形</t>
    <phoneticPr fontId="1" type="noConversion"/>
  </si>
  <si>
    <t>Monster_iron</t>
  </si>
  <si>
    <t>Monster_iron</t>
    <phoneticPr fontId="1" type="noConversion"/>
  </si>
  <si>
    <t>Monster_organisms</t>
  </si>
  <si>
    <t>Monster_organisms</t>
    <phoneticPr fontId="1" type="noConversion"/>
  </si>
  <si>
    <t>Silent</t>
  </si>
  <si>
    <t>0~4</t>
    <phoneticPr fontId="1" type="noConversion"/>
  </si>
  <si>
    <t>float[;]</t>
    <phoneticPr fontId="1" type="noConversion"/>
  </si>
  <si>
    <t>successRate</t>
    <phoneticPr fontId="1" type="noConversion"/>
  </si>
  <si>
    <t>1;1;1;1</t>
    <phoneticPr fontId="1" type="noConversion"/>
  </si>
  <si>
    <t>1;1;0.7;0.5</t>
    <phoneticPr fontId="1" type="noConversion"/>
  </si>
  <si>
    <t>交换目标的生命值与攻击力。品质越高的怪，越不容易命中</t>
    <phoneticPr fontId="1" type="noConversion"/>
  </si>
  <si>
    <t>奴役</t>
    <phoneticPr fontId="1" type="noConversion"/>
  </si>
  <si>
    <t>将敌人变成一个小鸡，并且生命值与伤害减半。只能对生物类使用。品质越高的怪，越不容易命中</t>
    <phoneticPr fontId="1" type="noConversion"/>
  </si>
  <si>
    <t>奴役一个机械敌人，它会用自己的远程武器帮忙攻击。品质越高的怪，越不容易命中</t>
    <phoneticPr fontId="1" type="noConversion"/>
  </si>
  <si>
    <t>1;0.9;0.6;0.4</t>
    <phoneticPr fontId="1" type="noConversion"/>
  </si>
  <si>
    <t>Disarm</t>
  </si>
  <si>
    <t>Disarm</t>
    <phoneticPr fontId="1" type="noConversion"/>
  </si>
  <si>
    <t>催眠</t>
    <phoneticPr fontId="1" type="noConversion"/>
  </si>
  <si>
    <t>0~3</t>
    <phoneticPr fontId="1" type="noConversion"/>
  </si>
  <si>
    <t>无法攻击。受到任何伤害会解除催眠</t>
    <phoneticPr fontId="1" type="noConversion"/>
  </si>
  <si>
    <t>沉默</t>
    <phoneticPr fontId="1" type="noConversion"/>
  </si>
  <si>
    <t>沉默</t>
    <phoneticPr fontId="1" type="noConversion"/>
  </si>
  <si>
    <t>被动技能失效</t>
    <phoneticPr fontId="1" type="noConversion"/>
  </si>
  <si>
    <t>0~4</t>
    <phoneticPr fontId="1" type="noConversion"/>
  </si>
  <si>
    <t>1;1;1;0.7</t>
    <phoneticPr fontId="1" type="noConversion"/>
  </si>
  <si>
    <t>1;1;1;0.6</t>
    <phoneticPr fontId="1" type="noConversion"/>
  </si>
  <si>
    <t>生命抽取</t>
    <phoneticPr fontId="1" type="noConversion"/>
  </si>
  <si>
    <t>All</t>
  </si>
  <si>
    <t>1;1;1</t>
    <phoneticPr fontId="1" type="noConversion"/>
  </si>
  <si>
    <t>0~30</t>
    <phoneticPr fontId="1" type="noConversion"/>
  </si>
  <si>
    <t>中子弹</t>
    <phoneticPr fontId="1" type="noConversion"/>
  </si>
  <si>
    <t>对场上所有机械敌人造成70%实弹伤害，并且使他们缴械</t>
    <phoneticPr fontId="1" type="noConversion"/>
  </si>
  <si>
    <t>1;1;0.9;0.7</t>
    <phoneticPr fontId="1" type="noConversion"/>
  </si>
  <si>
    <t>缴械</t>
    <phoneticPr fontId="1" type="noConversion"/>
  </si>
  <si>
    <t>无法使用主动技能</t>
    <phoneticPr fontId="1" type="noConversion"/>
  </si>
  <si>
    <t>镜花水月</t>
    <phoneticPr fontId="1" type="noConversion"/>
  </si>
  <si>
    <t>群体催眠</t>
    <phoneticPr fontId="1" type="noConversion"/>
  </si>
  <si>
    <t>1;1;0.9;0.7</t>
    <phoneticPr fontId="1" type="noConversion"/>
  </si>
  <si>
    <t>干扰弹</t>
    <phoneticPr fontId="1" type="noConversion"/>
  </si>
  <si>
    <t>对目标造成150%实弹伤害，50%概率使目标缴械</t>
    <phoneticPr fontId="1" type="noConversion"/>
  </si>
  <si>
    <t>0.5;0.5;0.5;0.5</t>
    <phoneticPr fontId="1" type="noConversion"/>
  </si>
  <si>
    <t>Round_1</t>
  </si>
  <si>
    <t>Round_1</t>
    <phoneticPr fontId="1" type="noConversion"/>
  </si>
  <si>
    <t>Round_2</t>
  </si>
  <si>
    <t>Round_3</t>
  </si>
  <si>
    <t>Diffuse_1</t>
    <phoneticPr fontId="1" type="noConversion"/>
  </si>
  <si>
    <t>Diffuse_4</t>
    <phoneticPr fontId="1" type="noConversion"/>
  </si>
  <si>
    <t>神威</t>
    <phoneticPr fontId="1" type="noConversion"/>
  </si>
  <si>
    <t>翻开一个格子，以及它四周的格子。如果翻开的位置（不含周围）有怪物，直接杀死这个怪物，并返还一半的消耗</t>
    <phoneticPr fontId="1" type="noConversion"/>
  </si>
  <si>
    <t>DarkBlock</t>
  </si>
  <si>
    <t>0~7</t>
    <phoneticPr fontId="1" type="noConversion"/>
  </si>
  <si>
    <t>1;1;1;1</t>
    <phoneticPr fontId="1" type="noConversion"/>
  </si>
  <si>
    <t>翻开一个格子并传送到此，如果该格子非空，会传送失败</t>
    <phoneticPr fontId="1" type="noConversion"/>
  </si>
  <si>
    <t>0~7</t>
    <phoneticPr fontId="1" type="noConversion"/>
  </si>
  <si>
    <t>死亡标记</t>
  </si>
  <si>
    <t>翻开一个格子，以及它四周的格子。被翻开的位置如果有敌人，则对他们释放死亡标记。
被死亡标记的敌人死亡后，会随机杀死一个没有翻开的敌人。</t>
    <phoneticPr fontId="1" type="noConversion"/>
  </si>
  <si>
    <t>0~4</t>
    <phoneticPr fontId="1" type="noConversion"/>
  </si>
  <si>
    <t>1;1;1;1</t>
    <phoneticPr fontId="1" type="noConversion"/>
  </si>
  <si>
    <t>死亡标记</t>
    <phoneticPr fontId="1" type="noConversion"/>
  </si>
  <si>
    <t>死亡时，会随机杀死一个没有翻开的敌人。</t>
    <phoneticPr fontId="1" type="noConversion"/>
  </si>
  <si>
    <t>DeathMark</t>
  </si>
  <si>
    <t>DeathMark</t>
    <phoneticPr fontId="1" type="noConversion"/>
  </si>
  <si>
    <t>将一个敌人随机传送一个已经翻开的位置上</t>
    <phoneticPr fontId="1" type="noConversion"/>
  </si>
  <si>
    <t>0~3</t>
    <phoneticPr fontId="1" type="noConversion"/>
  </si>
  <si>
    <t>TransferSelf</t>
    <phoneticPr fontId="1" type="noConversion"/>
  </si>
  <si>
    <t>虫洞</t>
    <phoneticPr fontId="1" type="noConversion"/>
  </si>
  <si>
    <t>时空转移</t>
    <phoneticPr fontId="1" type="noConversion"/>
  </si>
  <si>
    <t>PassiveType[;]</t>
    <phoneticPr fontId="1" type="noConversion"/>
  </si>
  <si>
    <t>先发制人</t>
    <phoneticPr fontId="1" type="noConversion"/>
  </si>
  <si>
    <t>对刚刚翻开的敌人，攻击速度提高30%</t>
    <phoneticPr fontId="1" type="noConversion"/>
  </si>
  <si>
    <t>反应装甲</t>
    <phoneticPr fontId="1" type="noConversion"/>
  </si>
  <si>
    <t>一定几率免疫实弹伤害</t>
    <phoneticPr fontId="1" type="noConversion"/>
  </si>
  <si>
    <t>纳米涂层</t>
    <phoneticPr fontId="1" type="noConversion"/>
  </si>
  <si>
    <t>受到光线伤害降低</t>
    <phoneticPr fontId="1" type="noConversion"/>
  </si>
  <si>
    <t>光线偏转</t>
    <phoneticPr fontId="1" type="noConversion"/>
  </si>
  <si>
    <t>受到的所有光线伤害会误导给其他敌人，但如果没有存在的敌人，偏转会失败</t>
    <phoneticPr fontId="1" type="noConversion"/>
  </si>
  <si>
    <t>偏转涂层</t>
    <phoneticPr fontId="1" type="noConversion"/>
  </si>
  <si>
    <t>0~0</t>
    <phoneticPr fontId="1" type="noConversion"/>
  </si>
  <si>
    <t>DamageStore</t>
    <phoneticPr fontId="1" type="noConversion"/>
  </si>
  <si>
    <t>伤痛记忆</t>
    <phoneticPr fontId="1" type="noConversion"/>
  </si>
  <si>
    <t>接下来10个单位时间内，受到的所有伤害数值会保存，并在这之后为你回复受到伤害2倍的生命值</t>
  </si>
  <si>
    <t>保存受到的伤害，状态消失时恢复2倍的生命值</t>
    <phoneticPr fontId="1" type="noConversion"/>
  </si>
  <si>
    <t>伤痛记忆</t>
    <phoneticPr fontId="1" type="noConversion"/>
  </si>
  <si>
    <t>0~0</t>
    <phoneticPr fontId="1" type="noConversion"/>
  </si>
  <si>
    <t>Assault</t>
    <phoneticPr fontId="1" type="noConversion"/>
  </si>
  <si>
    <t>冲锋</t>
    <phoneticPr fontId="1" type="noConversion"/>
  </si>
  <si>
    <t>每走1格，近战伤害增加5%。在攻击后（近战&amp;远程）效果重置</t>
    <phoneticPr fontId="1" type="noConversion"/>
  </si>
  <si>
    <t>Rapidly</t>
  </si>
  <si>
    <t>Rapidly</t>
    <phoneticPr fontId="1" type="noConversion"/>
  </si>
  <si>
    <t>急速填装</t>
    <phoneticPr fontId="1" type="noConversion"/>
  </si>
  <si>
    <t>所有的远程攻击消耗时间减半</t>
    <phoneticPr fontId="1" type="noConversion"/>
  </si>
  <si>
    <t>急速填装</t>
    <phoneticPr fontId="1" type="noConversion"/>
  </si>
  <si>
    <t>实弹增强</t>
    <phoneticPr fontId="1" type="noConversion"/>
  </si>
  <si>
    <t>光线增强</t>
    <phoneticPr fontId="1" type="noConversion"/>
  </si>
  <si>
    <t>Vjua</t>
    <phoneticPr fontId="1" type="noConversion"/>
  </si>
  <si>
    <t>斩杀</t>
    <phoneticPr fontId="1" type="noConversion"/>
  </si>
  <si>
    <t>对生命值20%以下的敌人近战攻击，造成伤害额外增加50%</t>
    <phoneticPr fontId="1" type="noConversion"/>
  </si>
  <si>
    <t>强击光线</t>
    <phoneticPr fontId="1" type="noConversion"/>
  </si>
  <si>
    <t>对生命值80%以上的目标使用光线攻击，造成伤害增加25%</t>
    <phoneticPr fontId="1" type="noConversion"/>
  </si>
  <si>
    <t>实弹攻击，对距离2以内的目标造成的伤害增加25%</t>
    <phoneticPr fontId="1" type="noConversion"/>
  </si>
  <si>
    <t>燃料引爆</t>
    <phoneticPr fontId="1" type="noConversion"/>
  </si>
  <si>
    <t>每杀死一个机械单位，光线系伤害增加10%，使用光线系攻击后重置</t>
    <phoneticPr fontId="1" type="noConversion"/>
  </si>
  <si>
    <t>机械工程</t>
    <phoneticPr fontId="1" type="noConversion"/>
  </si>
  <si>
    <t>生命工程</t>
    <phoneticPr fontId="1" type="noConversion"/>
  </si>
  <si>
    <t>每杀死一个生命单位，实弹系伤害增加10%，使用实弹系攻击后重置</t>
    <phoneticPr fontId="1" type="noConversion"/>
  </si>
  <si>
    <t>热力追踪</t>
  </si>
  <si>
    <t>场上每有1个敌人，实弹系伤害增加10%</t>
    <phoneticPr fontId="1" type="noConversion"/>
  </si>
  <si>
    <t>没有雾霾</t>
    <phoneticPr fontId="1" type="noConversion"/>
  </si>
  <si>
    <t>场上每有一个翻开的格子，光线伤害增加2%</t>
    <phoneticPr fontId="1" type="noConversion"/>
  </si>
  <si>
    <t>纳米修复</t>
    <phoneticPr fontId="1" type="noConversion"/>
  </si>
  <si>
    <t>灵魂修复</t>
    <phoneticPr fontId="1" type="noConversion"/>
  </si>
  <si>
    <t>近战攻击每消灭一个生命系敌人，恢复生命值2%</t>
    <phoneticPr fontId="1" type="noConversion"/>
  </si>
  <si>
    <t>Bang</t>
    <phoneticPr fontId="1" type="noConversion"/>
  </si>
  <si>
    <t>Bang</t>
    <phoneticPr fontId="1" type="noConversion"/>
  </si>
  <si>
    <t>近战攻击一定概率使敌人昏迷2个单位时间</t>
  </si>
  <si>
    <t>晕眩攻击</t>
    <phoneticPr fontId="1" type="noConversion"/>
  </si>
  <si>
    <t>致命攻击</t>
    <phoneticPr fontId="1" type="noConversion"/>
  </si>
  <si>
    <t>Critical</t>
    <phoneticPr fontId="1" type="noConversion"/>
  </si>
  <si>
    <t>Critical</t>
    <phoneticPr fontId="1" type="noConversion"/>
  </si>
  <si>
    <t>近战攻击一定概率造成2倍伤害</t>
    <phoneticPr fontId="1" type="noConversion"/>
  </si>
  <si>
    <t>CopyAttack</t>
    <phoneticPr fontId="1" type="noConversion"/>
  </si>
  <si>
    <t>浮游A1型</t>
    <phoneticPr fontId="1" type="noConversion"/>
  </si>
  <si>
    <t>浮游A2型</t>
    <phoneticPr fontId="1" type="noConversion"/>
  </si>
  <si>
    <t>对单个目标发射激光</t>
    <phoneticPr fontId="1" type="noConversion"/>
  </si>
  <si>
    <t>随机攻击两个敌人</t>
    <phoneticPr fontId="1" type="noConversion"/>
  </si>
  <si>
    <t>1;1</t>
    <phoneticPr fontId="1" type="noConversion"/>
  </si>
  <si>
    <t>2~5</t>
    <phoneticPr fontId="1" type="noConversion"/>
  </si>
  <si>
    <t>2~6</t>
    <phoneticPr fontId="1" type="noConversion"/>
  </si>
  <si>
    <t>NormalAttack</t>
    <phoneticPr fontId="1" type="noConversion"/>
  </si>
  <si>
    <t>specialAction</t>
    <phoneticPr fontId="1" type="noConversion"/>
  </si>
  <si>
    <t>炮台</t>
    <phoneticPr fontId="1" type="noConversion"/>
  </si>
  <si>
    <t>攻击单个敌人</t>
    <phoneticPr fontId="1" type="noConversion"/>
  </si>
  <si>
    <t>1~6</t>
    <phoneticPr fontId="1" type="noConversion"/>
  </si>
  <si>
    <t>浮游B1型</t>
    <phoneticPr fontId="1" type="noConversion"/>
  </si>
  <si>
    <t>浮游B2型</t>
    <phoneticPr fontId="1" type="noConversion"/>
  </si>
  <si>
    <t>辅助玩家攻击的浮游炮，这是一种快速恢复能量的浮游炮，但它能量上限较低，可以复制的技能有限</t>
    <phoneticPr fontId="1" type="noConversion"/>
  </si>
  <si>
    <t>辅助玩家攻击的浮游炮，这是一种有高耗上限的浮游炮，它可以复制绝大多数技能，但能量恢复较慢</t>
    <phoneticPr fontId="1" type="noConversion"/>
  </si>
  <si>
    <t>Summon</t>
  </si>
  <si>
    <t>Summon</t>
    <phoneticPr fontId="1" type="noConversion"/>
  </si>
  <si>
    <t>召唤1台浮游A1型</t>
    <phoneticPr fontId="1" type="noConversion"/>
  </si>
  <si>
    <t>召唤1台浮游A2型</t>
  </si>
  <si>
    <t>召唤1台浮游B1型</t>
    <phoneticPr fontId="1" type="noConversion"/>
  </si>
  <si>
    <t>召唤1台浮游B2型</t>
    <phoneticPr fontId="1" type="noConversion"/>
  </si>
  <si>
    <t>WarningRadar</t>
    <phoneticPr fontId="1" type="noConversion"/>
  </si>
  <si>
    <t>TreasureRadar</t>
    <phoneticPr fontId="1" type="noConversion"/>
  </si>
  <si>
    <t>1;2|1;2|1;2</t>
  </si>
  <si>
    <t>南瓜</t>
  </si>
  <si>
    <t>对目标造成1~3倍光线伤害。生命值越低，伤害越高</t>
  </si>
  <si>
    <t>榴弹</t>
  </si>
  <si>
    <t>对目标造成1~2倍实弹伤害。距离越远，伤害越高</t>
  </si>
  <si>
    <t>贯通射线</t>
  </si>
  <si>
    <t>对一条直线上的目标造成110%光线系伤害</t>
  </si>
  <si>
    <t>全弹齐发</t>
  </si>
  <si>
    <t>对随机3个目标造成80%实弹系伤害，目标可以重复，所以目标越少，伤害越集中</t>
  </si>
  <si>
    <t>散射</t>
  </si>
  <si>
    <t>对随机5个目标造成100%光线系伤害，目标不重复。</t>
  </si>
  <si>
    <t>汽油弹</t>
  </si>
  <si>
    <t>对目标周围2格内的所有敌人造成130%实弹系伤害。</t>
  </si>
  <si>
    <t>对目标造成90%光线伤害，并使其昏迷1个单位时间</t>
  </si>
  <si>
    <t>精神错乱</t>
  </si>
  <si>
    <t>交换目标的生命值与攻击力。品质越高的怪，越不容易命中</t>
  </si>
  <si>
    <t>变形</t>
  </si>
  <si>
    <t>将敌人变成一个小鸡，并且生命值与伤害减半。只能对生物类使用。品质越高的怪，越不容易命中</t>
  </si>
  <si>
    <t>奴役</t>
  </si>
  <si>
    <t>奴役一个机械敌人，它会用自己的远程武器帮忙攻击。品质越高的怪，越不容易命中</t>
  </si>
  <si>
    <t>催眠</t>
  </si>
  <si>
    <t>催眠一个目标10个单位时间，目标受到任何伤害会解除催眠。品质越高的怪，越不容易命中</t>
  </si>
  <si>
    <t>沉默</t>
  </si>
  <si>
    <t>沉默一个目标10个单位时间，在此施加内，目标的被动技能失效。品质越高的怪，越不容易命中</t>
  </si>
  <si>
    <t>镜花水月</t>
  </si>
  <si>
    <t>群体催眠</t>
  </si>
  <si>
    <t>生命抽取</t>
  </si>
  <si>
    <t>对场上所有生命类怪物造成50%光线伤害，造成伤害的50%恢复自己的生命值</t>
  </si>
  <si>
    <t>中子弹</t>
  </si>
  <si>
    <t>对场上所有机械敌人造成70%实弹伤害，并且使他们缴械</t>
  </si>
  <si>
    <t>干扰弹</t>
  </si>
  <si>
    <t>对目标造成150%实弹伤害，50%概率使目标缴械</t>
  </si>
  <si>
    <t>神威</t>
  </si>
  <si>
    <t>翻开一个格子，以及它四周的格子。如果翻开的位置（不含周围）有怪物，直接杀死这个怪物，并返还一半的消耗</t>
  </si>
  <si>
    <t>时空转移</t>
  </si>
  <si>
    <t>翻开一个格子并传送到此，如果该格子非空，会传送失败</t>
  </si>
  <si>
    <t>翻开一个格子，以及它四周的格子。被翻开的位置如果有敌人，则对他们释放死亡标记。
被死亡标记的敌人死亡后，会随机杀死一个没有翻开的敌人。</t>
  </si>
  <si>
    <t>虫洞</t>
  </si>
  <si>
    <t>将一个敌人随机传送一个已经翻开的位置上</t>
  </si>
  <si>
    <t>偏转涂层</t>
  </si>
  <si>
    <t>接下来的10个单位时间，受到的所有光线伤害会误导给其他敌人，但如果没有存在的敌人，偏转会失败</t>
  </si>
  <si>
    <t>伤痛记忆</t>
  </si>
  <si>
    <t>急速填装</t>
  </si>
  <si>
    <t>接下来的10个单位时间内，你所有的远程攻击消耗时间减半</t>
  </si>
  <si>
    <t>召唤炮台</t>
  </si>
  <si>
    <t>召唤一个炮塔对目标进行攻击</t>
  </si>
  <si>
    <t>召唤一个炮塔对目标进行攻击</t>
    <phoneticPr fontId="1" type="noConversion"/>
  </si>
  <si>
    <t>先发制人</t>
  </si>
  <si>
    <t>对刚刚翻开的敌人，攻击速度提高30%</t>
  </si>
  <si>
    <t>反应装甲</t>
  </si>
  <si>
    <t>一定几率免疫实弹伤害</t>
  </si>
  <si>
    <t>纳米涂层</t>
  </si>
  <si>
    <t>受到光线伤害降低</t>
  </si>
  <si>
    <t>冲锋</t>
  </si>
  <si>
    <t>每走1格，近战伤害增加5%。在攻击后（近战&amp;远程）效果重置</t>
  </si>
  <si>
    <t>实弹增强</t>
  </si>
  <si>
    <t>每1单位时间，实弹伤害增加2%，直到使用实弹系技能</t>
  </si>
  <si>
    <t>光线增强</t>
  </si>
  <si>
    <t>每1单位时间，实弹伤害增加2%，直到使用光线系技能</t>
  </si>
  <si>
    <t>斩杀</t>
  </si>
  <si>
    <t>对生命值20%以下的敌人近战攻击，造成伤害额外增加50%</t>
  </si>
  <si>
    <t>强击光线</t>
  </si>
  <si>
    <t>对生命值80%以上的目标使用光线攻击，造成伤害增加25%</t>
  </si>
  <si>
    <t>燃料引爆</t>
  </si>
  <si>
    <t>实弹攻击，对距离2以内的目标造成的伤害增加25%</t>
  </si>
  <si>
    <t>机械工程</t>
  </si>
  <si>
    <t>每杀死一个机械单位，光线系伤害增加10%，使用光线系攻击后重置</t>
  </si>
  <si>
    <t>生命工程</t>
  </si>
  <si>
    <t>每杀死一个生命单位，实弹系伤害增加10%，使用实弹系攻击后重置</t>
  </si>
  <si>
    <t>场上每有1个敌人，实弹系伤害增加10%</t>
  </si>
  <si>
    <t>没有雾霾</t>
  </si>
  <si>
    <t>场上每有一个翻开的格子，光线伤害增加2%</t>
  </si>
  <si>
    <t>纳米修复</t>
  </si>
  <si>
    <t>每1单位时间，恢复生命值0.5%</t>
  </si>
  <si>
    <t>灵魂修复</t>
  </si>
  <si>
    <t>近战攻击每消灭一个生命系敌人，恢复生命值2%</t>
  </si>
  <si>
    <t>晕眩攻击</t>
  </si>
  <si>
    <t>致命攻击</t>
  </si>
  <si>
    <t>近战攻击一定概率造成2倍伤害</t>
  </si>
  <si>
    <t>浮游A1型</t>
  </si>
  <si>
    <t>召唤1台浮游A1型</t>
  </si>
  <si>
    <t>浮游A2型</t>
  </si>
  <si>
    <t>浮游B1型</t>
  </si>
  <si>
    <t>召唤1台浮游B1型</t>
  </si>
  <si>
    <t>浮游B2型</t>
  </si>
  <si>
    <t>召唤1台浮游B2型</t>
  </si>
  <si>
    <t>LimitQuality_1</t>
    <phoneticPr fontId="1" type="noConversion"/>
  </si>
  <si>
    <t>LimitQuality_2</t>
    <phoneticPr fontId="1" type="noConversion"/>
  </si>
  <si>
    <t>LimitQuality_3</t>
    <phoneticPr fontId="1" type="noConversion"/>
  </si>
  <si>
    <t>LimitQuality_4</t>
    <phoneticPr fontId="1" type="noConversion"/>
  </si>
  <si>
    <t>Limit_iron</t>
    <phoneticPr fontId="1" type="noConversion"/>
  </si>
  <si>
    <t>Limit_organisms</t>
    <phoneticPr fontId="1" type="noConversion"/>
  </si>
  <si>
    <t>Limit_iron</t>
    <phoneticPr fontId="1" type="noConversion"/>
  </si>
  <si>
    <t>Limit_organisms</t>
    <phoneticPr fontId="1" type="noConversion"/>
  </si>
  <si>
    <t>Self</t>
  </si>
  <si>
    <t>Self</t>
    <phoneticPr fontId="1" type="noConversion"/>
  </si>
  <si>
    <t>Monster</t>
    <phoneticPr fontId="1" type="noConversion"/>
  </si>
  <si>
    <t>对目标造成1~3倍光线伤害。自己生命值越低，伤害越高</t>
    <phoneticPr fontId="1" type="noConversion"/>
  </si>
  <si>
    <t>Self</t>
    <phoneticPr fontId="1" type="noConversion"/>
  </si>
  <si>
    <t>DontSelectTarget</t>
    <phoneticPr fontId="1" type="noConversion"/>
  </si>
  <si>
    <t>TargetType</t>
    <phoneticPr fontId="1" type="noConversion"/>
  </si>
  <si>
    <t>MultipleType</t>
    <phoneticPr fontId="1" type="noConversion"/>
  </si>
  <si>
    <t>FuelDetonation</t>
    <phoneticPr fontId="1" type="noConversion"/>
  </si>
  <si>
    <t>SoulRepair</t>
    <phoneticPr fontId="1" type="noConversion"/>
  </si>
  <si>
    <t>TargetType</t>
    <phoneticPr fontId="1" type="noConversion"/>
  </si>
  <si>
    <t>DontSelectTarget</t>
  </si>
  <si>
    <t>DontSelectTarget</t>
    <phoneticPr fontId="1" type="noConversion"/>
  </si>
  <si>
    <t>Halo</t>
    <phoneticPr fontId="1" type="noConversion"/>
  </si>
  <si>
    <t>Just</t>
    <phoneticPr fontId="1" type="noConversion"/>
  </si>
  <si>
    <t>Just</t>
    <phoneticPr fontId="1" type="noConversion"/>
  </si>
  <si>
    <t>None</t>
    <phoneticPr fontId="1" type="noConversion"/>
  </si>
  <si>
    <t>Halo</t>
  </si>
  <si>
    <t>Halo</t>
    <phoneticPr fontId="1" type="noConversion"/>
  </si>
  <si>
    <t>Halo</t>
    <phoneticPr fontId="1" type="noConversion"/>
  </si>
  <si>
    <t>Property</t>
  </si>
  <si>
    <t>Halo</t>
    <phoneticPr fontId="1" type="noConversion"/>
  </si>
  <si>
    <t>DamageStore</t>
    <phoneticPr fontId="1" type="noConversion"/>
  </si>
  <si>
    <t>DamageTransfer</t>
    <phoneticPr fontId="1" type="noConversion"/>
  </si>
  <si>
    <t>coolDown</t>
    <phoneticPr fontId="1" type="noConversion"/>
  </si>
  <si>
    <t>float</t>
    <phoneticPr fontId="1" type="noConversion"/>
  </si>
  <si>
    <t>指向免疫</t>
    <phoneticPr fontId="1" type="noConversion"/>
  </si>
  <si>
    <t>不能选择该敌人作为技能目标</t>
    <phoneticPr fontId="1" type="noConversion"/>
  </si>
  <si>
    <t>指向免疫</t>
    <phoneticPr fontId="1" type="noConversion"/>
  </si>
  <si>
    <t>不能选择该敌人作为技能目标</t>
    <phoneticPr fontId="1" type="noConversion"/>
  </si>
  <si>
    <t>SelectImmune</t>
    <phoneticPr fontId="1" type="noConversion"/>
  </si>
  <si>
    <t>ulong[;]</t>
    <phoneticPr fontId="1" type="noConversion"/>
  </si>
  <si>
    <t>Halo</t>
    <phoneticPr fontId="1" type="noConversion"/>
  </si>
  <si>
    <t>增加附加怪物的攻击力</t>
    <phoneticPr fontId="1" type="noConversion"/>
  </si>
  <si>
    <t>攻击增强</t>
    <phoneticPr fontId="1" type="noConversion"/>
  </si>
  <si>
    <t>Halo</t>
    <phoneticPr fontId="1" type="noConversion"/>
  </si>
  <si>
    <t>攻击增强</t>
    <phoneticPr fontId="1" type="noConversion"/>
  </si>
  <si>
    <t>攻击力增加20%</t>
    <phoneticPr fontId="1" type="noConversion"/>
  </si>
  <si>
    <t>Property</t>
    <phoneticPr fontId="1" type="noConversion"/>
  </si>
  <si>
    <t>受到的光线伤害降低30%</t>
    <phoneticPr fontId="1" type="noConversion"/>
  </si>
  <si>
    <t>受到的光线伤害降低50%</t>
    <phoneticPr fontId="1" type="noConversion"/>
  </si>
  <si>
    <t>光耐性</t>
    <phoneticPr fontId="1" type="noConversion"/>
  </si>
  <si>
    <t>光耐性</t>
    <phoneticPr fontId="1" type="noConversion"/>
  </si>
  <si>
    <t>光耐性</t>
    <phoneticPr fontId="1" type="noConversion"/>
  </si>
  <si>
    <t>光偏转</t>
    <phoneticPr fontId="1" type="noConversion"/>
  </si>
  <si>
    <t>光偏转</t>
    <phoneticPr fontId="1" type="noConversion"/>
  </si>
  <si>
    <t>DamageResist</t>
  </si>
  <si>
    <t>DamageResist</t>
    <phoneticPr fontId="1" type="noConversion"/>
  </si>
  <si>
    <t>Enhance</t>
    <phoneticPr fontId="1" type="noConversion"/>
  </si>
  <si>
    <t>DamageResist</t>
    <phoneticPr fontId="1" type="noConversion"/>
  </si>
  <si>
    <t>Cartridge</t>
    <phoneticPr fontId="1" type="noConversion"/>
  </si>
  <si>
    <t>DamageType</t>
    <phoneticPr fontId="1" type="noConversion"/>
  </si>
  <si>
    <t>DamageTransfer</t>
  </si>
  <si>
    <t>DamageTransfer</t>
    <phoneticPr fontId="1" type="noConversion"/>
  </si>
  <si>
    <t>受到的光线伤害将随机偏转给附近其他目标</t>
    <phoneticPr fontId="1" type="noConversion"/>
  </si>
  <si>
    <t>PassiveType</t>
    <phoneticPr fontId="1" type="noConversion"/>
  </si>
  <si>
    <t>DamageBoost</t>
  </si>
  <si>
    <t>DamageBoost</t>
    <phoneticPr fontId="1" type="noConversion"/>
  </si>
  <si>
    <t>Massacre</t>
    <phoneticPr fontId="1" type="noConversion"/>
  </si>
  <si>
    <t>受到的光线伤害将随机偏转给其他目标</t>
    <phoneticPr fontId="1" type="noConversion"/>
  </si>
  <si>
    <t>实弹耐性</t>
    <phoneticPr fontId="1" type="noConversion"/>
  </si>
  <si>
    <t>实弹耐性</t>
    <phoneticPr fontId="1" type="noConversion"/>
  </si>
  <si>
    <t>受到的实弹伤害降低30%</t>
    <phoneticPr fontId="1" type="noConversion"/>
  </si>
  <si>
    <t>实弹免伤</t>
    <phoneticPr fontId="1" type="noConversion"/>
  </si>
  <si>
    <t>免疫一切实弹伤害</t>
    <phoneticPr fontId="1" type="noConversion"/>
  </si>
  <si>
    <t>DamageResist</t>
    <phoneticPr fontId="1" type="noConversion"/>
  </si>
  <si>
    <t>受到的实弹伤害降低60%</t>
    <phoneticPr fontId="1" type="noConversion"/>
  </si>
  <si>
    <t>受到的实弹伤害降低60%</t>
    <phoneticPr fontId="1" type="noConversion"/>
  </si>
  <si>
    <t>实弹免伤</t>
    <phoneticPr fontId="1" type="noConversion"/>
  </si>
  <si>
    <t>Alarm</t>
    <phoneticPr fontId="1" type="noConversion"/>
  </si>
  <si>
    <t>报警</t>
    <phoneticPr fontId="1" type="noConversion"/>
  </si>
  <si>
    <t>5回合报警：报警会唤醒周围的怪物，并使他们处于危险的状态</t>
    <phoneticPr fontId="1" type="noConversion"/>
  </si>
  <si>
    <t>4回合报警：报警会唤醒周围的怪物，并使他们处于危险的状态</t>
    <phoneticPr fontId="1" type="noConversion"/>
  </si>
  <si>
    <t>3回合报警：报警会唤醒周围的怪物，并使他们处于危险的状态</t>
    <phoneticPr fontId="1" type="noConversion"/>
  </si>
  <si>
    <t>2回合报警：报警会唤醒周围的怪物，并使他们处于危险的状态</t>
    <phoneticPr fontId="1" type="noConversion"/>
  </si>
  <si>
    <t>报警</t>
    <phoneticPr fontId="1" type="noConversion"/>
  </si>
  <si>
    <t>0~0</t>
    <phoneticPr fontId="1" type="noConversion"/>
  </si>
  <si>
    <t>0~0</t>
    <phoneticPr fontId="1" type="noConversion"/>
  </si>
  <si>
    <t>0~0</t>
    <phoneticPr fontId="1" type="noConversion"/>
  </si>
  <si>
    <t>1;1;1;1</t>
  </si>
  <si>
    <t>最后一人</t>
    <phoneticPr fontId="1" type="noConversion"/>
  </si>
  <si>
    <t>除非该怪物是场上唯一，否则免疫一切伤害</t>
    <phoneticPr fontId="1" type="noConversion"/>
  </si>
  <si>
    <t>Alarm</t>
    <phoneticPr fontId="1" type="noConversion"/>
  </si>
  <si>
    <t>Last</t>
    <phoneticPr fontId="1" type="noConversion"/>
  </si>
  <si>
    <t>Last</t>
    <phoneticPr fontId="1" type="noConversion"/>
  </si>
  <si>
    <t>生命强化</t>
    <phoneticPr fontId="1" type="noConversion"/>
  </si>
  <si>
    <t>生命值增加30%</t>
    <phoneticPr fontId="1" type="noConversion"/>
  </si>
  <si>
    <t>周围的怪物生命值增加30%</t>
    <phoneticPr fontId="1" type="noConversion"/>
  </si>
  <si>
    <t>Halo</t>
    <phoneticPr fontId="1" type="noConversion"/>
  </si>
  <si>
    <t>自爆</t>
    <phoneticPr fontId="1" type="noConversion"/>
  </si>
  <si>
    <t>5回合后自爆，对玩家造成等同于生命值的实弹伤害</t>
    <phoneticPr fontId="1" type="noConversion"/>
  </si>
  <si>
    <t>4回合后自爆，对玩家造成等同于生命值的实弹伤害</t>
    <phoneticPr fontId="1" type="noConversion"/>
  </si>
  <si>
    <t>3回合后自爆，对玩家造成等同于生命值的实弹伤害</t>
    <phoneticPr fontId="1" type="noConversion"/>
  </si>
  <si>
    <t>2回合后自爆，对玩家造成等同于生命值的实弹伤害</t>
    <phoneticPr fontId="1" type="noConversion"/>
  </si>
  <si>
    <t>Explode</t>
    <phoneticPr fontId="1" type="noConversion"/>
  </si>
  <si>
    <t>Explode</t>
    <phoneticPr fontId="1" type="noConversion"/>
  </si>
  <si>
    <t>使周围的怪物5回合后自爆</t>
    <phoneticPr fontId="1" type="noConversion"/>
  </si>
  <si>
    <t>定时炸弹</t>
    <phoneticPr fontId="1" type="noConversion"/>
  </si>
  <si>
    <t>定时炸弹</t>
    <phoneticPr fontId="1" type="noConversion"/>
  </si>
  <si>
    <t>5回合后自爆，对玩家造成等同于50%生命值的实弹伤害</t>
    <phoneticPr fontId="1" type="noConversion"/>
  </si>
  <si>
    <t>催眠一个目标10回合，目标受到任何伤害会解除催眠。品质越高的怪，越不容易命中</t>
    <phoneticPr fontId="1" type="noConversion"/>
  </si>
  <si>
    <t>对目标造成90%光线伤害，并使其昏迷1回合</t>
  </si>
  <si>
    <t>沉默一个目标10回合，在此施加内，目标的被动技能失效。品质越高的怪，越不容易命中</t>
  </si>
  <si>
    <t>接下来的10回合，受到的所有光线伤害会误导给其他敌人，但如果没有存在的敌人，偏转会失败</t>
  </si>
  <si>
    <t>接下来10回合内，受到的所有伤害数值会保存，并在这之后为你回复受到伤害2倍的生命值</t>
  </si>
  <si>
    <t>接下来的10回合内，你所有的远程攻击消耗时间减半</t>
  </si>
  <si>
    <t>近战攻击一定概率使敌人昏迷2回合</t>
  </si>
  <si>
    <t>每1回合，实弹伤害增加2%，直到使用实弹系技能</t>
  </si>
  <si>
    <t>每1回合，实弹伤害增加2%，直到使用光线系技能</t>
  </si>
  <si>
    <t>每1回合，恢复生命值0.5%</t>
  </si>
  <si>
    <t>Enhance</t>
    <phoneticPr fontId="1" type="noConversion"/>
  </si>
  <si>
    <t>Enhance</t>
    <phoneticPr fontId="1" type="noConversion"/>
  </si>
  <si>
    <t>弱点攻击</t>
    <phoneticPr fontId="1" type="noConversion"/>
  </si>
  <si>
    <t>对生命值高于70%的目标，造成的伤害提高50%</t>
    <phoneticPr fontId="1" type="noConversion"/>
  </si>
  <si>
    <t>对生命值高于70%的目标，造成的伤害提高70%</t>
    <phoneticPr fontId="1" type="noConversion"/>
  </si>
  <si>
    <t>投弹</t>
    <phoneticPr fontId="1" type="noConversion"/>
  </si>
  <si>
    <t>对范围2以内的目标造成伤害提高100%</t>
    <phoneticPr fontId="1" type="noConversion"/>
  </si>
  <si>
    <t>对范围2以内的目标造成伤害提高150%</t>
    <phoneticPr fontId="1" type="noConversion"/>
  </si>
  <si>
    <t>对范围2以内的目标造成伤害提高200%</t>
    <phoneticPr fontId="1" type="noConversion"/>
  </si>
  <si>
    <t>对范围2以内的目标造成伤害提高250%</t>
    <phoneticPr fontId="1" type="noConversion"/>
  </si>
  <si>
    <t>FuelDetonation</t>
    <phoneticPr fontId="1" type="noConversion"/>
  </si>
  <si>
    <t>投弹</t>
    <phoneticPr fontId="1" type="noConversion"/>
  </si>
  <si>
    <t>格斗家</t>
    <phoneticPr fontId="1" type="noConversion"/>
  </si>
  <si>
    <t>近战伤害提高100%</t>
    <phoneticPr fontId="1" type="noConversion"/>
  </si>
  <si>
    <t>近战伤害提高150%</t>
    <phoneticPr fontId="1" type="noConversion"/>
  </si>
  <si>
    <t>近战伤害提高200%</t>
    <phoneticPr fontId="1" type="noConversion"/>
  </si>
  <si>
    <t>近战伤害提高250%</t>
    <phoneticPr fontId="1" type="noConversion"/>
  </si>
  <si>
    <t>Property</t>
    <phoneticPr fontId="1" type="noConversion"/>
  </si>
  <si>
    <t>Property</t>
    <phoneticPr fontId="1" type="noConversion"/>
  </si>
  <si>
    <t>胆小鬼</t>
    <phoneticPr fontId="1" type="noConversion"/>
  </si>
  <si>
    <t>场上每有一个敌人增加10%实弹伤害</t>
    <phoneticPr fontId="1" type="noConversion"/>
  </si>
  <si>
    <t>场上每有一个敌人增加20%实弹伤害</t>
    <phoneticPr fontId="1" type="noConversion"/>
  </si>
  <si>
    <t>场上每有一个敌人增加30%实弹伤害</t>
    <phoneticPr fontId="1" type="noConversion"/>
  </si>
  <si>
    <t>场上每有一个敌人增加40%实弹伤害</t>
    <phoneticPr fontId="1" type="noConversion"/>
  </si>
  <si>
    <t>对范围2以内的目标造成伤害提高100%</t>
    <phoneticPr fontId="1" type="noConversion"/>
  </si>
  <si>
    <t>激光发射器</t>
  </si>
  <si>
    <t>每有一个翻开的格子3%光线伤害</t>
  </si>
  <si>
    <t>每有一个翻开的格子6%光线伤害</t>
    <phoneticPr fontId="1" type="noConversion"/>
  </si>
  <si>
    <t>每有一个翻开的格子9%光线伤害</t>
    <phoneticPr fontId="1" type="noConversion"/>
  </si>
  <si>
    <t>每有一个翻开的格子15%光线伤害</t>
    <phoneticPr fontId="1" type="noConversion"/>
  </si>
  <si>
    <t>干扰发生器</t>
    <phoneticPr fontId="1" type="noConversion"/>
  </si>
  <si>
    <t>缴械玩家</t>
    <phoneticPr fontId="1" type="noConversion"/>
  </si>
  <si>
    <t>恶灵沉默</t>
    <phoneticPr fontId="1" type="noConversion"/>
  </si>
  <si>
    <t>沉默玩家5回合</t>
    <phoneticPr fontId="1" type="noConversion"/>
  </si>
  <si>
    <t>沉默玩家8回合</t>
    <phoneticPr fontId="1" type="noConversion"/>
  </si>
  <si>
    <t>沉默玩家12回合</t>
    <phoneticPr fontId="1" type="noConversion"/>
  </si>
  <si>
    <t>沉默玩家15回合</t>
    <phoneticPr fontId="1" type="noConversion"/>
  </si>
  <si>
    <t>Normal</t>
    <phoneticPr fontId="1" type="noConversion"/>
  </si>
  <si>
    <t>Normal</t>
    <phoneticPr fontId="1" type="noConversion"/>
  </si>
  <si>
    <t>0~99</t>
    <phoneticPr fontId="1" type="noConversion"/>
  </si>
  <si>
    <t>0~99</t>
    <phoneticPr fontId="1" type="noConversion"/>
  </si>
  <si>
    <t>0~99</t>
    <phoneticPr fontId="1" type="noConversion"/>
  </si>
  <si>
    <t>沉默</t>
    <phoneticPr fontId="1" type="noConversion"/>
  </si>
  <si>
    <t>Sleep</t>
  </si>
  <si>
    <t>Sleep</t>
    <phoneticPr fontId="1" type="noConversion"/>
  </si>
  <si>
    <t>修理机器人</t>
    <phoneticPr fontId="1" type="noConversion"/>
  </si>
  <si>
    <t>每6回合随机给一个怪物恢复生命值</t>
    <phoneticPr fontId="1" type="noConversion"/>
  </si>
  <si>
    <t>每5回合随机给一个怪物恢复生命值</t>
    <phoneticPr fontId="1" type="noConversion"/>
  </si>
  <si>
    <t>每4回合随机给一个怪物恢复生命值</t>
    <phoneticPr fontId="1" type="noConversion"/>
  </si>
  <si>
    <t>每3回合随机给一个怪物恢复生命值</t>
    <phoneticPr fontId="1" type="noConversion"/>
  </si>
  <si>
    <t>Help</t>
    <phoneticPr fontId="1" type="noConversion"/>
  </si>
  <si>
    <t>Enemy</t>
  </si>
  <si>
    <t>Enemy</t>
    <phoneticPr fontId="1" type="noConversion"/>
  </si>
  <si>
    <t>Help</t>
    <phoneticPr fontId="1" type="noConversion"/>
  </si>
  <si>
    <t>0~99</t>
    <phoneticPr fontId="1" type="noConversion"/>
  </si>
  <si>
    <t>Property</t>
    <phoneticPr fontId="1" type="noConversion"/>
  </si>
  <si>
    <t>Property</t>
    <phoneticPr fontId="1" type="noConversion"/>
  </si>
  <si>
    <t>Property</t>
    <phoneticPr fontId="1" type="noConversion"/>
  </si>
  <si>
    <t>肿瘤增生</t>
    <phoneticPr fontId="1" type="noConversion"/>
  </si>
  <si>
    <t>Property</t>
    <phoneticPr fontId="1" type="noConversion"/>
  </si>
  <si>
    <t>每5回合给所有怪物回血</t>
  </si>
  <si>
    <t>每4回合给所有怪物回血</t>
  </si>
  <si>
    <t>每3回合给所有怪物回血</t>
  </si>
  <si>
    <t>每2回合给所有怪物回血</t>
  </si>
  <si>
    <t>Halo</t>
    <phoneticPr fontId="1" type="noConversion"/>
  </si>
  <si>
    <t>过度亢奋</t>
    <phoneticPr fontId="1" type="noConversion"/>
  </si>
  <si>
    <t>每1回合降低10%攻击力</t>
    <phoneticPr fontId="1" type="noConversion"/>
  </si>
  <si>
    <t>闪避光环</t>
    <phoneticPr fontId="1" type="noConversion"/>
  </si>
  <si>
    <t>周围怪物25%概率免疫攻击</t>
    <phoneticPr fontId="1" type="noConversion"/>
  </si>
  <si>
    <t>Halo</t>
    <phoneticPr fontId="1" type="noConversion"/>
  </si>
  <si>
    <t>闪避</t>
    <phoneticPr fontId="1" type="noConversion"/>
  </si>
  <si>
    <t>25%概率免疫伤害</t>
    <phoneticPr fontId="1" type="noConversion"/>
  </si>
  <si>
    <t>DamageResist</t>
    <phoneticPr fontId="1" type="noConversion"/>
  </si>
  <si>
    <t>周围怪物10%概率免疫攻击</t>
    <phoneticPr fontId="1" type="noConversion"/>
  </si>
  <si>
    <t>周围怪物15%概率免疫攻击</t>
    <phoneticPr fontId="1" type="noConversion"/>
  </si>
  <si>
    <t>周围怪物20%概率免疫攻击</t>
    <phoneticPr fontId="1" type="noConversion"/>
  </si>
  <si>
    <t>10%概率免疫伤害</t>
    <phoneticPr fontId="1" type="noConversion"/>
  </si>
  <si>
    <t>15%概率免疫伤害</t>
    <phoneticPr fontId="1" type="noConversion"/>
  </si>
  <si>
    <t>20%概率免疫伤害</t>
    <phoneticPr fontId="1" type="noConversion"/>
  </si>
  <si>
    <t>恶心光环</t>
    <phoneticPr fontId="1" type="noConversion"/>
  </si>
  <si>
    <t>附近的敌对目标，每回合受到伤害</t>
    <phoneticPr fontId="1" type="noConversion"/>
  </si>
  <si>
    <t>每回合受到伤害</t>
    <phoneticPr fontId="1" type="noConversion"/>
  </si>
  <si>
    <t>每回合受到伤害</t>
    <phoneticPr fontId="1" type="noConversion"/>
  </si>
  <si>
    <t>5回合恢复生命值</t>
    <phoneticPr fontId="1" type="noConversion"/>
  </si>
  <si>
    <t>4回合恢复生命值</t>
    <phoneticPr fontId="1" type="noConversion"/>
  </si>
  <si>
    <t>3回合恢复生命值</t>
    <phoneticPr fontId="1" type="noConversion"/>
  </si>
  <si>
    <t>2回合恢复生命值</t>
    <phoneticPr fontId="1" type="noConversion"/>
  </si>
  <si>
    <t>铁桶</t>
    <phoneticPr fontId="1" type="noConversion"/>
  </si>
  <si>
    <t>攻击力等于生命值</t>
    <phoneticPr fontId="1" type="noConversion"/>
  </si>
  <si>
    <t>病灶</t>
  </si>
  <si>
    <t>一定概率使目标中毒，每回合受到伤害</t>
    <phoneticPr fontId="1" type="noConversion"/>
  </si>
  <si>
    <t>Enemy</t>
    <phoneticPr fontId="1" type="noConversion"/>
  </si>
  <si>
    <t>子弹A</t>
  </si>
  <si>
    <t>子弹A</t>
    <phoneticPr fontId="1" type="noConversion"/>
  </si>
  <si>
    <t>0~3</t>
    <phoneticPr fontId="1" type="noConversion"/>
  </si>
  <si>
    <t>0.2;0.2;0.2;0.2</t>
    <phoneticPr fontId="1" type="noConversion"/>
  </si>
  <si>
    <t>病毒</t>
    <phoneticPr fontId="1" type="noConversion"/>
  </si>
  <si>
    <t>DamageAbsorb</t>
  </si>
  <si>
    <t>DamageAbsorb</t>
    <phoneticPr fontId="1" type="noConversion"/>
  </si>
  <si>
    <t>伤害免疫</t>
    <phoneticPr fontId="1" type="noConversion"/>
  </si>
  <si>
    <t>免疫1次伤害</t>
    <phoneticPr fontId="1" type="noConversion"/>
  </si>
  <si>
    <t>免疫2次伤害</t>
  </si>
  <si>
    <t>免疫3次伤害</t>
  </si>
  <si>
    <t>免疫5次伤害</t>
    <phoneticPr fontId="1" type="noConversion"/>
  </si>
  <si>
    <t>Self</t>
    <phoneticPr fontId="1" type="noConversion"/>
  </si>
  <si>
    <t>Self</t>
    <phoneticPr fontId="1" type="noConversion"/>
  </si>
  <si>
    <t>Self</t>
    <phoneticPr fontId="1" type="noConversion"/>
  </si>
  <si>
    <t>复仇</t>
  </si>
  <si>
    <t>反弹受到伤害的20%</t>
    <phoneticPr fontId="1" type="noConversion"/>
  </si>
  <si>
    <t>反弹受到伤害的30%</t>
    <phoneticPr fontId="1" type="noConversion"/>
  </si>
  <si>
    <t>反弹受到伤害的40%</t>
    <phoneticPr fontId="1" type="noConversion"/>
  </si>
  <si>
    <t>反弹受到伤害的50%</t>
    <phoneticPr fontId="1" type="noConversion"/>
  </si>
  <si>
    <t>DamageRebound</t>
  </si>
  <si>
    <t>DamageRebound</t>
    <phoneticPr fontId="1" type="noConversion"/>
  </si>
  <si>
    <t>Angry</t>
    <phoneticPr fontId="1" type="noConversion"/>
  </si>
  <si>
    <t>斗士</t>
  </si>
  <si>
    <t>每次受到伤害，攻击增加10%</t>
    <phoneticPr fontId="1" type="noConversion"/>
  </si>
  <si>
    <t>每次受到伤害，攻击增加15%</t>
    <phoneticPr fontId="1" type="noConversion"/>
  </si>
  <si>
    <t>每次受到伤害，攻击增加20%</t>
    <phoneticPr fontId="1" type="noConversion"/>
  </si>
  <si>
    <t>每次受到伤害，攻击增加25%</t>
    <phoneticPr fontId="1" type="noConversion"/>
  </si>
  <si>
    <t>stuffCost</t>
  </si>
  <si>
    <t>对场上所有生命类怪物造成50%光线伤害，造成伤害的50%恢复自己的生命值</t>
    <phoneticPr fontId="1" type="noConversion"/>
  </si>
  <si>
    <t>targetType</t>
    <phoneticPr fontId="1" type="noConversion"/>
  </si>
  <si>
    <t>TargetLimit[;]</t>
    <phoneticPr fontId="1" type="noConversion"/>
  </si>
  <si>
    <t>targetLimit</t>
    <phoneticPr fontId="1" type="noConversion"/>
  </si>
  <si>
    <t>multipleType</t>
    <phoneticPr fontId="1" type="noConversion"/>
  </si>
  <si>
    <t>None</t>
    <phoneticPr fontId="1" type="noConversion"/>
  </si>
  <si>
    <r>
      <t>[2维]</t>
    </r>
    <r>
      <rPr>
        <sz val="11"/>
        <color theme="1"/>
        <rFont val="微软雅黑"/>
        <family val="2"/>
        <charset val="134"/>
      </rPr>
      <t>角色需求技能点：要开启/升级该技能需要的技能点数量。该数组的长度，不大于skillids的长度，如果该长度小于skillIds，表示该角色将不能学会该技能的最高等级。注意，该值可以为负。</t>
    </r>
    <phoneticPr fontId="1" type="noConversion"/>
  </si>
  <si>
    <t>Property</t>
    <phoneticPr fontId="1" type="noConversion"/>
  </si>
  <si>
    <r>
      <t>[1维]</t>
    </r>
    <r>
      <rPr>
        <sz val="11"/>
        <color theme="1"/>
        <rFont val="微软雅黑"/>
        <family val="2"/>
        <charset val="134"/>
      </rPr>
      <t>激活技能编号，这是一个一维数组，对应该技能点开启\升级的技能ID</t>
    </r>
    <phoneticPr fontId="1" type="noConversion"/>
  </si>
  <si>
    <t>SoulRepair</t>
    <phoneticPr fontId="1" type="noConversion"/>
  </si>
  <si>
    <t>string</t>
    <phoneticPr fontId="1" type="noConversion"/>
  </si>
  <si>
    <t>prefab2</t>
  </si>
  <si>
    <t>Random_2</t>
    <phoneticPr fontId="1" type="noConversion"/>
  </si>
  <si>
    <t>♂枚举</t>
    <phoneticPr fontId="1" type="noConversion"/>
  </si>
  <si>
    <t>♂枚举</t>
    <phoneticPr fontId="1" type="noConversion"/>
  </si>
  <si>
    <t>♂枚举</t>
    <phoneticPr fontId="1" type="noConversion"/>
  </si>
  <si>
    <t>StuffCostArg</t>
  </si>
  <si>
    <t>DamageType</t>
    <phoneticPr fontId="1" type="noConversion"/>
  </si>
  <si>
    <t>string</t>
    <phoneticPr fontId="1" type="noConversion"/>
  </si>
  <si>
    <t>damageType</t>
    <phoneticPr fontId="1" type="noConversion"/>
  </si>
  <si>
    <t>Laser</t>
  </si>
  <si>
    <t>※rpn[((s_mhp-s_nhp)*2/s_mhp+1)*s_laser]</t>
  </si>
  <si>
    <t>Cartridge</t>
  </si>
  <si>
    <t>※rpn[((dis+3)/4)*s_cartridge]</t>
  </si>
  <si>
    <t>※rpn[s_laser*1.1]</t>
  </si>
  <si>
    <t>※rpn[s_cartridge*0.8]</t>
  </si>
  <si>
    <t>※rpn[s_laser]</t>
  </si>
  <si>
    <t>※rpn[s_cartridge*1.3]</t>
  </si>
  <si>
    <t>※rpn[s_laser*0.9]</t>
  </si>
  <si>
    <t>※rpn[s_laser*0.5]</t>
  </si>
  <si>
    <t>※rpn[s_cartridge*0.7]</t>
  </si>
  <si>
    <t>※rpn[s_cartridge*1.5]</t>
  </si>
  <si>
    <t>※rpn[s_cartridge*1.1]</t>
  </si>
  <si>
    <t>※rpn[s_laser*0.8+5]</t>
  </si>
  <si>
    <t>※rpn[s_cartridge*0.6]</t>
  </si>
  <si>
    <t>specialEffects</t>
    <phoneticPr fontId="1" type="noConversion"/>
  </si>
  <si>
    <t>AddState</t>
  </si>
  <si>
    <t>Transfiguration;Property</t>
    <phoneticPr fontId="1" type="noConversion"/>
  </si>
  <si>
    <t>Enslave</t>
  </si>
  <si>
    <t>OpenBlockWithNear;HalfCostReturn;Property</t>
    <phoneticPr fontId="1" type="noConversion"/>
  </si>
  <si>
    <t>OpenBlockWithNear;TransferSelf</t>
    <phoneticPr fontId="1" type="noConversion"/>
  </si>
  <si>
    <t>SpecialEffect[;]</t>
    <phoneticPr fontId="1" type="noConversion"/>
  </si>
  <si>
    <t>OpenBlockWithNear;AddState</t>
    <phoneticPr fontId="1" type="noConversion"/>
  </si>
  <si>
    <t>TransferTarget</t>
  </si>
  <si>
    <t>Transfiguration</t>
    <phoneticPr fontId="1" type="noConversion"/>
  </si>
  <si>
    <t>TransferTarget</t>
    <phoneticPr fontId="1" type="noConversion"/>
  </si>
  <si>
    <t>OpenBlockWithNear</t>
    <phoneticPr fontId="1" type="noConversion"/>
  </si>
  <si>
    <t>HalfCostReturn</t>
    <phoneticPr fontId="1" type="noConversion"/>
  </si>
  <si>
    <t>Disperse</t>
    <phoneticPr fontId="1" type="noConversion"/>
  </si>
  <si>
    <t>PositionTransfer</t>
    <phoneticPr fontId="1" type="noConversion"/>
  </si>
  <si>
    <t>PositionExchange</t>
    <phoneticPr fontId="1" type="noConversion"/>
  </si>
  <si>
    <t>AddStateToSelf</t>
    <phoneticPr fontId="1" type="noConversion"/>
  </si>
  <si>
    <t>AddState</t>
    <phoneticPr fontId="1" type="noConversion"/>
  </si>
  <si>
    <t>SpecialEffect</t>
    <phoneticPr fontId="1" type="noConversion"/>
  </si>
  <si>
    <t>activeSkillArgs</t>
    <phoneticPr fontId="1" type="noConversion"/>
  </si>
  <si>
    <t>passiveSkillArgs</t>
    <phoneticPr fontId="1" type="noConversion"/>
  </si>
  <si>
    <r>
      <t>[1维]</t>
    </r>
    <r>
      <rPr>
        <sz val="11"/>
        <color rgb="FF000000"/>
        <rFont val="微软雅黑"/>
        <family val="2"/>
        <charset val="134"/>
      </rPr>
      <t>参数，根据作用类型解释成不同的作用</t>
    </r>
    <phoneticPr fontId="1" type="noConversion"/>
  </si>
  <si>
    <t>0;0</t>
  </si>
  <si>
    <t>0;0</t>
    <phoneticPr fontId="1" type="noConversion"/>
  </si>
  <si>
    <t>0;0;0</t>
    <phoneticPr fontId="1" type="noConversion"/>
  </si>
  <si>
    <t>0;0</t>
    <phoneticPr fontId="1" type="noConversion"/>
  </si>
  <si>
    <t>phase</t>
    <phoneticPr fontId="1" type="noConversion"/>
  </si>
  <si>
    <t>SkillArg[;]</t>
    <phoneticPr fontId="1" type="noConversion"/>
  </si>
  <si>
    <t>编号</t>
    <phoneticPr fontId="1" type="noConversion"/>
  </si>
  <si>
    <t>名称</t>
    <phoneticPr fontId="1" type="noConversion"/>
  </si>
  <si>
    <t>prefab资源名</t>
    <phoneticPr fontId="1" type="noConversion"/>
  </si>
  <si>
    <t>决定技能的释放方式。注意Self、Target、Help会根据不同的技能使用者，意义会不同</t>
    <phoneticPr fontId="1" type="noConversion"/>
  </si>
  <si>
    <t>多目标：玩家选择目标后（因为我们最多只让玩家选择一次），或者干脆就是随机目标（不让玩家选），但这个目标不一定就是最终目标，它可能会通过扩散（AOE）、随机多次来达到多目标的选取。总之它和TargetType一同决定技能目标。注意激光和普通飞行物在表现上的不一样会导致他们的表现处理逻辑有很大不同（反正我自己做的时候差异还是蛮大的）</t>
    <phoneticPr fontId="1" type="noConversion"/>
  </si>
  <si>
    <r>
      <t>[1维]</t>
    </r>
    <r>
      <rPr>
        <sz val="11"/>
        <color rgb="FF000000"/>
        <rFont val="微软雅黑"/>
        <family val="2"/>
        <charset val="134"/>
      </rPr>
      <t>飞行特效，laser不支持多飞行特效</t>
    </r>
    <phoneticPr fontId="1" type="noConversion"/>
  </si>
  <si>
    <r>
      <t>[1维]</t>
    </r>
    <r>
      <rPr>
        <sz val="11"/>
        <color rgb="FF000000"/>
        <rFont val="微软雅黑"/>
        <family val="2"/>
        <charset val="134"/>
      </rPr>
      <t>射程</t>
    </r>
    <phoneticPr fontId="1" type="noConversion"/>
  </si>
  <si>
    <t>伤害类型</t>
    <phoneticPr fontId="1" type="noConversion"/>
  </si>
  <si>
    <t>伤害表达式</t>
    <phoneticPr fontId="1" type="noConversion"/>
  </si>
  <si>
    <r>
      <t>[1维]</t>
    </r>
    <r>
      <rPr>
        <sz val="11"/>
        <color rgb="FF000000"/>
        <rFont val="微软雅黑"/>
        <family val="2"/>
        <charset val="134"/>
      </rPr>
      <t>特效成功率：4个元素。“属性改变”与“特殊效果”都属于特效，它针对不同强度的怪物会有不同的成功率。如果技能目标是玩家，那么使用第一个元素</t>
    </r>
    <phoneticPr fontId="1" type="noConversion"/>
  </si>
  <si>
    <r>
      <t>[1维]</t>
    </r>
    <r>
      <rPr>
        <sz val="11"/>
        <color rgb="FF000000"/>
        <rFont val="微软雅黑"/>
        <family val="2"/>
        <charset val="134"/>
      </rPr>
      <t>特殊效果的生效阶段，0表示伤害之强，1表示伤害之后。维度与特殊效果一致</t>
    </r>
    <phoneticPr fontId="1" type="noConversion"/>
  </si>
  <si>
    <r>
      <t>[1维]</t>
    </r>
    <r>
      <rPr>
        <sz val="11"/>
        <color rgb="FF000000"/>
        <rFont val="微软雅黑"/>
        <family val="2"/>
        <charset val="134"/>
      </rPr>
      <t>这是一个用来描述特殊效果的参数类，维度与特殊效果一致</t>
    </r>
    <phoneticPr fontId="1" type="noConversion"/>
  </si>
  <si>
    <t>物资消耗：仅玩家技能生效。玩家使用技能需要消耗一定物资，为空表示不消耗。参数类。</t>
    <phoneticPr fontId="1" type="noConversion"/>
  </si>
  <si>
    <t>消耗时间：仅作为玩家技能时生效</t>
    <phoneticPr fontId="1" type="noConversion"/>
  </si>
  <si>
    <t>能耗：仅作为CopyAttack召唤物才起效</t>
    <phoneticPr fontId="1" type="noConversion"/>
  </si>
  <si>
    <t>冷却时间：仅作为怪物技能，或者召唤物（NormalAttack）技能生效</t>
    <phoneticPr fontId="1" type="noConversion"/>
  </si>
  <si>
    <r>
      <t>[1维]</t>
    </r>
    <r>
      <rPr>
        <sz val="11"/>
        <color rgb="FF000000"/>
        <rFont val="微软雅黑"/>
        <family val="2"/>
        <charset val="134"/>
      </rPr>
      <t>这是一个过滤列表，符合这个条件的怪物，将不能被该技能列为可选目标（即便AOE、随机都不会命中它）</t>
    </r>
    <phoneticPr fontId="1" type="noConversion"/>
  </si>
  <si>
    <r>
      <t>[2维]</t>
    </r>
    <r>
      <rPr>
        <sz val="11"/>
        <color rgb="FF000000"/>
        <rFont val="微软雅黑"/>
        <family val="2"/>
        <charset val="134"/>
      </rPr>
      <t>目标参数(第一次分割代表目标个数，仅随机有效，第二次分割代表攻击次数与每次伤害权重)。当技能有伤害，或者multipleType为Random时，该项必须有值</t>
    </r>
    <phoneticPr fontId="1" type="noConversion"/>
  </si>
  <si>
    <r>
      <t>[1维]</t>
    </r>
    <r>
      <rPr>
        <sz val="11"/>
        <color rgb="FF000000"/>
        <rFont val="微软雅黑"/>
        <family val="2"/>
        <charset val="134"/>
      </rPr>
      <t>命中特效</t>
    </r>
    <phoneticPr fontId="1" type="noConversion"/>
  </si>
  <si>
    <r>
      <t>[1维]</t>
    </r>
    <r>
      <rPr>
        <sz val="11"/>
        <color rgb="FF000000"/>
        <rFont val="微软雅黑"/>
        <family val="2"/>
        <charset val="134"/>
      </rPr>
      <t>主动技能的特殊效果，一个技能可能包含多个效果，要依次执行</t>
    </r>
    <phoneticPr fontId="1" type="noConversion"/>
  </si>
  <si>
    <t>名称</t>
    <phoneticPr fontId="1" type="noConversion"/>
  </si>
  <si>
    <t>决定技能的释放方式。注意Self、Target、Help会根据不同的技能使用者，意义会不同</t>
    <phoneticPr fontId="1" type="noConversion"/>
  </si>
  <si>
    <t>预制，浮游炮的外形</t>
    <phoneticPr fontId="1" type="noConversion"/>
  </si>
  <si>
    <t>物资消耗：仅玩家技能生效。玩家使用技能需要消耗一定物资，为空表示不消耗。</t>
    <phoneticPr fontId="1" type="noConversion"/>
  </si>
  <si>
    <t>消耗时间</t>
    <phoneticPr fontId="1" type="noConversion"/>
  </si>
  <si>
    <t>召唤物的行为模式</t>
    <phoneticPr fontId="1" type="noConversion"/>
  </si>
  <si>
    <r>
      <t>[1维]</t>
    </r>
    <r>
      <rPr>
        <sz val="11"/>
        <color rgb="FF000000"/>
        <rFont val="微软雅黑"/>
        <family val="2"/>
        <charset val="134"/>
      </rPr>
      <t>召唤距离：这是放置位置的距离，而不是攻击距离</t>
    </r>
    <phoneticPr fontId="1" type="noConversion"/>
  </si>
  <si>
    <t>ulong</t>
    <phoneticPr fontId="1" type="noConversion"/>
  </si>
  <si>
    <t>prefab资源名</t>
    <phoneticPr fontId="1" type="noConversion"/>
  </si>
  <si>
    <r>
      <t>[1维]</t>
    </r>
    <r>
      <rPr>
        <sz val="11"/>
        <color rgb="FF000000"/>
        <rFont val="微软雅黑"/>
        <family val="2"/>
        <charset val="134"/>
      </rPr>
      <t>被动技能作用效果。除了Property与Halo，被动技能其他作用都只对玩家生效。</t>
    </r>
    <phoneticPr fontId="1" type="noConversion"/>
  </si>
  <si>
    <t>ulong</t>
    <phoneticPr fontId="1" type="noConversion"/>
  </si>
  <si>
    <t>short[;]</t>
    <phoneticPr fontId="1" type="noConversion"/>
  </si>
  <si>
    <t>Angry</t>
    <phoneticPr fontId="1" type="noConversion"/>
  </si>
  <si>
    <t>Vjua</t>
    <phoneticPr fontId="1" type="noConversion"/>
  </si>
  <si>
    <t>SelectImmune</t>
    <phoneticPr fontId="1" type="noConversion"/>
  </si>
  <si>
    <t>主动技能效果参数1</t>
    <phoneticPr fontId="1" type="noConversion"/>
  </si>
  <si>
    <t>主动技能效果参数2</t>
  </si>
  <si>
    <t>主动技能效果参数3;主动技能效果参数4</t>
    <phoneticPr fontId="1" type="noConversion"/>
  </si>
  <si>
    <t>主动技能效果参数5</t>
    <phoneticPr fontId="1" type="noConversion"/>
  </si>
  <si>
    <t>主动技能效果参数6</t>
  </si>
  <si>
    <t>主动技能效果参数7</t>
  </si>
  <si>
    <t>主动技能效果参数8</t>
  </si>
  <si>
    <t>主动技能效果参数9</t>
  </si>
  <si>
    <t>主动技能效果参数10</t>
  </si>
  <si>
    <t>主动技能效果参数11</t>
    <phoneticPr fontId="1" type="noConversion"/>
  </si>
  <si>
    <t>主动技能效果参数12;主动技能效果参数13;主动技能效果参数14</t>
    <phoneticPr fontId="1" type="noConversion"/>
  </si>
  <si>
    <t>主动技能效果参数15;主动技能效果参数16</t>
    <phoneticPr fontId="1" type="noConversion"/>
  </si>
  <si>
    <t>主动技能效果参数17;主动技能效果参数18</t>
    <phoneticPr fontId="1" type="noConversion"/>
  </si>
  <si>
    <t>主动技能效果参数19</t>
    <phoneticPr fontId="1" type="noConversion"/>
  </si>
  <si>
    <t>主动技能效果参数20</t>
  </si>
  <si>
    <t>主动技能效果参数21</t>
  </si>
  <si>
    <t>主动技能效果参数22</t>
    <phoneticPr fontId="1" type="noConversion"/>
  </si>
  <si>
    <t>主动技能效果参数23</t>
    <phoneticPr fontId="1" type="noConversion"/>
  </si>
  <si>
    <t>主动技能效果参数24</t>
  </si>
  <si>
    <t>主动技能效果参数25</t>
  </si>
  <si>
    <t>主动技能效果参数26</t>
  </si>
  <si>
    <t>主动技能效果参数27</t>
  </si>
  <si>
    <t>主动技能效果参数28</t>
  </si>
  <si>
    <t>主动技能效果参数29</t>
  </si>
  <si>
    <t>主动技能效果参数30</t>
  </si>
  <si>
    <t>主动技能效果参数31</t>
  </si>
  <si>
    <t>主动技能效果参数32</t>
  </si>
  <si>
    <t>主动技能效果参数33</t>
  </si>
  <si>
    <t>主动技能效果参数34</t>
  </si>
  <si>
    <t>主动技能效果参数35</t>
  </si>
  <si>
    <t>主动技能效果参数36</t>
  </si>
  <si>
    <t>主动技能效果参数37</t>
  </si>
  <si>
    <t>主动技能效果参数38</t>
  </si>
  <si>
    <t>主动技能效果参数39</t>
  </si>
  <si>
    <t>主动技能效果参数40</t>
  </si>
  <si>
    <t>主动技能效果参数41</t>
  </si>
  <si>
    <t>主动技能效果参数42</t>
  </si>
  <si>
    <t>主动技能效果参数43</t>
  </si>
  <si>
    <t>主动技能效果参数44</t>
  </si>
  <si>
    <t>被动技能参数1</t>
    <phoneticPr fontId="1" type="noConversion"/>
  </si>
  <si>
    <t>被动技能参数2</t>
  </si>
  <si>
    <t>被动技能参数3</t>
  </si>
  <si>
    <t>被动技能参数4</t>
  </si>
  <si>
    <t>被动技能参数5</t>
  </si>
  <si>
    <t>被动技能参数6</t>
  </si>
  <si>
    <t>被动技能参数7</t>
  </si>
  <si>
    <t>被动技能参数8</t>
  </si>
  <si>
    <t>被动技能参数9</t>
  </si>
  <si>
    <t>被动技能参数10</t>
  </si>
  <si>
    <t>被动技能参数11</t>
  </si>
  <si>
    <t>被动技能参数12</t>
  </si>
  <si>
    <t>被动技能参数13</t>
  </si>
  <si>
    <t>被动技能参数14</t>
  </si>
  <si>
    <t>被动技能参数15</t>
  </si>
  <si>
    <t>被动技能参数16</t>
  </si>
  <si>
    <t>被动技能参数17</t>
  </si>
  <si>
    <t>被动技能参数18</t>
  </si>
  <si>
    <t>被动技能参数19</t>
  </si>
  <si>
    <t>被动技能参数20</t>
  </si>
  <si>
    <t>被动技能参数21</t>
  </si>
  <si>
    <t>被动技能参数22</t>
  </si>
  <si>
    <t>被动技能参数23</t>
  </si>
  <si>
    <t>被动技能参数24</t>
  </si>
  <si>
    <t>被动技能参数25</t>
  </si>
  <si>
    <t>被动技能参数26</t>
  </si>
  <si>
    <t>被动技能参数27</t>
  </si>
  <si>
    <t>被动技能参数28</t>
  </si>
  <si>
    <t>被动技能参数29</t>
  </si>
  <si>
    <t>被动技能参数30</t>
  </si>
  <si>
    <t>被动技能参数31</t>
  </si>
  <si>
    <t>被动技能参数32</t>
  </si>
  <si>
    <t>被动技能参数33</t>
  </si>
  <si>
    <t>被动技能参数34</t>
  </si>
  <si>
    <t>被动技能参数35</t>
  </si>
  <si>
    <t>被动技能参数36</t>
  </si>
  <si>
    <t>被动技能参数37</t>
  </si>
  <si>
    <t>被动技能参数38</t>
  </si>
  <si>
    <t>被动技能参数39</t>
  </si>
  <si>
    <t>被动技能参数40</t>
  </si>
  <si>
    <t>被动技能参数41</t>
  </si>
  <si>
    <t>被动技能参数42</t>
  </si>
  <si>
    <t>被动技能参数43</t>
  </si>
  <si>
    <t>被动技能参数44</t>
  </si>
  <si>
    <t>被动技能参数45</t>
  </si>
  <si>
    <t>被动技能参数46</t>
  </si>
  <si>
    <t>被动技能参数47</t>
  </si>
  <si>
    <t>被动技能参数48</t>
  </si>
  <si>
    <t>被动技能参数49</t>
  </si>
  <si>
    <t>被动技能参数50</t>
  </si>
  <si>
    <t>被动技能参数51</t>
  </si>
  <si>
    <t>被动技能参数52</t>
  </si>
  <si>
    <t>被动技能参数53</t>
  </si>
  <si>
    <t>被动技能参数54</t>
  </si>
  <si>
    <t>被动技能参数55</t>
  </si>
  <si>
    <t>被动技能参数56</t>
  </si>
  <si>
    <t>被动技能参数57</t>
  </si>
  <si>
    <t>被动技能参数58</t>
  </si>
  <si>
    <t>被动技能参数59</t>
  </si>
  <si>
    <t>被动技能参数60</t>
  </si>
  <si>
    <t>被动技能参数61</t>
  </si>
  <si>
    <t>被动技能参数62</t>
  </si>
  <si>
    <t>被动技能参数63</t>
  </si>
  <si>
    <t>被动技能参数64</t>
  </si>
  <si>
    <t>被动技能参数65</t>
  </si>
  <si>
    <t>被动技能参数66</t>
  </si>
  <si>
    <t>被动技能参数67</t>
  </si>
  <si>
    <t>被动技能参数68</t>
  </si>
  <si>
    <t>被动技能参数69</t>
  </si>
  <si>
    <t>被动技能参数70</t>
  </si>
  <si>
    <t>被动技能参数71</t>
  </si>
  <si>
    <t>被动技能参数72</t>
  </si>
  <si>
    <t>被动技能参数73</t>
  </si>
  <si>
    <t>状态参数1</t>
    <phoneticPr fontId="1" type="noConversion"/>
  </si>
  <si>
    <t>状态参数2</t>
    <phoneticPr fontId="1" type="noConversion"/>
  </si>
  <si>
    <t>状态参数3</t>
  </si>
  <si>
    <t>状态参数4</t>
  </si>
  <si>
    <t>状态参数5</t>
  </si>
  <si>
    <t>状态参数6</t>
  </si>
  <si>
    <t>状态参数7</t>
  </si>
  <si>
    <t>状态参数8</t>
  </si>
  <si>
    <t>状态参数9</t>
  </si>
  <si>
    <t>状态参数10</t>
  </si>
  <si>
    <t>状态参数11</t>
  </si>
  <si>
    <t>状态参数12</t>
  </si>
  <si>
    <t>状态参数13</t>
  </si>
  <si>
    <t>状态参数14</t>
  </si>
  <si>
    <t>状态参数15</t>
  </si>
  <si>
    <t>状态参数16</t>
  </si>
  <si>
    <t>状态参数17</t>
    <phoneticPr fontId="1" type="noConversion"/>
  </si>
  <si>
    <t>状态参数18</t>
  </si>
  <si>
    <t>状态参数19</t>
  </si>
  <si>
    <t>状态参数20</t>
  </si>
  <si>
    <t>状态参数21</t>
  </si>
  <si>
    <t>状态参数22</t>
  </si>
  <si>
    <t>状态参数23</t>
  </si>
  <si>
    <t>状态参数24</t>
  </si>
  <si>
    <t>状态参数25</t>
  </si>
  <si>
    <t>状态参数26</t>
  </si>
  <si>
    <t>状态参数27</t>
  </si>
  <si>
    <t>状态参数28</t>
  </si>
  <si>
    <t>状态参数29</t>
    <phoneticPr fontId="1" type="noConversion"/>
  </si>
  <si>
    <t>状态参数30</t>
  </si>
  <si>
    <t>状态参数31</t>
  </si>
  <si>
    <t>状态参数32</t>
  </si>
  <si>
    <t>状态参数33</t>
  </si>
  <si>
    <t>状态参数34</t>
  </si>
  <si>
    <t>状态参数35</t>
  </si>
  <si>
    <t>状态参数36</t>
  </si>
  <si>
    <t>状态参数37</t>
  </si>
  <si>
    <t>状态参数38</t>
  </si>
  <si>
    <t>状态参数39</t>
  </si>
  <si>
    <t>状态参数40</t>
  </si>
  <si>
    <t>状态参数41</t>
  </si>
  <si>
    <t>状态参数42</t>
  </si>
  <si>
    <t>状态参数43</t>
  </si>
  <si>
    <t>状态参数44</t>
  </si>
  <si>
    <t>状态参数45</t>
  </si>
  <si>
    <t>状态参数46</t>
  </si>
  <si>
    <t>状态参数47</t>
  </si>
  <si>
    <t>状态参数48</t>
  </si>
  <si>
    <t>状态参数49</t>
  </si>
  <si>
    <t>状态参数50</t>
  </si>
  <si>
    <t>状态参数51</t>
  </si>
  <si>
    <t>状态参数52</t>
  </si>
  <si>
    <t>状态参数53</t>
  </si>
  <si>
    <t>状态参数54</t>
  </si>
  <si>
    <t>状态参数55</t>
  </si>
  <si>
    <t>状态参数56</t>
  </si>
  <si>
    <t>状态参数57</t>
  </si>
  <si>
    <t>状态参数58</t>
  </si>
  <si>
    <t>状态参数59</t>
  </si>
  <si>
    <t>状态参数60</t>
  </si>
  <si>
    <t>id</t>
    <phoneticPr fontId="1" type="noConversion"/>
  </si>
  <si>
    <t>持续时间</t>
    <phoneticPr fontId="1" type="noConversion"/>
  </si>
  <si>
    <t>prefab名称依赖</t>
    <phoneticPr fontId="1" type="noConversion"/>
  </si>
  <si>
    <t>编号</t>
    <phoneticPr fontId="1" type="noConversion"/>
  </si>
  <si>
    <r>
      <t>[1维]</t>
    </r>
    <r>
      <rPr>
        <sz val="11"/>
        <color rgb="FF000000"/>
        <rFont val="微软雅黑"/>
        <family val="2"/>
        <charset val="134"/>
      </rPr>
      <t>状态的效果，一个状态可以有多个效果同时起效（依次起效）</t>
    </r>
    <phoneticPr fontId="1" type="noConversion"/>
  </si>
  <si>
    <t>ulong</t>
    <phoneticPr fontId="1" type="noConversion"/>
  </si>
  <si>
    <t>string</t>
    <phoneticPr fontId="1" type="noConversion"/>
  </si>
  <si>
    <t>bool</t>
    <phoneticPr fontId="1" type="noConversion"/>
  </si>
  <si>
    <t>int</t>
    <phoneticPr fontId="1" type="noConversion"/>
  </si>
  <si>
    <t>float</t>
    <phoneticPr fontId="1" type="noConversion"/>
  </si>
  <si>
    <t>StateEffect[;]</t>
    <phoneticPr fontId="1" type="noConversion"/>
  </si>
  <si>
    <t>SkillArg[;]</t>
    <phoneticPr fontId="1" type="noConversion"/>
  </si>
  <si>
    <t>name</t>
    <phoneticPr fontId="1" type="noConversion"/>
  </si>
  <si>
    <t>describe</t>
    <phoneticPr fontId="1" type="noConversion"/>
  </si>
  <si>
    <t>isBuff</t>
    <phoneticPr fontId="1" type="noConversion"/>
  </si>
  <si>
    <t>max</t>
    <phoneticPr fontId="1" type="noConversion"/>
  </si>
  <si>
    <t>time</t>
    <phoneticPr fontId="1" type="noConversion"/>
  </si>
  <si>
    <t>interval</t>
    <phoneticPr fontId="1" type="noConversion"/>
  </si>
  <si>
    <t>mark</t>
    <phoneticPr fontId="1" type="noConversion"/>
  </si>
  <si>
    <t>priority</t>
    <phoneticPr fontId="1" type="noConversion"/>
  </si>
  <si>
    <t>stateEffects</t>
    <phoneticPr fontId="1" type="noConversion"/>
  </si>
  <si>
    <t>stateArgs</t>
    <phoneticPr fontId="1" type="noConversion"/>
  </si>
  <si>
    <t>名称</t>
    <phoneticPr fontId="1" type="noConversion"/>
  </si>
  <si>
    <t>描述</t>
    <phoneticPr fontId="1" type="noConversion"/>
  </si>
  <si>
    <t>状态图标</t>
    <phoneticPr fontId="1" type="noConversion"/>
  </si>
  <si>
    <t>Buff/Debuff:true为buff</t>
    <phoneticPr fontId="1" type="noConversion"/>
  </si>
  <si>
    <t>最大叠加</t>
    <phoneticPr fontId="1" type="noConversion"/>
  </si>
  <si>
    <t>作用间隔：对当前生命值，需要多次进行计算（DOT），这里指定经过多久时间进行1次计算。为0表示仅需要起效1次（在附着上的时候），或者是没有实际意义。</t>
    <phoneticPr fontId="1" type="noConversion"/>
  </si>
  <si>
    <t>标记：美术表现</t>
    <phoneticPr fontId="1" type="noConversion"/>
  </si>
  <si>
    <t>状态优先级：值越大，优先级越高</t>
    <phoneticPr fontId="1" type="noConversion"/>
  </si>
  <si>
    <r>
      <t>[1维]</t>
    </r>
    <r>
      <rPr>
        <sz val="11"/>
        <color rgb="FF000000"/>
        <rFont val="微软雅黑"/>
        <family val="2"/>
        <charset val="134"/>
      </rPr>
      <t>参数，根据作用类型解释成不同的作用</t>
    </r>
    <phoneticPr fontId="1" type="noConversion"/>
  </si>
  <si>
    <t>id</t>
    <phoneticPr fontId="1" type="noConversion"/>
  </si>
  <si>
    <r>
      <t>[1维]</t>
    </r>
    <r>
      <rPr>
        <sz val="11"/>
        <color rgb="FF000000"/>
        <rFont val="微软雅黑"/>
        <family val="2"/>
        <charset val="134"/>
      </rPr>
      <t>行为参数：其不同行为，对应行为参数解释为不同内容。NormalAttack------主动攻击编号（u[0]）；CopyAttack------能量上限（f[0]）;恢复速度(f[1]，几回合恢复至上限)</t>
    </r>
    <phoneticPr fontId="1" type="noConversion"/>
  </si>
  <si>
    <t>SkillArg</t>
    <phoneticPr fontId="1" type="noConversion"/>
  </si>
  <si>
    <t>arg</t>
    <phoneticPr fontId="1" type="noConversion"/>
  </si>
  <si>
    <t>召唤技能参数2</t>
  </si>
  <si>
    <t>召唤技能参数3</t>
  </si>
  <si>
    <t>召唤技能参数4</t>
  </si>
  <si>
    <t>召唤技能参数5</t>
  </si>
  <si>
    <t>召唤技能参数1</t>
  </si>
  <si>
    <t>icon</t>
    <phoneticPr fontId="1" type="noConversion"/>
  </si>
  <si>
    <t>skill1001</t>
  </si>
  <si>
    <t>skill1000</t>
    <phoneticPr fontId="1" type="noConversion"/>
  </si>
  <si>
    <t>skill1002</t>
  </si>
  <si>
    <t>skill1003</t>
  </si>
  <si>
    <t>skill1004</t>
  </si>
  <si>
    <t>skill1005</t>
  </si>
  <si>
    <t>skill1006</t>
  </si>
  <si>
    <t>skill1007</t>
  </si>
  <si>
    <t>skill1008</t>
  </si>
  <si>
    <t>skill1009</t>
  </si>
  <si>
    <t>skill1010</t>
  </si>
  <si>
    <t>skill1011</t>
  </si>
  <si>
    <t>skill1012</t>
  </si>
  <si>
    <t>skill1013</t>
  </si>
  <si>
    <t>skill1014</t>
  </si>
  <si>
    <t>skill1015</t>
  </si>
  <si>
    <t>skill1016</t>
  </si>
  <si>
    <t>skill1017</t>
  </si>
  <si>
    <t>skill1018</t>
  </si>
  <si>
    <t>skill1019</t>
  </si>
  <si>
    <t>skill1020</t>
  </si>
  <si>
    <t>skill1021</t>
  </si>
  <si>
    <t>skill1022</t>
  </si>
  <si>
    <t>skill1023</t>
  </si>
  <si>
    <t>skill1024</t>
  </si>
  <si>
    <t>skill1025</t>
  </si>
  <si>
    <t>skill1026</t>
  </si>
  <si>
    <t>skill1027</t>
  </si>
  <si>
    <t>skill1028</t>
  </si>
  <si>
    <t>skill1029</t>
  </si>
  <si>
    <t>skill1030</t>
  </si>
  <si>
    <t>skill1031</t>
  </si>
  <si>
    <t>skill1032</t>
  </si>
  <si>
    <t>skill1033</t>
  </si>
  <si>
    <t>skill1034</t>
  </si>
  <si>
    <t>skill1035</t>
  </si>
  <si>
    <t>skill1036</t>
  </si>
  <si>
    <t>skill1037</t>
  </si>
  <si>
    <t>skill1038</t>
  </si>
  <si>
    <t>skill1039</t>
  </si>
  <si>
    <t>skill1040</t>
  </si>
  <si>
    <t>skill1041</t>
  </si>
  <si>
    <t>skill1042</t>
  </si>
  <si>
    <t>skill1043</t>
  </si>
  <si>
    <t>skill1044</t>
  </si>
  <si>
    <t>skill1045</t>
  </si>
  <si>
    <t>skill1046</t>
  </si>
  <si>
    <t>skill1047</t>
  </si>
  <si>
    <t>skill10048</t>
    <phoneticPr fontId="1" type="noConversion"/>
  </si>
  <si>
    <t>skill10049</t>
  </si>
  <si>
    <t>skill10050</t>
  </si>
  <si>
    <t>skill10051</t>
  </si>
  <si>
    <t>skill10052</t>
  </si>
  <si>
    <t>skill10059</t>
  </si>
  <si>
    <t>skill10053</t>
    <phoneticPr fontId="1" type="noConversion"/>
  </si>
  <si>
    <t>skill10054</t>
  </si>
  <si>
    <t>skill10055</t>
  </si>
  <si>
    <t>skill10056</t>
  </si>
  <si>
    <t>skill10057</t>
  </si>
  <si>
    <t>skill10058</t>
  </si>
  <si>
    <t>skill10060</t>
  </si>
  <si>
    <t>skill10061</t>
  </si>
  <si>
    <t>skill10062</t>
  </si>
  <si>
    <t>skill10063</t>
  </si>
  <si>
    <t>skill10064</t>
  </si>
  <si>
    <t>skill10065</t>
  </si>
  <si>
    <t>skill10066</t>
  </si>
  <si>
    <t>skill10067</t>
  </si>
  <si>
    <t>skill10068</t>
  </si>
  <si>
    <t>skill10069</t>
  </si>
  <si>
    <t>skill10070</t>
  </si>
  <si>
    <t>skill10071</t>
  </si>
  <si>
    <t>skill10072</t>
  </si>
  <si>
    <t>skill10073</t>
  </si>
  <si>
    <t>skill10074</t>
  </si>
  <si>
    <t>skill10075</t>
  </si>
  <si>
    <t>skill10076</t>
  </si>
  <si>
    <t>skill10077</t>
  </si>
  <si>
    <t>skill10078</t>
  </si>
  <si>
    <t>skill10079</t>
  </si>
  <si>
    <t>skill10080</t>
  </si>
  <si>
    <t>skill10081</t>
  </si>
  <si>
    <t>skill10082</t>
  </si>
  <si>
    <t>skill10083</t>
  </si>
  <si>
    <t>skill10084</t>
  </si>
  <si>
    <t>skill10085</t>
  </si>
  <si>
    <t>skill10086</t>
  </si>
  <si>
    <t>skill10087</t>
  </si>
  <si>
    <t>skill10088</t>
  </si>
  <si>
    <t>skill10089</t>
  </si>
  <si>
    <t>skill10090</t>
  </si>
  <si>
    <t>skill10091</t>
  </si>
  <si>
    <t>skill10092</t>
  </si>
  <si>
    <t>skill10093</t>
  </si>
  <si>
    <t>skill10094</t>
  </si>
  <si>
    <t>skill10095</t>
  </si>
  <si>
    <t>skill10096</t>
  </si>
  <si>
    <t>skill10097</t>
  </si>
  <si>
    <t>skill10098</t>
  </si>
  <si>
    <t>skill10099</t>
  </si>
  <si>
    <t>skill10100</t>
  </si>
  <si>
    <t>skill10101</t>
  </si>
  <si>
    <t>skill10102</t>
  </si>
  <si>
    <t>skill10103</t>
  </si>
  <si>
    <t>skill10104</t>
  </si>
  <si>
    <t>skill10105</t>
  </si>
  <si>
    <t>skill10106</t>
  </si>
  <si>
    <t>skill10107</t>
  </si>
  <si>
    <t>skill10108</t>
  </si>
  <si>
    <t>skill10109</t>
  </si>
  <si>
    <t>skill10110</t>
  </si>
  <si>
    <t>skill10111</t>
  </si>
  <si>
    <t>skill10112</t>
  </si>
  <si>
    <t>skill10113</t>
  </si>
  <si>
    <t>skill10114</t>
  </si>
  <si>
    <t>skill10115</t>
  </si>
  <si>
    <t>skill10116</t>
  </si>
  <si>
    <t>skill10117</t>
  </si>
  <si>
    <t>skill10118</t>
  </si>
  <si>
    <t>skill10119</t>
  </si>
  <si>
    <t>skill10120</t>
  </si>
  <si>
    <t>skill10121</t>
  </si>
  <si>
    <t>skill10122</t>
  </si>
  <si>
    <t>skill10123</t>
  </si>
  <si>
    <t>skill10124</t>
  </si>
  <si>
    <t>skill10125</t>
  </si>
  <si>
    <t>每回合受到伤害</t>
    <phoneticPr fontId="1" type="noConversion"/>
  </si>
  <si>
    <t>buff_1</t>
    <phoneticPr fontId="1" type="noConversion"/>
  </si>
  <si>
    <t>buff_2</t>
  </si>
  <si>
    <t>buff_3</t>
  </si>
  <si>
    <t>buff_4</t>
  </si>
  <si>
    <t>buff_5</t>
  </si>
  <si>
    <t>buff_6</t>
  </si>
  <si>
    <t>buff_7</t>
  </si>
  <si>
    <t>buff_8</t>
  </si>
  <si>
    <t>buff_9</t>
  </si>
  <si>
    <t>buff_10</t>
  </si>
  <si>
    <t>buff_11</t>
  </si>
  <si>
    <t>buff_12</t>
  </si>
  <si>
    <t>buff_13</t>
  </si>
  <si>
    <t>buff_14</t>
  </si>
  <si>
    <t>buff_15</t>
  </si>
  <si>
    <t>buff_16</t>
  </si>
  <si>
    <t>buff_17</t>
  </si>
  <si>
    <t>buff_18</t>
  </si>
  <si>
    <t>buff_19</t>
  </si>
  <si>
    <t>buff_20</t>
  </si>
  <si>
    <t>buff_21</t>
  </si>
  <si>
    <t>buff_22</t>
  </si>
  <si>
    <t>buff_23</t>
  </si>
  <si>
    <t>buff_24</t>
  </si>
  <si>
    <t>buff_25</t>
  </si>
  <si>
    <t>buff_26</t>
  </si>
  <si>
    <t>buff_27</t>
  </si>
  <si>
    <t>buff_28</t>
  </si>
  <si>
    <t>buff_29</t>
  </si>
  <si>
    <t>buff_30</t>
  </si>
  <si>
    <t>buff_31</t>
  </si>
  <si>
    <t>buff_32</t>
  </si>
  <si>
    <t>buff_33</t>
  </si>
  <si>
    <t>buff_34</t>
  </si>
  <si>
    <t>buff_35</t>
  </si>
  <si>
    <t>buff_36</t>
  </si>
  <si>
    <t>buff_37</t>
  </si>
  <si>
    <t>buff_38</t>
  </si>
  <si>
    <t>buff_39</t>
  </si>
  <si>
    <t>buff_40</t>
  </si>
  <si>
    <t>buff_41</t>
  </si>
  <si>
    <t>buff_42</t>
  </si>
  <si>
    <t>buff_43</t>
  </si>
  <si>
    <t>buff_44</t>
  </si>
  <si>
    <t>buff_45</t>
  </si>
  <si>
    <t>buff_46</t>
  </si>
  <si>
    <t>buff_47</t>
  </si>
  <si>
    <t>buff_48</t>
  </si>
  <si>
    <t>buff_49</t>
  </si>
  <si>
    <t>buff_50</t>
  </si>
  <si>
    <t>buff_51</t>
  </si>
  <si>
    <t>buff_52</t>
  </si>
  <si>
    <t>buff_53</t>
  </si>
  <si>
    <t>buff_54</t>
  </si>
  <si>
    <t>buff_55</t>
  </si>
  <si>
    <t>buff_56</t>
  </si>
  <si>
    <t>buff_57</t>
  </si>
  <si>
    <t>buff_58</t>
  </si>
  <si>
    <t>buff_59</t>
  </si>
  <si>
    <t>buff_60</t>
  </si>
  <si>
    <t>buff_61</t>
  </si>
  <si>
    <t>buff_62</t>
  </si>
  <si>
    <t>buff_63</t>
  </si>
  <si>
    <t>buff_64</t>
  </si>
  <si>
    <t>buff_65</t>
  </si>
  <si>
    <t>buff_66</t>
  </si>
  <si>
    <t>buff_67</t>
  </si>
  <si>
    <t>buff_68</t>
  </si>
  <si>
    <t>buff_69</t>
  </si>
  <si>
    <t>buff_70</t>
  </si>
</sst>
</file>

<file path=xl/styles.xml><?xml version="1.0" encoding="utf-8"?>
<styleSheet xmlns="http://schemas.openxmlformats.org/spreadsheetml/2006/main" xmlns:mc="http://schemas.openxmlformats.org/markup-compatibility/2006" xmlns:x14ac="http://schemas.microsoft.com/office/spreadsheetml/2009/9/ac" mc:Ignorable="x14ac">
  <fonts count="15" x14ac:knownFonts="1">
    <font>
      <sz val="11"/>
      <color theme="1"/>
      <name val="等线"/>
      <family val="2"/>
      <scheme val="minor"/>
    </font>
    <font>
      <sz val="9"/>
      <name val="等线"/>
      <family val="3"/>
      <charset val="134"/>
      <scheme val="minor"/>
    </font>
    <font>
      <sz val="11"/>
      <color theme="0"/>
      <name val="微软雅黑"/>
      <family val="2"/>
      <charset val="134"/>
    </font>
    <font>
      <sz val="11"/>
      <color theme="1"/>
      <name val="微软雅黑"/>
      <family val="2"/>
      <charset val="134"/>
    </font>
    <font>
      <b/>
      <sz val="9"/>
      <color indexed="81"/>
      <name val="宋体"/>
      <family val="3"/>
      <charset val="134"/>
    </font>
    <font>
      <sz val="9"/>
      <color indexed="81"/>
      <name val="宋体"/>
      <family val="3"/>
      <charset val="134"/>
    </font>
    <font>
      <sz val="11"/>
      <color theme="8"/>
      <name val="微软雅黑"/>
      <family val="2"/>
      <charset val="134"/>
    </font>
    <font>
      <u/>
      <sz val="11"/>
      <color theme="10"/>
      <name val="等线"/>
      <family val="2"/>
      <scheme val="minor"/>
    </font>
    <font>
      <u/>
      <sz val="11"/>
      <color theme="10"/>
      <name val="微软雅黑"/>
      <family val="2"/>
      <charset val="134"/>
    </font>
    <font>
      <sz val="11"/>
      <name val="微软雅黑"/>
      <family val="2"/>
      <charset val="134"/>
    </font>
    <font>
      <sz val="11"/>
      <color rgb="FF0DB4EF"/>
      <name val="微软雅黑"/>
      <family val="2"/>
      <charset val="134"/>
    </font>
    <font>
      <b/>
      <sz val="11"/>
      <color rgb="FFFFFFFF"/>
      <name val="微软雅黑"/>
      <family val="2"/>
      <charset val="134"/>
    </font>
    <font>
      <sz val="11"/>
      <color rgb="FF000000"/>
      <name val="微软雅黑"/>
      <family val="2"/>
      <charset val="134"/>
    </font>
    <font>
      <b/>
      <u/>
      <sz val="11"/>
      <color rgb="FFFFFFFF"/>
      <name val="微软雅黑"/>
      <family val="2"/>
      <charset val="134"/>
    </font>
    <font>
      <i/>
      <sz val="11"/>
      <color theme="1"/>
      <name val="微软雅黑"/>
      <family val="2"/>
      <charset val="134"/>
    </font>
  </fonts>
  <fills count="4">
    <fill>
      <patternFill patternType="none"/>
    </fill>
    <fill>
      <patternFill patternType="gray125"/>
    </fill>
    <fill>
      <patternFill patternType="solid">
        <fgColor rgb="FF000000"/>
        <bgColor indexed="64"/>
      </patternFill>
    </fill>
    <fill>
      <patternFill patternType="solid">
        <fgColor theme="0" tint="-0.249977111117893"/>
        <bgColor indexed="64"/>
      </patternFill>
    </fill>
  </fills>
  <borders count="4">
    <border>
      <left/>
      <right/>
      <top/>
      <bottom/>
      <diagonal/>
    </border>
    <border>
      <left style="thin">
        <color rgb="FFA0A0A0"/>
      </left>
      <right style="thin">
        <color rgb="FFA0A0A0"/>
      </right>
      <top style="thin">
        <color rgb="FFA0A0A0"/>
      </top>
      <bottom style="thin">
        <color rgb="FFA0A0A0"/>
      </bottom>
      <diagonal/>
    </border>
    <border>
      <left style="thin">
        <color rgb="FF969696"/>
      </left>
      <right style="thin">
        <color rgb="FF969696"/>
      </right>
      <top style="thin">
        <color rgb="FF969696"/>
      </top>
      <bottom style="thin">
        <color rgb="FF969696"/>
      </bottom>
      <diagonal/>
    </border>
    <border>
      <left style="dotted">
        <color auto="1"/>
      </left>
      <right style="dotted">
        <color auto="1"/>
      </right>
      <top style="dotted">
        <color auto="1"/>
      </top>
      <bottom style="dotted">
        <color auto="1"/>
      </bottom>
      <diagonal/>
    </border>
  </borders>
  <cellStyleXfs count="2">
    <xf numFmtId="0" fontId="0" fillId="0" borderId="0"/>
    <xf numFmtId="0" fontId="7" fillId="0" borderId="0" applyNumberFormat="0" applyFill="0" applyBorder="0" applyAlignment="0" applyProtection="0"/>
  </cellStyleXfs>
  <cellXfs count="33">
    <xf numFmtId="0" fontId="0" fillId="0" borderId="0" xfId="0"/>
    <xf numFmtId="0" fontId="3" fillId="0" borderId="0" xfId="0" applyFont="1"/>
    <xf numFmtId="0" fontId="3" fillId="0" borderId="0" xfId="0" applyFont="1" applyAlignment="1">
      <alignment horizontal="left"/>
    </xf>
    <xf numFmtId="0" fontId="0" fillId="0" borderId="0" xfId="0" applyAlignment="1">
      <alignment horizontal="left"/>
    </xf>
    <xf numFmtId="0" fontId="0" fillId="0" borderId="0" xfId="0" applyAlignment="1">
      <alignment horizontal="left" vertical="center" wrapText="1"/>
    </xf>
    <xf numFmtId="0" fontId="3" fillId="0" borderId="0" xfId="0" applyFont="1" applyAlignment="1">
      <alignment horizontal="left" vertical="center" wrapText="1"/>
    </xf>
    <xf numFmtId="0" fontId="3" fillId="0" borderId="0" xfId="0" applyFont="1" applyBorder="1" applyAlignment="1">
      <alignment horizontal="left" vertical="center"/>
    </xf>
    <xf numFmtId="0" fontId="3" fillId="0" borderId="0" xfId="0" applyFont="1" applyAlignment="1">
      <alignment horizontal="left" vertical="center"/>
    </xf>
    <xf numFmtId="0" fontId="2" fillId="0" borderId="0" xfId="0" applyFont="1" applyAlignment="1">
      <alignment horizontal="left" vertical="center"/>
    </xf>
    <xf numFmtId="0" fontId="3" fillId="0" borderId="1" xfId="0" applyFont="1" applyBorder="1" applyAlignment="1">
      <alignment horizontal="left" vertical="center" wrapText="1"/>
    </xf>
    <xf numFmtId="0" fontId="10" fillId="0" borderId="1" xfId="0" applyFont="1" applyBorder="1" applyAlignment="1">
      <alignment horizontal="left" vertical="center" wrapText="1"/>
    </xf>
    <xf numFmtId="0" fontId="12" fillId="0" borderId="1" xfId="0" applyFont="1" applyBorder="1" applyAlignment="1">
      <alignment horizontal="left" vertical="center" wrapText="1"/>
    </xf>
    <xf numFmtId="0" fontId="3" fillId="0" borderId="1" xfId="0" applyFont="1" applyBorder="1" applyAlignment="1">
      <alignment horizontal="left" vertical="center"/>
    </xf>
    <xf numFmtId="0" fontId="8" fillId="0" borderId="1" xfId="1" applyFont="1" applyBorder="1" applyAlignment="1">
      <alignment horizontal="left" vertical="center"/>
    </xf>
    <xf numFmtId="0" fontId="3" fillId="0" borderId="1" xfId="0" applyFont="1" applyFill="1" applyBorder="1" applyAlignment="1">
      <alignment horizontal="left" vertical="center"/>
    </xf>
    <xf numFmtId="0" fontId="11" fillId="2" borderId="1" xfId="0" applyFont="1" applyFill="1" applyBorder="1" applyAlignment="1">
      <alignment horizontal="left" vertical="center"/>
    </xf>
    <xf numFmtId="0" fontId="13" fillId="2" borderId="1" xfId="1" applyFont="1" applyFill="1" applyBorder="1" applyAlignment="1">
      <alignment horizontal="left" vertical="center"/>
    </xf>
    <xf numFmtId="0" fontId="6" fillId="0" borderId="1" xfId="0" applyFont="1" applyBorder="1" applyAlignment="1">
      <alignment horizontal="left" vertical="center"/>
    </xf>
    <xf numFmtId="20" fontId="3" fillId="0" borderId="1" xfId="0" applyNumberFormat="1" applyFont="1" applyBorder="1" applyAlignment="1">
      <alignment horizontal="left" vertical="center"/>
    </xf>
    <xf numFmtId="0" fontId="14" fillId="0" borderId="1" xfId="0" applyFont="1" applyBorder="1" applyAlignment="1">
      <alignment horizontal="left" vertical="center"/>
    </xf>
    <xf numFmtId="0" fontId="2" fillId="0" borderId="1" xfId="0" applyFont="1" applyBorder="1" applyAlignment="1">
      <alignment horizontal="left" vertical="center"/>
    </xf>
    <xf numFmtId="0" fontId="10" fillId="0" borderId="1" xfId="0" applyFont="1" applyFill="1" applyBorder="1" applyAlignment="1">
      <alignment horizontal="left" vertical="center" wrapText="1"/>
    </xf>
    <xf numFmtId="0" fontId="8" fillId="0" borderId="1" xfId="1" applyFont="1" applyFill="1" applyBorder="1" applyAlignment="1">
      <alignment horizontal="left" vertical="center"/>
    </xf>
    <xf numFmtId="0" fontId="9" fillId="0" borderId="1" xfId="0" applyFont="1" applyBorder="1" applyAlignment="1">
      <alignment horizontal="left" vertical="center"/>
    </xf>
    <xf numFmtId="0" fontId="3" fillId="0" borderId="2" xfId="0" applyFont="1" applyBorder="1" applyAlignment="1">
      <alignment horizontal="left" vertical="center"/>
    </xf>
    <xf numFmtId="0" fontId="11" fillId="2" borderId="2" xfId="0" applyFont="1" applyFill="1" applyBorder="1" applyAlignment="1">
      <alignment horizontal="left" vertical="center" wrapText="1"/>
    </xf>
    <xf numFmtId="0" fontId="11" fillId="2" borderId="2" xfId="0" applyFont="1" applyFill="1" applyBorder="1" applyAlignment="1">
      <alignment horizontal="left" vertical="center"/>
    </xf>
    <xf numFmtId="0" fontId="3" fillId="0" borderId="2" xfId="0" applyFont="1" applyBorder="1" applyAlignment="1">
      <alignment horizontal="left" vertical="center" wrapText="1"/>
    </xf>
    <xf numFmtId="0" fontId="14" fillId="0" borderId="0" xfId="0" applyFont="1" applyAlignment="1">
      <alignment horizontal="left" vertical="center"/>
    </xf>
    <xf numFmtId="0" fontId="12" fillId="0" borderId="1" xfId="0" applyFont="1" applyFill="1" applyBorder="1" applyAlignment="1">
      <alignment horizontal="left" vertical="center" wrapText="1"/>
    </xf>
    <xf numFmtId="0" fontId="0" fillId="0" borderId="3" xfId="0" applyBorder="1"/>
    <xf numFmtId="0" fontId="0" fillId="3" borderId="3" xfId="0" applyFill="1" applyBorder="1"/>
    <xf numFmtId="0" fontId="8" fillId="0" borderId="1" xfId="1" applyFont="1" applyBorder="1" applyAlignment="1">
      <alignment horizontal="left" vertical="center" wrapText="1"/>
    </xf>
  </cellXfs>
  <cellStyles count="2">
    <cellStyle name="普通" xfId="0" builtinId="0"/>
    <cellStyle name="超链接" xfId="1" builtinId="8"/>
  </cellStyles>
  <dxfs count="74">
    <dxf>
      <font>
        <b val="0"/>
        <i val="0"/>
        <strike val="0"/>
        <condense val="0"/>
        <extend val="0"/>
        <outline val="0"/>
        <shadow val="0"/>
        <u val="none"/>
        <vertAlign val="baseline"/>
        <sz val="11"/>
        <color theme="1"/>
        <name val="微软雅黑"/>
        <scheme val="none"/>
      </font>
      <numFmt numFmtId="0" formatCode="General"/>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scheme val="none"/>
      </font>
      <numFmt numFmtId="0" formatCode="General"/>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dxf>
    <dxf>
      <border outline="0">
        <bottom style="thin">
          <color rgb="FFA0A0A0"/>
        </bottom>
      </border>
    </dxf>
    <dxf>
      <font>
        <b/>
        <i val="0"/>
        <strike val="0"/>
        <condense val="0"/>
        <extend val="0"/>
        <outline val="0"/>
        <shadow val="0"/>
        <u val="none"/>
        <vertAlign val="baseline"/>
        <sz val="11"/>
        <color rgb="FFFFFFFF"/>
        <name val="微软雅黑"/>
        <scheme val="none"/>
      </font>
      <fill>
        <patternFill patternType="solid">
          <fgColor indexed="64"/>
          <bgColor rgb="FF000000"/>
        </patternFill>
      </fill>
      <alignment horizontal="left" vertical="center" textRotation="0" wrapText="0" indent="0" justifyLastLine="0" shrinkToFit="0" readingOrder="0"/>
      <border diagonalUp="0" diagonalDown="0" outline="0">
        <left style="thin">
          <color rgb="FFA0A0A0"/>
        </left>
        <right style="thin">
          <color rgb="FFA0A0A0"/>
        </right>
        <top/>
        <bottom/>
      </border>
    </dxf>
    <dxf>
      <font>
        <color rgb="FF9C0006"/>
      </font>
      <fill>
        <patternFill>
          <fgColor indexed="64"/>
          <bgColor rgb="FFFFC7CE"/>
        </patternFill>
      </fill>
    </dxf>
    <dxf>
      <font>
        <color rgb="FF9C0006"/>
      </font>
      <fill>
        <patternFill>
          <fgColor indexed="64"/>
          <bgColor rgb="FFFFC7CE"/>
        </patternFill>
      </fill>
    </dxf>
    <dxf>
      <font>
        <b val="0"/>
        <i val="0"/>
        <strike val="0"/>
        <outline val="0"/>
        <shadow val="0"/>
        <u val="none"/>
        <vertAlign val="baseline"/>
        <sz val="11"/>
        <color theme="1"/>
        <name val="微软雅黑"/>
        <scheme val="none"/>
      </font>
      <fill>
        <patternFill patternType="none">
          <fgColor indexed="64"/>
          <bgColor indexed="65"/>
        </patternFill>
      </fill>
      <alignment horizontal="left" vertical="center" textRotation="0" wrapText="0" indent="0" justifyLastLine="0" shrinkToFit="0" readingOrder="0"/>
      <border diagonalUp="0" diagonalDown="0" outline="0">
        <left style="thin">
          <color rgb="FFA0A0A0"/>
        </left>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scheme val="none"/>
      </font>
      <numFmt numFmtId="0" formatCode="General"/>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8"/>
        <name val="微软雅黑"/>
        <scheme val="none"/>
      </font>
      <alignment horizontal="left" vertical="center" textRotation="0" wrapText="0" indent="0" justifyLastLine="0" shrinkToFit="0" readingOrder="0"/>
      <border diagonalUp="0" diagonalDown="0" outline="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dxf>
    <dxf>
      <font>
        <b/>
        <i val="0"/>
        <strike val="0"/>
        <outline val="0"/>
        <shadow val="0"/>
        <u val="none"/>
        <vertAlign val="baseline"/>
        <sz val="11"/>
        <color theme="1"/>
        <name val="微软雅黑"/>
        <scheme val="none"/>
      </font>
      <fill>
        <patternFill patternType="solid">
          <fgColor indexed="64"/>
          <bgColor rgb="FF000000"/>
        </patternFill>
      </fill>
      <alignment horizontal="left" vertical="center" textRotation="0" wrapText="0" indent="0" justifyLastLine="0" shrinkToFit="0" readingOrder="0"/>
      <border diagonalUp="0" diagonalDown="0" outline="0">
        <left style="thin">
          <color rgb="FFA0A0A0"/>
        </left>
        <right style="thin">
          <color rgb="FFA0A0A0"/>
        </right>
        <top/>
        <bottom/>
      </border>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b val="0"/>
        <i val="0"/>
        <strike val="0"/>
        <condense val="0"/>
        <extend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top style="thin">
          <color rgb="FFA0A0A0"/>
        </top>
        <bottom style="thin">
          <color rgb="FFA0A0A0"/>
        </bottom>
      </border>
    </dxf>
    <dxf>
      <font>
        <b val="0"/>
        <i val="0"/>
        <strike val="0"/>
        <condense val="0"/>
        <extend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scheme val="none"/>
      </font>
      <numFmt numFmtId="0" formatCode="General"/>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dxf>
    <dxf>
      <font>
        <b/>
        <i val="0"/>
        <strike val="0"/>
        <outline val="0"/>
        <shadow val="0"/>
        <u val="none"/>
        <vertAlign val="baseline"/>
        <sz val="11"/>
        <color rgb="FFFFFFFF"/>
        <name val="微软雅黑"/>
        <scheme val="none"/>
      </font>
      <fill>
        <patternFill patternType="solid">
          <fgColor indexed="64"/>
          <bgColor rgb="FF000000"/>
        </patternFill>
      </fill>
      <alignment horizontal="left" vertical="center" textRotation="0" indent="0" justifyLastLine="0" shrinkToFit="0" readingOrder="0"/>
      <border diagonalUp="0" diagonalDown="0" outline="0">
        <left style="thin">
          <color rgb="FFA0A0A0"/>
        </left>
        <right style="thin">
          <color rgb="FFA0A0A0"/>
        </right>
        <top/>
        <bottom/>
      </border>
    </dxf>
    <dxf>
      <font>
        <color rgb="FF9C0006"/>
      </font>
      <fill>
        <patternFill>
          <fgColor indexed="64"/>
          <bgColor rgb="FFFFC7CE"/>
        </patternFill>
      </fill>
    </dxf>
    <dxf>
      <font>
        <color rgb="FF9C0006"/>
      </font>
      <fill>
        <patternFill>
          <fgColor indexed="64"/>
          <bgColor rgb="FFFFC7CE"/>
        </patternFill>
      </fill>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scheme val="none"/>
      </font>
      <fill>
        <patternFill patternType="none">
          <fgColor indexed="64"/>
          <bgColor indexed="65"/>
        </patternFill>
      </fill>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dxf>
    <dxf>
      <font>
        <b/>
        <i val="0"/>
        <strike val="0"/>
        <outline val="0"/>
        <shadow val="0"/>
        <u val="none"/>
        <vertAlign val="baseline"/>
        <sz val="11"/>
        <color rgb="FFFFFFFF"/>
        <name val="微软雅黑"/>
        <scheme val="none"/>
      </font>
      <fill>
        <patternFill patternType="solid">
          <fgColor indexed="64"/>
          <bgColor rgb="FF000000"/>
        </patternFill>
      </fill>
      <alignment horizontal="left" vertical="center" textRotation="0" wrapText="0" indent="0" justifyLastLine="0" shrinkToFit="0" readingOrder="0"/>
      <border diagonalUp="0" diagonalDown="0" outline="0">
        <left style="thin">
          <color rgb="FFA0A0A0"/>
        </left>
        <right style="thin">
          <color rgb="FFA0A0A0"/>
        </right>
        <top/>
        <bottom/>
      </border>
    </dxf>
    <dxf>
      <font>
        <color rgb="FF9C0006"/>
      </font>
      <fill>
        <patternFill>
          <fgColor indexed="64"/>
          <bgColor rgb="FFFFC7CE"/>
        </patternFill>
      </fill>
    </dxf>
    <dxf>
      <font>
        <color rgb="FF9C0006"/>
      </font>
      <fill>
        <patternFill>
          <fgColor indexed="64"/>
          <bgColor rgb="FFFFC7CE"/>
        </patternFill>
      </fill>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dxf>
    <dxf>
      <font>
        <b/>
        <i val="0"/>
        <strike val="0"/>
        <outline val="0"/>
        <shadow val="0"/>
        <u val="none"/>
        <vertAlign val="baseline"/>
        <sz val="11"/>
        <color theme="1"/>
        <name val="微软雅黑"/>
        <scheme val="none"/>
      </font>
      <fill>
        <patternFill patternType="solid">
          <fgColor indexed="64"/>
          <bgColor rgb="FF000000"/>
        </patternFill>
      </fill>
      <alignment horizontal="left" vertical="center" textRotation="0" indent="0" justifyLastLine="0" shrinkToFit="0" readingOrder="0"/>
      <border diagonalUp="0" diagonalDown="0" outline="0">
        <left style="thin">
          <color rgb="FFA0A0A0"/>
        </left>
        <right style="thin">
          <color rgb="FFA0A0A0"/>
        </right>
        <top/>
        <bottom/>
      </border>
    </dxf>
    <dxf>
      <font>
        <color rgb="FF9C0006"/>
      </font>
      <fill>
        <patternFill>
          <fgColor indexed="64"/>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 Type="http://schemas.openxmlformats.org/officeDocument/2006/relationships/sharedStrings" Target="sharedStrings.xml"/><Relationship Id="rId12"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theme" Target="theme/theme1.xml"/><Relationship Id="rId10"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xdr:col>
      <xdr:colOff>2133600</xdr:colOff>
      <xdr:row>0</xdr:row>
      <xdr:rowOff>962026</xdr:rowOff>
    </xdr:from>
    <xdr:to>
      <xdr:col>1</xdr:col>
      <xdr:colOff>3971925</xdr:colOff>
      <xdr:row>3</xdr:row>
      <xdr:rowOff>76200</xdr:rowOff>
    </xdr:to>
    <xdr:sp macro="" textlink="">
      <xdr:nvSpPr>
        <xdr:cNvPr id="2" name="文本框 1">
          <a:extLst>
            <a:ext uri="{FF2B5EF4-FFF2-40B4-BE49-F238E27FC236}">
              <a16:creationId xmlns:a16="http://schemas.microsoft.com/office/drawing/2014/main" xmlns="" id="{50AB8786-4710-487F-A006-EBB2B659D1D0}"/>
            </a:ext>
          </a:extLst>
        </xdr:cNvPr>
        <xdr:cNvSpPr txBox="1"/>
      </xdr:nvSpPr>
      <xdr:spPr>
        <a:xfrm>
          <a:off x="2971800" y="962026"/>
          <a:ext cx="1838325" cy="5429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这是伪数据，正常情况下，技能升级后</a:t>
          </a:r>
          <a:r>
            <a:rPr lang="en-US" altLang="zh-CN" sz="1100"/>
            <a:t>ID</a:t>
          </a:r>
          <a:r>
            <a:rPr lang="zh-CN" altLang="en-US" sz="1100"/>
            <a:t>不可能相同</a:t>
          </a:r>
        </a:p>
      </xdr:txBody>
    </xdr:sp>
    <xdr:clientData/>
  </xdr:twoCellAnchor>
  <xdr:twoCellAnchor>
    <xdr:from>
      <xdr:col>5</xdr:col>
      <xdr:colOff>114300</xdr:colOff>
      <xdr:row>0</xdr:row>
      <xdr:rowOff>847725</xdr:rowOff>
    </xdr:from>
    <xdr:to>
      <xdr:col>11</xdr:col>
      <xdr:colOff>38100</xdr:colOff>
      <xdr:row>14</xdr:row>
      <xdr:rowOff>76200</xdr:rowOff>
    </xdr:to>
    <xdr:grpSp>
      <xdr:nvGrpSpPr>
        <xdr:cNvPr id="27" name="组合 26">
          <a:extLst>
            <a:ext uri="{FF2B5EF4-FFF2-40B4-BE49-F238E27FC236}">
              <a16:creationId xmlns:a16="http://schemas.microsoft.com/office/drawing/2014/main" xmlns="" id="{6A8E38F4-253B-4657-BAFA-287CDC7851D0}"/>
            </a:ext>
          </a:extLst>
        </xdr:cNvPr>
        <xdr:cNvGrpSpPr/>
      </xdr:nvGrpSpPr>
      <xdr:grpSpPr>
        <a:xfrm>
          <a:off x="11874500" y="847725"/>
          <a:ext cx="4572000" cy="2873375"/>
          <a:chOff x="5734050" y="1371600"/>
          <a:chExt cx="4038600" cy="2676525"/>
        </a:xfrm>
      </xdr:grpSpPr>
      <xdr:sp macro="" textlink="">
        <xdr:nvSpPr>
          <xdr:cNvPr id="3" name="文本框 2">
            <a:extLst>
              <a:ext uri="{FF2B5EF4-FFF2-40B4-BE49-F238E27FC236}">
                <a16:creationId xmlns:a16="http://schemas.microsoft.com/office/drawing/2014/main" xmlns="" id="{59DDC220-9B5A-491E-9110-48B915F5807E}"/>
              </a:ext>
            </a:extLst>
          </xdr:cNvPr>
          <xdr:cNvSpPr txBox="1"/>
        </xdr:nvSpPr>
        <xdr:spPr>
          <a:xfrm>
            <a:off x="5734050" y="1371600"/>
            <a:ext cx="4038600" cy="2676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该值可以为负：</a:t>
            </a:r>
            <a:endParaRPr lang="en-US" altLang="zh-CN" sz="1100"/>
          </a:p>
          <a:p>
            <a:r>
              <a:rPr lang="zh-CN" altLang="en-US" sz="1100"/>
              <a:t>某些芯片提供了很多其他高价值属性，代价是会降低某些技能点。如果负数达到某个值，同样激活技能，这种负激活的技能通常是属性向的被动技能，负数激活一般代表该技能的作用是降低某些属性。</a:t>
            </a:r>
            <a:endParaRPr lang="en-US" altLang="zh-CN" sz="1100"/>
          </a:p>
          <a:p>
            <a:endParaRPr lang="en-US" altLang="zh-CN" sz="1100"/>
          </a:p>
        </xdr:txBody>
      </xdr:sp>
      <xdr:grpSp>
        <xdr:nvGrpSpPr>
          <xdr:cNvPr id="26" name="组合 25">
            <a:extLst>
              <a:ext uri="{FF2B5EF4-FFF2-40B4-BE49-F238E27FC236}">
                <a16:creationId xmlns:a16="http://schemas.microsoft.com/office/drawing/2014/main" xmlns="" id="{9D71AB47-4268-4CD6-B28C-9D4BC96C1CBA}"/>
              </a:ext>
            </a:extLst>
          </xdr:cNvPr>
          <xdr:cNvGrpSpPr/>
        </xdr:nvGrpSpPr>
        <xdr:grpSpPr>
          <a:xfrm>
            <a:off x="5924174" y="3105150"/>
            <a:ext cx="3642790" cy="738425"/>
            <a:chOff x="5952569" y="4635800"/>
            <a:chExt cx="3644408" cy="733392"/>
          </a:xfrm>
        </xdr:grpSpPr>
        <xdr:cxnSp macro="">
          <xdr:nvCxnSpPr>
            <xdr:cNvPr id="5" name="直接连接符 4">
              <a:extLst>
                <a:ext uri="{FF2B5EF4-FFF2-40B4-BE49-F238E27FC236}">
                  <a16:creationId xmlns:a16="http://schemas.microsoft.com/office/drawing/2014/main" xmlns="" id="{AA37DD35-1851-448E-BB29-5E13220E1A68}"/>
                </a:ext>
              </a:extLst>
            </xdr:cNvPr>
            <xdr:cNvCxnSpPr/>
          </xdr:nvCxnSpPr>
          <xdr:spPr>
            <a:xfrm>
              <a:off x="6070647" y="5127325"/>
              <a:ext cx="3388435" cy="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7" name="直接连接符 6">
              <a:extLst>
                <a:ext uri="{FF2B5EF4-FFF2-40B4-BE49-F238E27FC236}">
                  <a16:creationId xmlns:a16="http://schemas.microsoft.com/office/drawing/2014/main" xmlns="" id="{EBF36A72-20FA-4F55-AA32-630DD30030D2}"/>
                </a:ext>
              </a:extLst>
            </xdr:cNvPr>
            <xdr:cNvCxnSpPr/>
          </xdr:nvCxnSpPr>
          <xdr:spPr>
            <a:xfrm rot="60000">
              <a:off x="7249963" y="5024889"/>
              <a:ext cx="0" cy="103517"/>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8" name="直接连接符 7">
              <a:extLst>
                <a:ext uri="{FF2B5EF4-FFF2-40B4-BE49-F238E27FC236}">
                  <a16:creationId xmlns:a16="http://schemas.microsoft.com/office/drawing/2014/main" xmlns="" id="{45337511-F7E9-40D3-82A8-F3E884138F7A}"/>
                </a:ext>
              </a:extLst>
            </xdr:cNvPr>
            <xdr:cNvCxnSpPr/>
          </xdr:nvCxnSpPr>
          <xdr:spPr>
            <a:xfrm rot="60000">
              <a:off x="8319845" y="5026611"/>
              <a:ext cx="0" cy="103517"/>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9" name="直接连接符 8">
              <a:extLst>
                <a:ext uri="{FF2B5EF4-FFF2-40B4-BE49-F238E27FC236}">
                  <a16:creationId xmlns:a16="http://schemas.microsoft.com/office/drawing/2014/main" xmlns="" id="{6B1936F4-4BCE-443A-83FC-D0A2B70AEFE5}"/>
                </a:ext>
              </a:extLst>
            </xdr:cNvPr>
            <xdr:cNvCxnSpPr/>
          </xdr:nvCxnSpPr>
          <xdr:spPr>
            <a:xfrm rot="60000">
              <a:off x="6134481" y="5027449"/>
              <a:ext cx="0" cy="103517"/>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0" name="直接连接符 9">
              <a:extLst>
                <a:ext uri="{FF2B5EF4-FFF2-40B4-BE49-F238E27FC236}">
                  <a16:creationId xmlns:a16="http://schemas.microsoft.com/office/drawing/2014/main" xmlns="" id="{A0556F5A-DB29-4CCC-8B41-B4C2ECBF1E30}"/>
                </a:ext>
              </a:extLst>
            </xdr:cNvPr>
            <xdr:cNvCxnSpPr/>
          </xdr:nvCxnSpPr>
          <xdr:spPr>
            <a:xfrm rot="60000">
              <a:off x="9431469" y="5024516"/>
              <a:ext cx="0" cy="103517"/>
            </a:xfrm>
            <a:prstGeom prst="line">
              <a:avLst/>
            </a:prstGeom>
          </xdr:spPr>
          <xdr:style>
            <a:lnRef idx="1">
              <a:schemeClr val="accent1"/>
            </a:lnRef>
            <a:fillRef idx="0">
              <a:schemeClr val="accent1"/>
            </a:fillRef>
            <a:effectRef idx="0">
              <a:schemeClr val="accent1"/>
            </a:effectRef>
            <a:fontRef idx="minor">
              <a:schemeClr val="tx1"/>
            </a:fontRef>
          </xdr:style>
        </xdr:cxnSp>
        <xdr:sp macro="" textlink="">
          <xdr:nvSpPr>
            <xdr:cNvPr id="11" name="文本框 10">
              <a:extLst>
                <a:ext uri="{FF2B5EF4-FFF2-40B4-BE49-F238E27FC236}">
                  <a16:creationId xmlns:a16="http://schemas.microsoft.com/office/drawing/2014/main" xmlns="" id="{DBD04541-BE79-458F-B82F-045E6D340B09}"/>
                </a:ext>
              </a:extLst>
            </xdr:cNvPr>
            <xdr:cNvSpPr txBox="1"/>
          </xdr:nvSpPr>
          <xdr:spPr>
            <a:xfrm>
              <a:off x="7666543" y="5172149"/>
              <a:ext cx="189099"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0</a:t>
              </a:r>
              <a:endParaRPr lang="zh-CN" altLang="en-US" sz="1100"/>
            </a:p>
          </xdr:txBody>
        </xdr:sp>
        <xdr:sp macro="" textlink="">
          <xdr:nvSpPr>
            <xdr:cNvPr id="14" name="文本框 13">
              <a:extLst>
                <a:ext uri="{FF2B5EF4-FFF2-40B4-BE49-F238E27FC236}">
                  <a16:creationId xmlns:a16="http://schemas.microsoft.com/office/drawing/2014/main" xmlns="" id="{D9DAF6F3-7E50-4C9C-AA93-DAE07342D71A}"/>
                </a:ext>
              </a:extLst>
            </xdr:cNvPr>
            <xdr:cNvSpPr txBox="1"/>
          </xdr:nvSpPr>
          <xdr:spPr>
            <a:xfrm>
              <a:off x="7083025" y="5166804"/>
              <a:ext cx="317561"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-2</a:t>
              </a:r>
              <a:endParaRPr lang="zh-CN" altLang="en-US" sz="1100"/>
            </a:p>
          </xdr:txBody>
        </xdr:sp>
        <xdr:sp macro="" textlink="">
          <xdr:nvSpPr>
            <xdr:cNvPr id="15" name="文本框 14">
              <a:extLst>
                <a:ext uri="{FF2B5EF4-FFF2-40B4-BE49-F238E27FC236}">
                  <a16:creationId xmlns:a16="http://schemas.microsoft.com/office/drawing/2014/main" xmlns="" id="{AE7FAFFC-FCE0-470A-AFB7-38B9BEAD4F35}"/>
                </a:ext>
              </a:extLst>
            </xdr:cNvPr>
            <xdr:cNvSpPr txBox="1"/>
          </xdr:nvSpPr>
          <xdr:spPr>
            <a:xfrm>
              <a:off x="8167120" y="5179338"/>
              <a:ext cx="317561"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2</a:t>
              </a:r>
              <a:endParaRPr lang="zh-CN" altLang="en-US" sz="1100"/>
            </a:p>
          </xdr:txBody>
        </xdr:sp>
        <xdr:sp macro="" textlink="">
          <xdr:nvSpPr>
            <xdr:cNvPr id="16" name="文本框 15">
              <a:extLst>
                <a:ext uri="{FF2B5EF4-FFF2-40B4-BE49-F238E27FC236}">
                  <a16:creationId xmlns:a16="http://schemas.microsoft.com/office/drawing/2014/main" xmlns="" id="{7E41B6E1-1016-4B0A-AA02-959806576B33}"/>
                </a:ext>
              </a:extLst>
            </xdr:cNvPr>
            <xdr:cNvSpPr txBox="1"/>
          </xdr:nvSpPr>
          <xdr:spPr>
            <a:xfrm>
              <a:off x="9279416" y="5182472"/>
              <a:ext cx="317561"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4</a:t>
              </a:r>
              <a:endParaRPr lang="zh-CN" altLang="en-US" sz="1100"/>
            </a:p>
          </xdr:txBody>
        </xdr:sp>
        <xdr:sp macro="" textlink="">
          <xdr:nvSpPr>
            <xdr:cNvPr id="17" name="文本框 16">
              <a:extLst>
                <a:ext uri="{FF2B5EF4-FFF2-40B4-BE49-F238E27FC236}">
                  <a16:creationId xmlns:a16="http://schemas.microsoft.com/office/drawing/2014/main" xmlns="" id="{EE8628A9-A5FE-450F-955E-0A4EDEB4ACBF}"/>
                </a:ext>
              </a:extLst>
            </xdr:cNvPr>
            <xdr:cNvSpPr txBox="1"/>
          </xdr:nvSpPr>
          <xdr:spPr>
            <a:xfrm>
              <a:off x="5952569" y="5163671"/>
              <a:ext cx="317561"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-4</a:t>
              </a:r>
              <a:endParaRPr lang="zh-CN" altLang="en-US" sz="1100"/>
            </a:p>
          </xdr:txBody>
        </xdr:sp>
        <xdr:sp macro="" textlink="">
          <xdr:nvSpPr>
            <xdr:cNvPr id="20" name="左大括号 19">
              <a:extLst>
                <a:ext uri="{FF2B5EF4-FFF2-40B4-BE49-F238E27FC236}">
                  <a16:creationId xmlns:a16="http://schemas.microsoft.com/office/drawing/2014/main" xmlns="" id="{7BA1BB26-D583-4438-8463-60C0A75E522C}"/>
                </a:ext>
              </a:extLst>
            </xdr:cNvPr>
            <xdr:cNvSpPr/>
          </xdr:nvSpPr>
          <xdr:spPr>
            <a:xfrm rot="5400000">
              <a:off x="7763395" y="4401520"/>
              <a:ext cx="45719" cy="1025638"/>
            </a:xfrm>
            <a:prstGeom prst="leftBrace">
              <a:avLst/>
            </a:prstGeom>
          </xdr:spPr>
          <xdr:style>
            <a:lnRef idx="1">
              <a:schemeClr val="accent2"/>
            </a:lnRef>
            <a:fillRef idx="0">
              <a:schemeClr val="accent2"/>
            </a:fillRef>
            <a:effectRef idx="0">
              <a:schemeClr val="accent2"/>
            </a:effectRef>
            <a:fontRef idx="minor">
              <a:schemeClr val="tx1"/>
            </a:fontRef>
          </xdr:style>
          <xdr:txBody>
            <a:bodyPr vertOverflow="clip" horzOverflow="clip" rtlCol="0" anchor="t"/>
            <a:lstStyle/>
            <a:p>
              <a:pPr algn="l"/>
              <a:endParaRPr lang="zh-CN" altLang="en-US" sz="1100"/>
            </a:p>
          </xdr:txBody>
        </xdr:sp>
        <xdr:sp macro="" textlink="">
          <xdr:nvSpPr>
            <xdr:cNvPr id="21" name="文本框 20">
              <a:extLst>
                <a:ext uri="{FF2B5EF4-FFF2-40B4-BE49-F238E27FC236}">
                  <a16:creationId xmlns:a16="http://schemas.microsoft.com/office/drawing/2014/main" xmlns="" id="{B8A026FB-8E02-4376-B171-29957211DC24}"/>
                </a:ext>
              </a:extLst>
            </xdr:cNvPr>
            <xdr:cNvSpPr txBox="1"/>
          </xdr:nvSpPr>
          <xdr:spPr>
            <a:xfrm>
              <a:off x="7445227" y="4656211"/>
              <a:ext cx="670152" cy="1763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CN" altLang="en-US" sz="1100"/>
                <a:t>未激活</a:t>
              </a:r>
            </a:p>
          </xdr:txBody>
        </xdr:sp>
        <xdr:sp macro="" textlink="">
          <xdr:nvSpPr>
            <xdr:cNvPr id="22" name="左大括号 21">
              <a:extLst>
                <a:ext uri="{FF2B5EF4-FFF2-40B4-BE49-F238E27FC236}">
                  <a16:creationId xmlns:a16="http://schemas.microsoft.com/office/drawing/2014/main" xmlns="" id="{674AEE90-36CB-4131-A325-83CBB11AD61E}"/>
                </a:ext>
              </a:extLst>
            </xdr:cNvPr>
            <xdr:cNvSpPr/>
          </xdr:nvSpPr>
          <xdr:spPr>
            <a:xfrm rot="5400000">
              <a:off x="8855368" y="4401521"/>
              <a:ext cx="45719" cy="1025638"/>
            </a:xfrm>
            <a:prstGeom prst="leftBrace">
              <a:avLst/>
            </a:prstGeom>
          </xdr:spPr>
          <xdr:style>
            <a:lnRef idx="1">
              <a:schemeClr val="accent2"/>
            </a:lnRef>
            <a:fillRef idx="0">
              <a:schemeClr val="accent2"/>
            </a:fillRef>
            <a:effectRef idx="0">
              <a:schemeClr val="accent2"/>
            </a:effectRef>
            <a:fontRef idx="minor">
              <a:schemeClr val="tx1"/>
            </a:fontRef>
          </xdr:style>
          <xdr:txBody>
            <a:bodyPr vertOverflow="clip" horzOverflow="clip" rtlCol="0" anchor="t"/>
            <a:lstStyle/>
            <a:p>
              <a:pPr algn="l"/>
              <a:endParaRPr lang="zh-CN" altLang="en-US" sz="1100"/>
            </a:p>
          </xdr:txBody>
        </xdr:sp>
        <xdr:sp macro="" textlink="">
          <xdr:nvSpPr>
            <xdr:cNvPr id="23" name="左大括号 22">
              <a:extLst>
                <a:ext uri="{FF2B5EF4-FFF2-40B4-BE49-F238E27FC236}">
                  <a16:creationId xmlns:a16="http://schemas.microsoft.com/office/drawing/2014/main" xmlns="" id="{D7BD1C27-410D-4B67-BD13-4BD999DE9D6A}"/>
                </a:ext>
              </a:extLst>
            </xdr:cNvPr>
            <xdr:cNvSpPr/>
          </xdr:nvSpPr>
          <xdr:spPr>
            <a:xfrm rot="5400000">
              <a:off x="6667891" y="4397991"/>
              <a:ext cx="45719" cy="1025895"/>
            </a:xfrm>
            <a:prstGeom prst="leftBrace">
              <a:avLst/>
            </a:prstGeom>
          </xdr:spPr>
          <xdr:style>
            <a:lnRef idx="1">
              <a:schemeClr val="accent2"/>
            </a:lnRef>
            <a:fillRef idx="0">
              <a:schemeClr val="accent2"/>
            </a:fillRef>
            <a:effectRef idx="0">
              <a:schemeClr val="accent2"/>
            </a:effectRef>
            <a:fontRef idx="minor">
              <a:schemeClr val="tx1"/>
            </a:fontRef>
          </xdr:style>
          <xdr:txBody>
            <a:bodyPr vertOverflow="clip" horzOverflow="clip" rtlCol="0" anchor="t"/>
            <a:lstStyle/>
            <a:p>
              <a:pPr algn="l"/>
              <a:endParaRPr lang="zh-CN" altLang="en-US" sz="1100"/>
            </a:p>
          </xdr:txBody>
        </xdr:sp>
        <xdr:sp macro="" textlink="">
          <xdr:nvSpPr>
            <xdr:cNvPr id="24" name="文本框 23">
              <a:extLst>
                <a:ext uri="{FF2B5EF4-FFF2-40B4-BE49-F238E27FC236}">
                  <a16:creationId xmlns:a16="http://schemas.microsoft.com/office/drawing/2014/main" xmlns="" id="{19222902-846D-4C32-812A-35DFDD53DBE5}"/>
                </a:ext>
              </a:extLst>
            </xdr:cNvPr>
            <xdr:cNvSpPr txBox="1"/>
          </xdr:nvSpPr>
          <xdr:spPr>
            <a:xfrm>
              <a:off x="8479369" y="4635800"/>
              <a:ext cx="748391" cy="1763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CN" altLang="en-US" sz="1100"/>
                <a:t>激活</a:t>
              </a:r>
              <a:r>
                <a:rPr lang="en-US" altLang="zh-CN" sz="1100"/>
                <a:t>1</a:t>
              </a:r>
              <a:r>
                <a:rPr lang="zh-CN" altLang="en-US" sz="1100"/>
                <a:t>级</a:t>
              </a:r>
            </a:p>
          </xdr:txBody>
        </xdr:sp>
        <xdr:sp macro="" textlink="">
          <xdr:nvSpPr>
            <xdr:cNvPr id="25" name="文本框 24">
              <a:extLst>
                <a:ext uri="{FF2B5EF4-FFF2-40B4-BE49-F238E27FC236}">
                  <a16:creationId xmlns:a16="http://schemas.microsoft.com/office/drawing/2014/main" xmlns="" id="{B8556CE8-2C1A-40E6-9880-6AFFC9170E97}"/>
                </a:ext>
              </a:extLst>
            </xdr:cNvPr>
            <xdr:cNvSpPr txBox="1"/>
          </xdr:nvSpPr>
          <xdr:spPr>
            <a:xfrm>
              <a:off x="6281558" y="4649407"/>
              <a:ext cx="748648" cy="1763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CN" altLang="en-US" sz="1100"/>
                <a:t>激活</a:t>
              </a:r>
              <a:r>
                <a:rPr lang="en-US" altLang="zh-CN" sz="1100"/>
                <a:t>-1</a:t>
              </a:r>
              <a:r>
                <a:rPr lang="zh-CN" altLang="en-US" sz="1100"/>
                <a:t>级</a:t>
              </a:r>
            </a:p>
          </xdr:txBody>
        </xdr:sp>
      </xdr:grpSp>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371475</xdr:colOff>
      <xdr:row>11</xdr:row>
      <xdr:rowOff>142876</xdr:rowOff>
    </xdr:from>
    <xdr:to>
      <xdr:col>8</xdr:col>
      <xdr:colOff>638175</xdr:colOff>
      <xdr:row>16</xdr:row>
      <xdr:rowOff>95251</xdr:rowOff>
    </xdr:to>
    <xdr:sp macro="" textlink="">
      <xdr:nvSpPr>
        <xdr:cNvPr id="2" name="矩形 1">
          <a:extLst>
            <a:ext uri="{FF2B5EF4-FFF2-40B4-BE49-F238E27FC236}">
              <a16:creationId xmlns:a16="http://schemas.microsoft.com/office/drawing/2014/main" xmlns="" id="{22D9B89F-199C-4B18-9A33-C3893BB90DA1}"/>
            </a:ext>
          </a:extLst>
        </xdr:cNvPr>
        <xdr:cNvSpPr/>
      </xdr:nvSpPr>
      <xdr:spPr>
        <a:xfrm>
          <a:off x="4486275" y="2133601"/>
          <a:ext cx="1638300" cy="8572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随时间流逝，增加</a:t>
          </a:r>
          <a:r>
            <a:rPr lang="en-US" altLang="zh-CN" sz="1100"/>
            <a:t>CD</a:t>
          </a:r>
          <a:r>
            <a:rPr lang="zh-CN" altLang="en-US" sz="1100"/>
            <a:t>时间</a:t>
          </a:r>
        </a:p>
      </xdr:txBody>
    </xdr:sp>
    <xdr:clientData/>
  </xdr:twoCellAnchor>
  <xdr:twoCellAnchor>
    <xdr:from>
      <xdr:col>10</xdr:col>
      <xdr:colOff>371475</xdr:colOff>
      <xdr:row>32</xdr:row>
      <xdr:rowOff>114301</xdr:rowOff>
    </xdr:from>
    <xdr:to>
      <xdr:col>12</xdr:col>
      <xdr:colOff>638175</xdr:colOff>
      <xdr:row>37</xdr:row>
      <xdr:rowOff>66676</xdr:rowOff>
    </xdr:to>
    <xdr:sp macro="" textlink="">
      <xdr:nvSpPr>
        <xdr:cNvPr id="3" name="矩形 2">
          <a:extLst>
            <a:ext uri="{FF2B5EF4-FFF2-40B4-BE49-F238E27FC236}">
              <a16:creationId xmlns:a16="http://schemas.microsoft.com/office/drawing/2014/main" xmlns="" id="{B6515C8F-B8CC-4A01-88E3-590D867A3285}"/>
            </a:ext>
          </a:extLst>
        </xdr:cNvPr>
        <xdr:cNvSpPr/>
      </xdr:nvSpPr>
      <xdr:spPr>
        <a:xfrm>
          <a:off x="7229475" y="5905501"/>
          <a:ext cx="1638300" cy="8572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消耗</a:t>
          </a:r>
          <a:r>
            <a:rPr lang="en-US" altLang="zh-CN" sz="1100"/>
            <a:t>1</a:t>
          </a:r>
          <a:r>
            <a:rPr lang="zh-CN" altLang="en-US" sz="1100"/>
            <a:t>个</a:t>
          </a:r>
          <a:r>
            <a:rPr lang="en-US" altLang="zh-CN" sz="1100"/>
            <a:t>CD</a:t>
          </a:r>
          <a:r>
            <a:rPr lang="zh-CN" altLang="en-US" sz="1100"/>
            <a:t>攻击此目标</a:t>
          </a:r>
        </a:p>
      </xdr:txBody>
    </xdr:sp>
    <xdr:clientData/>
  </xdr:twoCellAnchor>
  <xdr:twoCellAnchor>
    <xdr:from>
      <xdr:col>6</xdr:col>
      <xdr:colOff>314325</xdr:colOff>
      <xdr:row>21</xdr:row>
      <xdr:rowOff>19050</xdr:rowOff>
    </xdr:from>
    <xdr:to>
      <xdr:col>9</xdr:col>
      <xdr:colOff>9525</xdr:colOff>
      <xdr:row>27</xdr:row>
      <xdr:rowOff>95250</xdr:rowOff>
    </xdr:to>
    <xdr:sp macro="" textlink="">
      <xdr:nvSpPr>
        <xdr:cNvPr id="4" name="菱形 3">
          <a:extLst>
            <a:ext uri="{FF2B5EF4-FFF2-40B4-BE49-F238E27FC236}">
              <a16:creationId xmlns:a16="http://schemas.microsoft.com/office/drawing/2014/main" xmlns="" id="{6743A7B9-9582-4A3E-804F-014DD386FDD1}"/>
            </a:ext>
          </a:extLst>
        </xdr:cNvPr>
        <xdr:cNvSpPr/>
      </xdr:nvSpPr>
      <xdr:spPr>
        <a:xfrm>
          <a:off x="4429125" y="3819525"/>
          <a:ext cx="1752600" cy="1162050"/>
        </a:xfrm>
        <a:prstGeom prst="diamond">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CD </a:t>
          </a:r>
          <a:r>
            <a:rPr lang="zh-CN" altLang="en-US" sz="1100"/>
            <a:t>完毕？</a:t>
          </a:r>
        </a:p>
      </xdr:txBody>
    </xdr:sp>
    <xdr:clientData/>
  </xdr:twoCellAnchor>
  <xdr:twoCellAnchor>
    <xdr:from>
      <xdr:col>6</xdr:col>
      <xdr:colOff>314325</xdr:colOff>
      <xdr:row>31</xdr:row>
      <xdr:rowOff>142875</xdr:rowOff>
    </xdr:from>
    <xdr:to>
      <xdr:col>9</xdr:col>
      <xdr:colOff>9525</xdr:colOff>
      <xdr:row>38</xdr:row>
      <xdr:rowOff>38100</xdr:rowOff>
    </xdr:to>
    <xdr:sp macro="" textlink="">
      <xdr:nvSpPr>
        <xdr:cNvPr id="5" name="菱形 4">
          <a:extLst>
            <a:ext uri="{FF2B5EF4-FFF2-40B4-BE49-F238E27FC236}">
              <a16:creationId xmlns:a16="http://schemas.microsoft.com/office/drawing/2014/main" xmlns="" id="{FDA65C30-1201-4389-AC05-2DA937B316C7}"/>
            </a:ext>
          </a:extLst>
        </xdr:cNvPr>
        <xdr:cNvSpPr/>
      </xdr:nvSpPr>
      <xdr:spPr>
        <a:xfrm>
          <a:off x="4429125" y="5753100"/>
          <a:ext cx="1752600" cy="1162050"/>
        </a:xfrm>
        <a:prstGeom prst="diamond">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是否有合法目标？</a:t>
          </a:r>
        </a:p>
      </xdr:txBody>
    </xdr:sp>
    <xdr:clientData/>
  </xdr:twoCellAnchor>
  <xdr:twoCellAnchor>
    <xdr:from>
      <xdr:col>7</xdr:col>
      <xdr:colOff>504825</xdr:colOff>
      <xdr:row>16</xdr:row>
      <xdr:rowOff>95251</xdr:rowOff>
    </xdr:from>
    <xdr:to>
      <xdr:col>7</xdr:col>
      <xdr:colOff>504825</xdr:colOff>
      <xdr:row>21</xdr:row>
      <xdr:rowOff>19050</xdr:rowOff>
    </xdr:to>
    <xdr:cxnSp macro="">
      <xdr:nvCxnSpPr>
        <xdr:cNvPr id="7" name="直接箭头连接符 6">
          <a:extLst>
            <a:ext uri="{FF2B5EF4-FFF2-40B4-BE49-F238E27FC236}">
              <a16:creationId xmlns:a16="http://schemas.microsoft.com/office/drawing/2014/main" xmlns="" id="{CFF77338-EEA4-4A39-8FF4-3E4AA5CC58BD}"/>
            </a:ext>
          </a:extLst>
        </xdr:cNvPr>
        <xdr:cNvCxnSpPr>
          <a:stCxn id="2" idx="2"/>
          <a:endCxn id="4" idx="0"/>
        </xdr:cNvCxnSpPr>
      </xdr:nvCxnSpPr>
      <xdr:spPr>
        <a:xfrm>
          <a:off x="5305425" y="2990851"/>
          <a:ext cx="0" cy="82867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504825</xdr:colOff>
      <xdr:row>27</xdr:row>
      <xdr:rowOff>95250</xdr:rowOff>
    </xdr:from>
    <xdr:to>
      <xdr:col>7</xdr:col>
      <xdr:colOff>504825</xdr:colOff>
      <xdr:row>31</xdr:row>
      <xdr:rowOff>142875</xdr:rowOff>
    </xdr:to>
    <xdr:cxnSp macro="">
      <xdr:nvCxnSpPr>
        <xdr:cNvPr id="9" name="直接箭头连接符 8">
          <a:extLst>
            <a:ext uri="{FF2B5EF4-FFF2-40B4-BE49-F238E27FC236}">
              <a16:creationId xmlns:a16="http://schemas.microsoft.com/office/drawing/2014/main" xmlns="" id="{CE8072D0-CC09-433C-A702-CD70FDCF15CC}"/>
            </a:ext>
          </a:extLst>
        </xdr:cNvPr>
        <xdr:cNvCxnSpPr>
          <a:stCxn id="4" idx="2"/>
          <a:endCxn id="5" idx="0"/>
        </xdr:cNvCxnSpPr>
      </xdr:nvCxnSpPr>
      <xdr:spPr>
        <a:xfrm>
          <a:off x="5305425" y="4981575"/>
          <a:ext cx="0" cy="771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35</xdr:row>
      <xdr:rowOff>0</xdr:rowOff>
    </xdr:from>
    <xdr:to>
      <xdr:col>10</xdr:col>
      <xdr:colOff>371475</xdr:colOff>
      <xdr:row>35</xdr:row>
      <xdr:rowOff>1</xdr:rowOff>
    </xdr:to>
    <xdr:cxnSp macro="">
      <xdr:nvCxnSpPr>
        <xdr:cNvPr id="12" name="直接箭头连接符 11">
          <a:extLst>
            <a:ext uri="{FF2B5EF4-FFF2-40B4-BE49-F238E27FC236}">
              <a16:creationId xmlns:a16="http://schemas.microsoft.com/office/drawing/2014/main" xmlns="" id="{D68AF91F-5798-48BA-B214-EC22783FE7F9}"/>
            </a:ext>
          </a:extLst>
        </xdr:cNvPr>
        <xdr:cNvCxnSpPr>
          <a:stCxn id="5" idx="3"/>
          <a:endCxn id="3" idx="1"/>
        </xdr:cNvCxnSpPr>
      </xdr:nvCxnSpPr>
      <xdr:spPr>
        <a:xfrm>
          <a:off x="6181725" y="6334125"/>
          <a:ext cx="1047750" cy="1"/>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85725</xdr:colOff>
      <xdr:row>33</xdr:row>
      <xdr:rowOff>161925</xdr:rowOff>
    </xdr:from>
    <xdr:to>
      <xdr:col>9</xdr:col>
      <xdr:colOff>438150</xdr:colOff>
      <xdr:row>35</xdr:row>
      <xdr:rowOff>19051</xdr:rowOff>
    </xdr:to>
    <xdr:sp macro="" textlink="">
      <xdr:nvSpPr>
        <xdr:cNvPr id="15" name="文本框 14">
          <a:extLst>
            <a:ext uri="{FF2B5EF4-FFF2-40B4-BE49-F238E27FC236}">
              <a16:creationId xmlns:a16="http://schemas.microsoft.com/office/drawing/2014/main" xmlns="" id="{9002FB93-0C5C-4350-82B1-EA92DAA8BB27}"/>
            </a:ext>
          </a:extLst>
        </xdr:cNvPr>
        <xdr:cNvSpPr txBox="1"/>
      </xdr:nvSpPr>
      <xdr:spPr>
        <a:xfrm>
          <a:off x="6257925" y="6134100"/>
          <a:ext cx="352425"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Y</a:t>
          </a:r>
          <a:endParaRPr lang="zh-CN" altLang="en-US" sz="1100"/>
        </a:p>
      </xdr:txBody>
    </xdr:sp>
    <xdr:clientData/>
  </xdr:twoCellAnchor>
  <xdr:twoCellAnchor>
    <xdr:from>
      <xdr:col>10</xdr:col>
      <xdr:colOff>371475</xdr:colOff>
      <xdr:row>20</xdr:row>
      <xdr:rowOff>47625</xdr:rowOff>
    </xdr:from>
    <xdr:to>
      <xdr:col>12</xdr:col>
      <xdr:colOff>638175</xdr:colOff>
      <xdr:row>31</xdr:row>
      <xdr:rowOff>104776</xdr:rowOff>
    </xdr:to>
    <xdr:sp macro="" textlink="">
      <xdr:nvSpPr>
        <xdr:cNvPr id="17" name="矩形 16">
          <a:extLst>
            <a:ext uri="{FF2B5EF4-FFF2-40B4-BE49-F238E27FC236}">
              <a16:creationId xmlns:a16="http://schemas.microsoft.com/office/drawing/2014/main" xmlns="" id="{510EE296-6065-4C1B-8DD2-7C8EE3B96BED}"/>
            </a:ext>
          </a:extLst>
        </xdr:cNvPr>
        <xdr:cNvSpPr/>
      </xdr:nvSpPr>
      <xdr:spPr>
        <a:xfrm>
          <a:off x="7229475" y="3667125"/>
          <a:ext cx="1638300" cy="204787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技能释放过程并不是瞬时完成的，该过程中，玩家可能还在移动，而且如果技能演义时间够长的话，很可能一个移动会累积</a:t>
          </a:r>
          <a:r>
            <a:rPr lang="en-US" altLang="zh-CN" sz="1100"/>
            <a:t>N</a:t>
          </a:r>
          <a:r>
            <a:rPr lang="zh-CN" altLang="en-US" sz="1100"/>
            <a:t>个</a:t>
          </a:r>
          <a:r>
            <a:rPr lang="en-US" altLang="zh-CN" sz="1100"/>
            <a:t>CD</a:t>
          </a:r>
          <a:endParaRPr lang="zh-CN" altLang="en-US" sz="1100"/>
        </a:p>
      </xdr:txBody>
    </xdr:sp>
    <xdr:clientData/>
  </xdr:twoCellAnchor>
  <xdr:twoCellAnchor>
    <xdr:from>
      <xdr:col>6</xdr:col>
      <xdr:colOff>314325</xdr:colOff>
      <xdr:row>14</xdr:row>
      <xdr:rowOff>28576</xdr:rowOff>
    </xdr:from>
    <xdr:to>
      <xdr:col>6</xdr:col>
      <xdr:colOff>371475</xdr:colOff>
      <xdr:row>24</xdr:row>
      <xdr:rowOff>57150</xdr:rowOff>
    </xdr:to>
    <xdr:cxnSp macro="">
      <xdr:nvCxnSpPr>
        <xdr:cNvPr id="20" name="连接符: 肘形 19">
          <a:extLst>
            <a:ext uri="{FF2B5EF4-FFF2-40B4-BE49-F238E27FC236}">
              <a16:creationId xmlns:a16="http://schemas.microsoft.com/office/drawing/2014/main" xmlns="" id="{42951F5A-6928-4E93-AFB6-CEA53C2950BB}"/>
            </a:ext>
          </a:extLst>
        </xdr:cNvPr>
        <xdr:cNvCxnSpPr>
          <a:stCxn id="4" idx="1"/>
          <a:endCxn id="2" idx="1"/>
        </xdr:cNvCxnSpPr>
      </xdr:nvCxnSpPr>
      <xdr:spPr>
        <a:xfrm rot="10800000" flipH="1">
          <a:off x="4429125" y="2562226"/>
          <a:ext cx="57150" cy="1838324"/>
        </a:xfrm>
        <a:prstGeom prst="bentConnector3">
          <a:avLst>
            <a:gd name="adj1" fmla="val -400000"/>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209550</xdr:colOff>
      <xdr:row>27</xdr:row>
      <xdr:rowOff>161925</xdr:rowOff>
    </xdr:from>
    <xdr:to>
      <xdr:col>7</xdr:col>
      <xdr:colOff>561975</xdr:colOff>
      <xdr:row>29</xdr:row>
      <xdr:rowOff>19051</xdr:rowOff>
    </xdr:to>
    <xdr:sp macro="" textlink="">
      <xdr:nvSpPr>
        <xdr:cNvPr id="21" name="文本框 20">
          <a:extLst>
            <a:ext uri="{FF2B5EF4-FFF2-40B4-BE49-F238E27FC236}">
              <a16:creationId xmlns:a16="http://schemas.microsoft.com/office/drawing/2014/main" xmlns="" id="{EBD84A7B-DB56-4222-B572-4223FAF3A72F}"/>
            </a:ext>
          </a:extLst>
        </xdr:cNvPr>
        <xdr:cNvSpPr txBox="1"/>
      </xdr:nvSpPr>
      <xdr:spPr>
        <a:xfrm>
          <a:off x="5010150" y="5048250"/>
          <a:ext cx="352425"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Y</a:t>
          </a:r>
          <a:endParaRPr lang="zh-CN" altLang="en-US" sz="1100"/>
        </a:p>
      </xdr:txBody>
    </xdr:sp>
    <xdr:clientData/>
  </xdr:twoCellAnchor>
  <xdr:twoCellAnchor>
    <xdr:from>
      <xdr:col>5</xdr:col>
      <xdr:colOff>638175</xdr:colOff>
      <xdr:row>22</xdr:row>
      <xdr:rowOff>66675</xdr:rowOff>
    </xdr:from>
    <xdr:to>
      <xdr:col>6</xdr:col>
      <xdr:colOff>304800</xdr:colOff>
      <xdr:row>23</xdr:row>
      <xdr:rowOff>104776</xdr:rowOff>
    </xdr:to>
    <xdr:sp macro="" textlink="">
      <xdr:nvSpPr>
        <xdr:cNvPr id="22" name="文本框 21">
          <a:extLst>
            <a:ext uri="{FF2B5EF4-FFF2-40B4-BE49-F238E27FC236}">
              <a16:creationId xmlns:a16="http://schemas.microsoft.com/office/drawing/2014/main" xmlns="" id="{17C14973-288E-4F46-8ED3-3326715508AD}"/>
            </a:ext>
          </a:extLst>
        </xdr:cNvPr>
        <xdr:cNvSpPr txBox="1"/>
      </xdr:nvSpPr>
      <xdr:spPr>
        <a:xfrm>
          <a:off x="4067175" y="4048125"/>
          <a:ext cx="352425"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N</a:t>
          </a:r>
          <a:endParaRPr lang="zh-CN" altLang="en-US" sz="1100"/>
        </a:p>
      </xdr:txBody>
    </xdr:sp>
    <xdr:clientData/>
  </xdr:twoCellAnchor>
  <xdr:twoCellAnchor>
    <xdr:from>
      <xdr:col>3</xdr:col>
      <xdr:colOff>581025</xdr:colOff>
      <xdr:row>29</xdr:row>
      <xdr:rowOff>104776</xdr:rowOff>
    </xdr:from>
    <xdr:to>
      <xdr:col>7</xdr:col>
      <xdr:colOff>485778</xdr:colOff>
      <xdr:row>30</xdr:row>
      <xdr:rowOff>47626</xdr:rowOff>
    </xdr:to>
    <xdr:cxnSp macro="">
      <xdr:nvCxnSpPr>
        <xdr:cNvPr id="24" name="连接符: 肘形 23">
          <a:extLst>
            <a:ext uri="{FF2B5EF4-FFF2-40B4-BE49-F238E27FC236}">
              <a16:creationId xmlns:a16="http://schemas.microsoft.com/office/drawing/2014/main" xmlns="" id="{495FB64B-B0A6-49BB-8B61-4019272386A9}"/>
            </a:ext>
          </a:extLst>
        </xdr:cNvPr>
        <xdr:cNvCxnSpPr>
          <a:stCxn id="46" idx="0"/>
        </xdr:cNvCxnSpPr>
      </xdr:nvCxnSpPr>
      <xdr:spPr>
        <a:xfrm rot="5400000" flipH="1" flipV="1">
          <a:off x="3900489" y="4090987"/>
          <a:ext cx="123825" cy="2647953"/>
        </a:xfrm>
        <a:prstGeom prst="bentConnector2">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25</xdr:row>
      <xdr:rowOff>166688</xdr:rowOff>
    </xdr:from>
    <xdr:to>
      <xdr:col>10</xdr:col>
      <xdr:colOff>371475</xdr:colOff>
      <xdr:row>35</xdr:row>
      <xdr:rowOff>0</xdr:rowOff>
    </xdr:to>
    <xdr:cxnSp macro="">
      <xdr:nvCxnSpPr>
        <xdr:cNvPr id="33" name="直接箭头连接符 32">
          <a:extLst>
            <a:ext uri="{FF2B5EF4-FFF2-40B4-BE49-F238E27FC236}">
              <a16:creationId xmlns:a16="http://schemas.microsoft.com/office/drawing/2014/main" xmlns="" id="{A3E640AC-B027-4CB7-850F-8194612F72A6}"/>
            </a:ext>
          </a:extLst>
        </xdr:cNvPr>
        <xdr:cNvCxnSpPr>
          <a:stCxn id="5" idx="3"/>
          <a:endCxn id="17" idx="1"/>
        </xdr:cNvCxnSpPr>
      </xdr:nvCxnSpPr>
      <xdr:spPr>
        <a:xfrm flipV="1">
          <a:off x="6181725" y="4691063"/>
          <a:ext cx="1047750" cy="1643062"/>
        </a:xfrm>
        <a:prstGeom prst="straightConnector1">
          <a:avLst/>
        </a:prstGeom>
        <a:ln>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638176</xdr:colOff>
      <xdr:row>14</xdr:row>
      <xdr:rowOff>28576</xdr:rowOff>
    </xdr:from>
    <xdr:to>
      <xdr:col>11</xdr:col>
      <xdr:colOff>504826</xdr:colOff>
      <xdr:row>20</xdr:row>
      <xdr:rowOff>47625</xdr:rowOff>
    </xdr:to>
    <xdr:cxnSp macro="">
      <xdr:nvCxnSpPr>
        <xdr:cNvPr id="35" name="连接符: 肘形 34">
          <a:extLst>
            <a:ext uri="{FF2B5EF4-FFF2-40B4-BE49-F238E27FC236}">
              <a16:creationId xmlns:a16="http://schemas.microsoft.com/office/drawing/2014/main" xmlns="" id="{096780E8-A92E-4BFB-8C99-93F4AE7A92F6}"/>
            </a:ext>
          </a:extLst>
        </xdr:cNvPr>
        <xdr:cNvCxnSpPr>
          <a:stCxn id="17" idx="0"/>
          <a:endCxn id="2" idx="3"/>
        </xdr:cNvCxnSpPr>
      </xdr:nvCxnSpPr>
      <xdr:spPr>
        <a:xfrm rot="16200000" flipV="1">
          <a:off x="6534151" y="2152651"/>
          <a:ext cx="1104899" cy="1924050"/>
        </a:xfrm>
        <a:prstGeom prst="bentConnector2">
          <a:avLst/>
        </a:prstGeom>
        <a:ln>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504825</xdr:colOff>
      <xdr:row>9</xdr:row>
      <xdr:rowOff>114300</xdr:rowOff>
    </xdr:from>
    <xdr:to>
      <xdr:col>7</xdr:col>
      <xdr:colOff>504825</xdr:colOff>
      <xdr:row>11</xdr:row>
      <xdr:rowOff>142876</xdr:rowOff>
    </xdr:to>
    <xdr:cxnSp macro="">
      <xdr:nvCxnSpPr>
        <xdr:cNvPr id="38" name="直接箭头连接符 37">
          <a:extLst>
            <a:ext uri="{FF2B5EF4-FFF2-40B4-BE49-F238E27FC236}">
              <a16:creationId xmlns:a16="http://schemas.microsoft.com/office/drawing/2014/main" xmlns="" id="{BE5C9957-59E6-4A96-8ECE-326F6E48AE1E}"/>
            </a:ext>
          </a:extLst>
        </xdr:cNvPr>
        <xdr:cNvCxnSpPr>
          <a:endCxn id="2" idx="0"/>
        </xdr:cNvCxnSpPr>
      </xdr:nvCxnSpPr>
      <xdr:spPr>
        <a:xfrm>
          <a:off x="5305425" y="1743075"/>
          <a:ext cx="0" cy="39052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447675</xdr:colOff>
      <xdr:row>30</xdr:row>
      <xdr:rowOff>47625</xdr:rowOff>
    </xdr:from>
    <xdr:to>
      <xdr:col>5</xdr:col>
      <xdr:colOff>28575</xdr:colOff>
      <xdr:row>39</xdr:row>
      <xdr:rowOff>142874</xdr:rowOff>
    </xdr:to>
    <xdr:sp macro="" textlink="">
      <xdr:nvSpPr>
        <xdr:cNvPr id="46" name="矩形 45">
          <a:extLst>
            <a:ext uri="{FF2B5EF4-FFF2-40B4-BE49-F238E27FC236}">
              <a16:creationId xmlns:a16="http://schemas.microsoft.com/office/drawing/2014/main" xmlns="" id="{A7F2F9FC-2B76-4ADB-A06C-AB848EA69E68}"/>
            </a:ext>
          </a:extLst>
        </xdr:cNvPr>
        <xdr:cNvSpPr/>
      </xdr:nvSpPr>
      <xdr:spPr>
        <a:xfrm>
          <a:off x="1819275" y="5476875"/>
          <a:ext cx="1638300" cy="17240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zh-CN" altLang="en-US" sz="1100"/>
            <a:t>如果</a:t>
          </a:r>
          <a:r>
            <a:rPr lang="en-US" altLang="zh-CN" sz="1100"/>
            <a:t>CD</a:t>
          </a:r>
          <a:r>
            <a:rPr lang="zh-CN" altLang="en-US" sz="1100"/>
            <a:t>累积大于</a:t>
          </a:r>
          <a:r>
            <a:rPr lang="en-US" altLang="zh-CN" sz="1100"/>
            <a:t>1</a:t>
          </a:r>
          <a:r>
            <a:rPr lang="zh-CN" altLang="en-US" sz="1100"/>
            <a:t>，使其恢复到</a:t>
          </a:r>
          <a:r>
            <a:rPr lang="en-US" altLang="zh-CN" sz="1100"/>
            <a:t>1</a:t>
          </a:r>
          <a:r>
            <a:rPr lang="zh-CN" altLang="en-US" sz="1100"/>
            <a:t>。</a:t>
          </a:r>
          <a:endParaRPr lang="en-US" altLang="zh-CN" sz="1100"/>
        </a:p>
        <a:p>
          <a:pPr algn="l"/>
          <a:r>
            <a:rPr lang="zh-CN" altLang="en-US" sz="1100"/>
            <a:t>这种情况通常出现在演义时间过长的技能上，因为一次长距离移动，可能累积了</a:t>
          </a:r>
          <a:r>
            <a:rPr lang="en-US" altLang="zh-CN" sz="1100"/>
            <a:t>N</a:t>
          </a:r>
          <a:r>
            <a:rPr lang="zh-CN" altLang="en-US" sz="1100"/>
            <a:t>个</a:t>
          </a:r>
          <a:r>
            <a:rPr lang="en-US" altLang="zh-CN" sz="1100"/>
            <a:t>CD</a:t>
          </a:r>
          <a:r>
            <a:rPr lang="zh-CN" altLang="en-US" sz="1100"/>
            <a:t>，但是在</a:t>
          </a:r>
          <a:r>
            <a:rPr lang="en-US" altLang="zh-CN" sz="1100"/>
            <a:t>CD</a:t>
          </a:r>
          <a:r>
            <a:rPr lang="zh-CN" altLang="en-US" sz="1100"/>
            <a:t>用光之前怪物死亡了。</a:t>
          </a:r>
        </a:p>
      </xdr:txBody>
    </xdr:sp>
    <xdr:clientData/>
  </xdr:twoCellAnchor>
  <xdr:twoCellAnchor>
    <xdr:from>
      <xdr:col>5</xdr:col>
      <xdr:colOff>28575</xdr:colOff>
      <xdr:row>35</xdr:row>
      <xdr:rowOff>0</xdr:rowOff>
    </xdr:from>
    <xdr:to>
      <xdr:col>6</xdr:col>
      <xdr:colOff>314325</xdr:colOff>
      <xdr:row>35</xdr:row>
      <xdr:rowOff>4762</xdr:rowOff>
    </xdr:to>
    <xdr:cxnSp macro="">
      <xdr:nvCxnSpPr>
        <xdr:cNvPr id="49" name="直接箭头连接符 48">
          <a:extLst>
            <a:ext uri="{FF2B5EF4-FFF2-40B4-BE49-F238E27FC236}">
              <a16:creationId xmlns:a16="http://schemas.microsoft.com/office/drawing/2014/main" xmlns="" id="{6FF2F9A7-0ED8-4835-BF1A-3E8B7AC2B28C}"/>
            </a:ext>
          </a:extLst>
        </xdr:cNvPr>
        <xdr:cNvCxnSpPr>
          <a:stCxn id="5" idx="1"/>
          <a:endCxn id="46" idx="3"/>
        </xdr:cNvCxnSpPr>
      </xdr:nvCxnSpPr>
      <xdr:spPr>
        <a:xfrm flipH="1">
          <a:off x="3457575" y="6334125"/>
          <a:ext cx="971550" cy="4762"/>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638175</xdr:colOff>
      <xdr:row>34</xdr:row>
      <xdr:rowOff>0</xdr:rowOff>
    </xdr:from>
    <xdr:to>
      <xdr:col>6</xdr:col>
      <xdr:colOff>304800</xdr:colOff>
      <xdr:row>35</xdr:row>
      <xdr:rowOff>38101</xdr:rowOff>
    </xdr:to>
    <xdr:sp macro="" textlink="">
      <xdr:nvSpPr>
        <xdr:cNvPr id="54" name="文本框 53">
          <a:extLst>
            <a:ext uri="{FF2B5EF4-FFF2-40B4-BE49-F238E27FC236}">
              <a16:creationId xmlns:a16="http://schemas.microsoft.com/office/drawing/2014/main" xmlns="" id="{F0D0C5B8-1EB3-46C8-9CEF-87B955B8101F}"/>
            </a:ext>
          </a:extLst>
        </xdr:cNvPr>
        <xdr:cNvSpPr txBox="1"/>
      </xdr:nvSpPr>
      <xdr:spPr>
        <a:xfrm>
          <a:off x="4067175" y="6153150"/>
          <a:ext cx="352425"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N</a:t>
          </a:r>
          <a:endParaRPr lang="zh-CN" altLang="en-US" sz="1100"/>
        </a:p>
      </xdr:txBody>
    </xdr:sp>
    <xdr:clientData/>
  </xdr:twoCellAnchor>
</xdr:wsDr>
</file>

<file path=xl/tables/table1.xml><?xml version="1.0" encoding="utf-8"?>
<table xmlns="http://schemas.openxmlformats.org/spreadsheetml/2006/main" id="2" name="表2" displayName="表2" ref="A3:C48" totalsRowShown="0" headerRowDxfId="72" dataDxfId="71">
  <autoFilter ref="A3:C48"/>
  <tableColumns count="3">
    <tableColumn id="1" name="id" dataDxfId="70"/>
    <tableColumn id="2" name="skillIds" dataDxfId="69"/>
    <tableColumn id="4" name="characterActivate" dataDxfId="68"/>
  </tableColumns>
  <tableStyleInfo name="TableStyleMedium1" showFirstColumn="0" showLastColumn="0" showRowStripes="1" showColumnStripes="0"/>
</table>
</file>

<file path=xl/tables/table2.xml><?xml version="1.0" encoding="utf-8"?>
<table xmlns="http://schemas.openxmlformats.org/spreadsheetml/2006/main" id="1" name="表1" displayName="表1" ref="A3:U51" totalsRowShown="0" headerRowDxfId="65" dataDxfId="64">
  <autoFilter ref="A3:U51"/>
  <tableColumns count="21">
    <tableColumn id="1" name="id" dataDxfId="63"/>
    <tableColumn id="2" name="name" dataDxfId="62"/>
    <tableColumn id="3" name="describe" dataDxfId="61"/>
    <tableColumn id="17" name="icon" dataDxfId="0">
      <calculatedColumnFormula>"Skill_Main_"&amp;T+D7EXT(X4,"0000")+D2+表1[[#Headers],[icon]]+表1[[#Headers],[icon]]+表1[[#Headers],[icon]]</calculatedColumnFormula>
    </tableColumn>
    <tableColumn id="5" name="targetType" dataDxfId="60"/>
    <tableColumn id="11" name="targetLimit" dataDxfId="59"/>
    <tableColumn id="12" name="multipleType" dataDxfId="58"/>
    <tableColumn id="13" name="targetArg" dataDxfId="57"/>
    <tableColumn id="4" name="effect_fly" dataDxfId="56"/>
    <tableColumn id="14" name="effect_hit" dataDxfId="55"/>
    <tableColumn id="6" name="carry" dataDxfId="54"/>
    <tableColumn id="18" name="damageType" dataDxfId="53"/>
    <tableColumn id="9" name="damage" dataDxfId="52"/>
    <tableColumn id="7" name="successRate" dataDxfId="51"/>
    <tableColumn id="19" name="specialEffects" dataDxfId="50"/>
    <tableColumn id="21" name="phase" dataDxfId="49"/>
    <tableColumn id="20" name="activeSkillArgs" dataDxfId="48"/>
    <tableColumn id="10" name="stuffCost" dataDxfId="47"/>
    <tableColumn id="15" name="costTime" dataDxfId="46"/>
    <tableColumn id="16" name="usePower" dataDxfId="45"/>
    <tableColumn id="8" name="coolDown" dataDxfId="44"/>
  </tableColumns>
  <tableStyleInfo name="TableStyleMedium1" showFirstColumn="0" showLastColumn="0" showRowStripes="1" showColumnStripes="0"/>
</table>
</file>

<file path=xl/tables/table3.xml><?xml version="1.0" encoding="utf-8"?>
<table xmlns="http://schemas.openxmlformats.org/spreadsheetml/2006/main" id="4" name="表4" displayName="表4" ref="A3:K8" totalsRowShown="0" headerRowDxfId="41" dataDxfId="40">
  <autoFilter ref="A3:K8"/>
  <tableColumns count="11">
    <tableColumn id="1" name="id" dataDxfId="39"/>
    <tableColumn id="2" name="name" dataDxfId="38"/>
    <tableColumn id="3" name="describe" dataDxfId="37"/>
    <tableColumn id="8" name="icon" dataDxfId="36">
      <calculatedColumnFormula>"Skill_Summon_"&amp;TEXT(M4,"0000")</calculatedColumnFormula>
    </tableColumn>
    <tableColumn id="4" name="targetType" dataDxfId="35"/>
    <tableColumn id="10" name="carry" dataDxfId="34"/>
    <tableColumn id="6" name="prefab2" dataDxfId="33"/>
    <tableColumn id="5" name="stuffCost" dataDxfId="32"/>
    <tableColumn id="7" name="costTime" dataDxfId="31"/>
    <tableColumn id="12" name="specialAction" dataDxfId="30"/>
    <tableColumn id="13" name="arg" dataDxfId="29"/>
  </tableColumns>
  <tableStyleInfo name="TableStyleMedium1" showFirstColumn="0" showLastColumn="0" showRowStripes="1" showColumnStripes="0"/>
</table>
</file>

<file path=xl/tables/table4.xml><?xml version="1.0" encoding="utf-8"?>
<table xmlns="http://schemas.openxmlformats.org/spreadsheetml/2006/main" id="3" name="表3" displayName="表3" ref="A3:F76" totalsRowShown="0" headerRowDxfId="25" dataDxfId="24">
  <autoFilter ref="A3:F76"/>
  <sortState ref="A4:F76">
    <sortCondition ref="A3:A76"/>
  </sortState>
  <tableColumns count="6">
    <tableColumn id="1" name="id" dataDxfId="23"/>
    <tableColumn id="2" name="name" dataDxfId="22"/>
    <tableColumn id="3" name="describe" dataDxfId="21"/>
    <tableColumn id="6" name="icon" dataDxfId="20">
      <calculatedColumnFormula>"Skill_Passive_"&amp;TEXT(H4,"0000")</calculatedColumnFormula>
    </tableColumn>
    <tableColumn id="4" name="passiveType" dataDxfId="19"/>
    <tableColumn id="5" name="passiveSkillArgs" dataDxfId="18"/>
  </tableColumns>
  <tableStyleInfo name="TableStyleMedium1" showFirstColumn="0" showLastColumn="0" showRowStripes="1" showColumnStripes="0"/>
</table>
</file>

<file path=xl/tables/table5.xml><?xml version="1.0" encoding="utf-8"?>
<table xmlns="http://schemas.openxmlformats.org/spreadsheetml/2006/main" id="5" name="表5" displayName="表5" ref="A3:L73" totalsRowShown="0" headerRowDxfId="15" dataDxfId="13" headerRowBorderDxfId="14">
  <autoFilter ref="A3:L73"/>
  <sortState ref="A4:L73">
    <sortCondition ref="E3:E73"/>
  </sortState>
  <tableColumns count="12">
    <tableColumn id="1" name="id" dataDxfId="12"/>
    <tableColumn id="2" name="name" dataDxfId="11"/>
    <tableColumn id="3" name="describe" dataDxfId="10"/>
    <tableColumn id="12" name="icon" dataDxfId="9">
      <calculatedColumnFormula>IF(表5[[#This Row],[isBuff]],"Bbuff","DeBbuff")&amp;TEXT(N4,"0000")</calculatedColumnFormula>
    </tableColumn>
    <tableColumn id="4" name="isBuff" dataDxfId="8"/>
    <tableColumn id="5" name="max" dataDxfId="7"/>
    <tableColumn id="6" name="time" dataDxfId="6"/>
    <tableColumn id="11" name="interval" dataDxfId="5"/>
    <tableColumn id="7" name="mark" dataDxfId="4"/>
    <tableColumn id="8" name="priority" dataDxfId="3"/>
    <tableColumn id="9" name="stateEffects" dataDxfId="2"/>
    <tableColumn id="10" name="stateArgs" dataDxfId="1"/>
  </tableColumns>
  <tableStyleInfo name="TableStyleMedium1"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1" Type="http://schemas.openxmlformats.org/officeDocument/2006/relationships/vmlDrawing" Target="../drawings/vmlDrawing1.vml"/><Relationship Id="rId2"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G48"/>
  <sheetViews>
    <sheetView showGridLines="0" workbookViewId="0">
      <selection activeCell="B24" sqref="B24"/>
    </sheetView>
  </sheetViews>
  <sheetFormatPr baseColWidth="10" defaultColWidth="8.7109375" defaultRowHeight="12" x14ac:dyDescent="0"/>
  <cols>
    <col min="1" max="1" width="11" bestFit="1" customWidth="1"/>
    <col min="2" max="2" width="63.5703125" bestFit="1" customWidth="1"/>
    <col min="3" max="3" width="40.28515625" customWidth="1"/>
  </cols>
  <sheetData>
    <row r="1" spans="1:7" s="4" customFormat="1" ht="79.5" customHeight="1">
      <c r="A1" s="9" t="s">
        <v>62</v>
      </c>
      <c r="B1" s="10" t="s">
        <v>607</v>
      </c>
      <c r="C1" s="10" t="s">
        <v>605</v>
      </c>
    </row>
    <row r="2" spans="1:7" ht="16">
      <c r="A2" s="12" t="s">
        <v>63</v>
      </c>
      <c r="B2" s="12" t="s">
        <v>399</v>
      </c>
      <c r="C2" s="12" t="s">
        <v>82</v>
      </c>
    </row>
    <row r="3" spans="1:7" ht="16">
      <c r="A3" s="15" t="s">
        <v>2</v>
      </c>
      <c r="B3" s="15" t="s">
        <v>86</v>
      </c>
      <c r="C3" s="15" t="s">
        <v>85</v>
      </c>
    </row>
    <row r="4" spans="1:7" ht="16">
      <c r="A4" s="12">
        <v>1001</v>
      </c>
      <c r="B4" s="12" t="s">
        <v>64</v>
      </c>
      <c r="C4" s="12" t="s">
        <v>84</v>
      </c>
      <c r="E4">
        <v>1000001</v>
      </c>
      <c r="F4" t="s">
        <v>275</v>
      </c>
      <c r="G4" t="s">
        <v>276</v>
      </c>
    </row>
    <row r="5" spans="1:7" ht="16">
      <c r="A5" s="12">
        <v>1002</v>
      </c>
      <c r="B5" s="12" t="str">
        <f>E5 &amp; ";" &amp;E5</f>
        <v>1000002;1000002</v>
      </c>
      <c r="C5" s="12" t="s">
        <v>83</v>
      </c>
      <c r="E5">
        <v>1000002</v>
      </c>
      <c r="F5" t="s">
        <v>277</v>
      </c>
      <c r="G5" t="s">
        <v>278</v>
      </c>
    </row>
    <row r="6" spans="1:7" ht="16">
      <c r="A6" s="12">
        <v>1003</v>
      </c>
      <c r="B6" s="12" t="str">
        <f t="shared" ref="B6:B26" si="0">E6 &amp; ";" &amp;E6</f>
        <v>1000003;1000003</v>
      </c>
      <c r="C6" s="12" t="s">
        <v>83</v>
      </c>
      <c r="E6">
        <v>1000003</v>
      </c>
      <c r="F6" t="s">
        <v>279</v>
      </c>
      <c r="G6" t="s">
        <v>280</v>
      </c>
    </row>
    <row r="7" spans="1:7" ht="16">
      <c r="A7" s="12">
        <v>1004</v>
      </c>
      <c r="B7" s="12" t="str">
        <f t="shared" si="0"/>
        <v>1000004;1000004</v>
      </c>
      <c r="C7" s="12" t="s">
        <v>83</v>
      </c>
      <c r="E7">
        <v>1000004</v>
      </c>
      <c r="F7" t="s">
        <v>281</v>
      </c>
      <c r="G7" t="s">
        <v>282</v>
      </c>
    </row>
    <row r="8" spans="1:7" ht="16">
      <c r="A8" s="12">
        <v>1005</v>
      </c>
      <c r="B8" s="12" t="str">
        <f t="shared" si="0"/>
        <v>1000005;1000005</v>
      </c>
      <c r="C8" s="12" t="s">
        <v>83</v>
      </c>
      <c r="E8">
        <v>1000005</v>
      </c>
      <c r="F8" t="s">
        <v>283</v>
      </c>
      <c r="G8" t="s">
        <v>284</v>
      </c>
    </row>
    <row r="9" spans="1:7" ht="16">
      <c r="A9" s="12">
        <v>1006</v>
      </c>
      <c r="B9" s="12" t="str">
        <f t="shared" si="0"/>
        <v>1000006;1000006</v>
      </c>
      <c r="C9" s="12" t="s">
        <v>83</v>
      </c>
      <c r="E9">
        <v>1000006</v>
      </c>
      <c r="F9" t="s">
        <v>285</v>
      </c>
      <c r="G9" t="s">
        <v>286</v>
      </c>
    </row>
    <row r="10" spans="1:7" ht="16">
      <c r="A10" s="12">
        <v>1007</v>
      </c>
      <c r="B10" s="12" t="str">
        <f t="shared" si="0"/>
        <v>1000007;1000007</v>
      </c>
      <c r="C10" s="12" t="s">
        <v>83</v>
      </c>
      <c r="E10">
        <v>1000007</v>
      </c>
      <c r="F10" t="s">
        <v>112</v>
      </c>
      <c r="G10" t="s">
        <v>287</v>
      </c>
    </row>
    <row r="11" spans="1:7" ht="16">
      <c r="A11" s="12">
        <v>1008</v>
      </c>
      <c r="B11" s="12" t="str">
        <f t="shared" si="0"/>
        <v>1000008;1000008</v>
      </c>
      <c r="C11" s="12" t="s">
        <v>83</v>
      </c>
      <c r="E11">
        <v>1000008</v>
      </c>
      <c r="F11" t="s">
        <v>288</v>
      </c>
      <c r="G11" t="s">
        <v>289</v>
      </c>
    </row>
    <row r="12" spans="1:7" ht="16">
      <c r="A12" s="12">
        <v>1009</v>
      </c>
      <c r="B12" s="12" t="str">
        <f t="shared" si="0"/>
        <v>1000009;1000009</v>
      </c>
      <c r="C12" s="12" t="s">
        <v>83</v>
      </c>
      <c r="E12">
        <v>1000009</v>
      </c>
      <c r="F12" t="s">
        <v>290</v>
      </c>
      <c r="G12" t="s">
        <v>291</v>
      </c>
    </row>
    <row r="13" spans="1:7" ht="16">
      <c r="A13" s="12">
        <v>1010</v>
      </c>
      <c r="B13" s="12" t="str">
        <f t="shared" si="0"/>
        <v>1000010;1000010</v>
      </c>
      <c r="C13" s="12" t="s">
        <v>83</v>
      </c>
      <c r="E13">
        <v>1000010</v>
      </c>
      <c r="F13" t="s">
        <v>292</v>
      </c>
      <c r="G13" t="s">
        <v>293</v>
      </c>
    </row>
    <row r="14" spans="1:7" ht="16">
      <c r="A14" s="12">
        <v>1011</v>
      </c>
      <c r="B14" s="12" t="str">
        <f t="shared" si="0"/>
        <v>1000011;1000011</v>
      </c>
      <c r="C14" s="12" t="s">
        <v>83</v>
      </c>
      <c r="E14">
        <v>1000011</v>
      </c>
      <c r="F14" t="s">
        <v>294</v>
      </c>
      <c r="G14" t="s">
        <v>295</v>
      </c>
    </row>
    <row r="15" spans="1:7" ht="16">
      <c r="A15" s="12">
        <v>1012</v>
      </c>
      <c r="B15" s="12" t="str">
        <f t="shared" si="0"/>
        <v>1000012;1000012</v>
      </c>
      <c r="C15" s="12" t="s">
        <v>83</v>
      </c>
      <c r="E15">
        <v>1000012</v>
      </c>
      <c r="F15" t="s">
        <v>296</v>
      </c>
      <c r="G15" t="s">
        <v>297</v>
      </c>
    </row>
    <row r="16" spans="1:7" ht="16">
      <c r="A16" s="12">
        <v>1013</v>
      </c>
      <c r="B16" s="12" t="str">
        <f t="shared" si="0"/>
        <v>1000013;1000013</v>
      </c>
      <c r="C16" s="12" t="s">
        <v>83</v>
      </c>
      <c r="E16">
        <v>1000013</v>
      </c>
      <c r="F16" t="s">
        <v>298</v>
      </c>
      <c r="G16" t="s">
        <v>299</v>
      </c>
    </row>
    <row r="17" spans="1:7" ht="16">
      <c r="A17" s="12">
        <v>1014</v>
      </c>
      <c r="B17" s="12" t="str">
        <f t="shared" si="0"/>
        <v>1000014;1000014</v>
      </c>
      <c r="C17" s="12" t="s">
        <v>83</v>
      </c>
      <c r="E17">
        <v>1000014</v>
      </c>
      <c r="F17" t="s">
        <v>300</v>
      </c>
      <c r="G17" t="s">
        <v>301</v>
      </c>
    </row>
    <row r="18" spans="1:7" ht="16">
      <c r="A18" s="12">
        <v>1015</v>
      </c>
      <c r="B18" s="12" t="str">
        <f t="shared" si="0"/>
        <v>1000015;1000015</v>
      </c>
      <c r="C18" s="12" t="s">
        <v>83</v>
      </c>
      <c r="E18">
        <v>1000015</v>
      </c>
      <c r="F18" t="s">
        <v>302</v>
      </c>
      <c r="G18" t="s">
        <v>303</v>
      </c>
    </row>
    <row r="19" spans="1:7" ht="16">
      <c r="A19" s="12">
        <v>1016</v>
      </c>
      <c r="B19" s="12" t="str">
        <f t="shared" si="0"/>
        <v>1000016;1000016</v>
      </c>
      <c r="C19" s="12" t="s">
        <v>83</v>
      </c>
      <c r="E19">
        <v>1000016</v>
      </c>
      <c r="F19" t="s">
        <v>304</v>
      </c>
      <c r="G19" t="s">
        <v>305</v>
      </c>
    </row>
    <row r="20" spans="1:7" ht="16">
      <c r="A20" s="12">
        <v>1017</v>
      </c>
      <c r="B20" s="12" t="str">
        <f t="shared" si="0"/>
        <v>1000017;1000017</v>
      </c>
      <c r="C20" s="12" t="s">
        <v>83</v>
      </c>
      <c r="E20">
        <v>1000017</v>
      </c>
      <c r="F20" t="s">
        <v>306</v>
      </c>
      <c r="G20" t="s">
        <v>307</v>
      </c>
    </row>
    <row r="21" spans="1:7" ht="16">
      <c r="A21" s="12">
        <v>1018</v>
      </c>
      <c r="B21" s="12" t="str">
        <f t="shared" si="0"/>
        <v>1000018;1000018</v>
      </c>
      <c r="C21" s="12" t="s">
        <v>83</v>
      </c>
      <c r="E21">
        <v>1000018</v>
      </c>
      <c r="F21" t="s">
        <v>308</v>
      </c>
      <c r="G21" t="s">
        <v>309</v>
      </c>
    </row>
    <row r="22" spans="1:7" ht="16">
      <c r="A22" s="12">
        <v>1019</v>
      </c>
      <c r="B22" s="12" t="str">
        <f t="shared" si="0"/>
        <v>1000019;1000019</v>
      </c>
      <c r="C22" s="12" t="s">
        <v>83</v>
      </c>
      <c r="E22">
        <v>1000019</v>
      </c>
      <c r="F22" t="s">
        <v>183</v>
      </c>
      <c r="G22" t="s">
        <v>310</v>
      </c>
    </row>
    <row r="23" spans="1:7" ht="16">
      <c r="A23" s="12">
        <v>1020</v>
      </c>
      <c r="B23" s="12" t="str">
        <f t="shared" si="0"/>
        <v>1000020;1000020</v>
      </c>
      <c r="C23" s="12" t="s">
        <v>83</v>
      </c>
      <c r="E23">
        <v>1000020</v>
      </c>
      <c r="F23" t="s">
        <v>311</v>
      </c>
      <c r="G23" t="s">
        <v>312</v>
      </c>
    </row>
    <row r="24" spans="1:7" ht="16">
      <c r="A24" s="12">
        <v>1021</v>
      </c>
      <c r="B24" s="12" t="str">
        <f t="shared" si="0"/>
        <v>1000021;1000021</v>
      </c>
      <c r="C24" s="12" t="s">
        <v>83</v>
      </c>
      <c r="E24">
        <v>1000021</v>
      </c>
      <c r="F24" t="s">
        <v>313</v>
      </c>
      <c r="G24" t="s">
        <v>314</v>
      </c>
    </row>
    <row r="25" spans="1:7" ht="16">
      <c r="A25" s="12">
        <v>1022</v>
      </c>
      <c r="B25" s="12" t="str">
        <f t="shared" si="0"/>
        <v>1000022;1000022</v>
      </c>
      <c r="C25" s="12" t="s">
        <v>83</v>
      </c>
      <c r="E25">
        <v>1000022</v>
      </c>
      <c r="F25" t="s">
        <v>315</v>
      </c>
      <c r="G25" t="s">
        <v>209</v>
      </c>
    </row>
    <row r="26" spans="1:7" ht="16">
      <c r="A26" s="12">
        <v>1023</v>
      </c>
      <c r="B26" s="12" t="str">
        <f t="shared" si="0"/>
        <v>1000023;1000023</v>
      </c>
      <c r="C26" s="12" t="s">
        <v>83</v>
      </c>
      <c r="E26">
        <v>1000023</v>
      </c>
      <c r="F26" t="s">
        <v>316</v>
      </c>
      <c r="G26" t="s">
        <v>317</v>
      </c>
    </row>
    <row r="27" spans="1:7" ht="16">
      <c r="A27" s="12">
        <v>1024</v>
      </c>
      <c r="B27" s="12" t="str">
        <f t="shared" ref="B27:B48" si="1">E27 &amp; ";" &amp;E27</f>
        <v>2000001;2000001</v>
      </c>
      <c r="C27" s="12" t="s">
        <v>274</v>
      </c>
      <c r="E27">
        <v>2000001</v>
      </c>
      <c r="F27" t="s">
        <v>318</v>
      </c>
      <c r="G27" t="s">
        <v>319</v>
      </c>
    </row>
    <row r="28" spans="1:7" ht="16">
      <c r="A28" s="12">
        <v>1025</v>
      </c>
      <c r="B28" s="12" t="str">
        <f t="shared" si="1"/>
        <v>3000001;3000001</v>
      </c>
      <c r="C28" s="12" t="s">
        <v>274</v>
      </c>
      <c r="E28">
        <v>3000001</v>
      </c>
      <c r="F28" t="s">
        <v>321</v>
      </c>
      <c r="G28" t="s">
        <v>322</v>
      </c>
    </row>
    <row r="29" spans="1:7" ht="16">
      <c r="A29" s="12">
        <v>1026</v>
      </c>
      <c r="B29" s="12" t="str">
        <f t="shared" si="1"/>
        <v>3000002;3000002</v>
      </c>
      <c r="C29" s="12" t="s">
        <v>274</v>
      </c>
      <c r="E29">
        <v>3000002</v>
      </c>
      <c r="F29" t="s">
        <v>323</v>
      </c>
      <c r="G29" t="s">
        <v>324</v>
      </c>
    </row>
    <row r="30" spans="1:7" ht="16">
      <c r="A30" s="12">
        <v>1027</v>
      </c>
      <c r="B30" s="12" t="str">
        <f t="shared" si="1"/>
        <v>3000003;3000003</v>
      </c>
      <c r="C30" s="12" t="s">
        <v>274</v>
      </c>
      <c r="E30">
        <v>3000003</v>
      </c>
      <c r="F30" t="s">
        <v>325</v>
      </c>
      <c r="G30" t="s">
        <v>326</v>
      </c>
    </row>
    <row r="31" spans="1:7" ht="16">
      <c r="A31" s="12">
        <v>1028</v>
      </c>
      <c r="B31" s="12" t="str">
        <f t="shared" si="1"/>
        <v>3000004;3000004</v>
      </c>
      <c r="C31" s="12" t="s">
        <v>274</v>
      </c>
      <c r="E31">
        <v>3000004</v>
      </c>
      <c r="F31" t="s">
        <v>327</v>
      </c>
      <c r="G31" t="s">
        <v>328</v>
      </c>
    </row>
    <row r="32" spans="1:7" ht="16">
      <c r="A32" s="12">
        <v>1029</v>
      </c>
      <c r="B32" s="12" t="str">
        <f t="shared" si="1"/>
        <v>3000005;3000005</v>
      </c>
      <c r="C32" s="12" t="s">
        <v>274</v>
      </c>
      <c r="E32">
        <v>3000005</v>
      </c>
      <c r="F32" t="s">
        <v>329</v>
      </c>
      <c r="G32" t="s">
        <v>330</v>
      </c>
    </row>
    <row r="33" spans="1:7" ht="16">
      <c r="A33" s="12">
        <v>1030</v>
      </c>
      <c r="B33" s="12" t="str">
        <f t="shared" si="1"/>
        <v>3000006;3000006</v>
      </c>
      <c r="C33" s="12" t="s">
        <v>274</v>
      </c>
      <c r="E33">
        <v>3000006</v>
      </c>
      <c r="F33" t="s">
        <v>331</v>
      </c>
      <c r="G33" t="s">
        <v>332</v>
      </c>
    </row>
    <row r="34" spans="1:7" ht="16">
      <c r="A34" s="12">
        <v>1031</v>
      </c>
      <c r="B34" s="12" t="str">
        <f t="shared" si="1"/>
        <v>3000007;3000007</v>
      </c>
      <c r="C34" s="12" t="s">
        <v>274</v>
      </c>
      <c r="E34">
        <v>3000007</v>
      </c>
      <c r="F34" t="s">
        <v>333</v>
      </c>
      <c r="G34" t="s">
        <v>334</v>
      </c>
    </row>
    <row r="35" spans="1:7" ht="16">
      <c r="A35" s="12">
        <v>1032</v>
      </c>
      <c r="B35" s="12" t="str">
        <f t="shared" si="1"/>
        <v>3000008;3000008</v>
      </c>
      <c r="C35" s="12" t="s">
        <v>274</v>
      </c>
      <c r="E35">
        <v>3000008</v>
      </c>
      <c r="F35" t="s">
        <v>335</v>
      </c>
      <c r="G35" t="s">
        <v>336</v>
      </c>
    </row>
    <row r="36" spans="1:7" ht="16">
      <c r="A36" s="12">
        <v>1033</v>
      </c>
      <c r="B36" s="12" t="str">
        <f t="shared" si="1"/>
        <v>3000009;3000009</v>
      </c>
      <c r="C36" s="12" t="s">
        <v>274</v>
      </c>
      <c r="E36">
        <v>3000009</v>
      </c>
      <c r="F36" t="s">
        <v>337</v>
      </c>
      <c r="G36" t="s">
        <v>338</v>
      </c>
    </row>
    <row r="37" spans="1:7" ht="16">
      <c r="A37" s="12">
        <v>1034</v>
      </c>
      <c r="B37" s="12" t="str">
        <f t="shared" si="1"/>
        <v>3000010;3000010</v>
      </c>
      <c r="C37" s="12" t="s">
        <v>274</v>
      </c>
      <c r="E37">
        <v>3000010</v>
      </c>
      <c r="F37" t="s">
        <v>339</v>
      </c>
      <c r="G37" t="s">
        <v>340</v>
      </c>
    </row>
    <row r="38" spans="1:7" ht="16">
      <c r="A38" s="12">
        <v>1035</v>
      </c>
      <c r="B38" s="12" t="str">
        <f t="shared" si="1"/>
        <v>3000011;3000011</v>
      </c>
      <c r="C38" s="12" t="s">
        <v>274</v>
      </c>
      <c r="E38">
        <v>3000011</v>
      </c>
      <c r="F38" t="s">
        <v>341</v>
      </c>
      <c r="G38" t="s">
        <v>342</v>
      </c>
    </row>
    <row r="39" spans="1:7" ht="16">
      <c r="A39" s="12">
        <v>1036</v>
      </c>
      <c r="B39" s="12" t="str">
        <f t="shared" si="1"/>
        <v>3000012;3000012</v>
      </c>
      <c r="C39" s="12" t="s">
        <v>274</v>
      </c>
      <c r="E39">
        <v>3000012</v>
      </c>
      <c r="F39" t="s">
        <v>234</v>
      </c>
      <c r="G39" t="s">
        <v>343</v>
      </c>
    </row>
    <row r="40" spans="1:7" ht="16">
      <c r="A40" s="12">
        <v>1037</v>
      </c>
      <c r="B40" s="12" t="str">
        <f t="shared" si="1"/>
        <v>3000013;3000013</v>
      </c>
      <c r="C40" s="12" t="s">
        <v>274</v>
      </c>
      <c r="E40">
        <v>3000013</v>
      </c>
      <c r="F40" t="s">
        <v>344</v>
      </c>
      <c r="G40" t="s">
        <v>345</v>
      </c>
    </row>
    <row r="41" spans="1:7" ht="16">
      <c r="A41" s="12">
        <v>1038</v>
      </c>
      <c r="B41" s="12" t="str">
        <f t="shared" si="1"/>
        <v>3000014;3000014</v>
      </c>
      <c r="C41" s="12" t="s">
        <v>274</v>
      </c>
      <c r="E41">
        <v>3000014</v>
      </c>
      <c r="F41" t="s">
        <v>346</v>
      </c>
      <c r="G41" t="s">
        <v>347</v>
      </c>
    </row>
    <row r="42" spans="1:7" ht="16">
      <c r="A42" s="12">
        <v>1039</v>
      </c>
      <c r="B42" s="12" t="str">
        <f t="shared" si="1"/>
        <v>3000015;3000015</v>
      </c>
      <c r="C42" s="12" t="s">
        <v>274</v>
      </c>
      <c r="E42">
        <v>3000015</v>
      </c>
      <c r="F42" t="s">
        <v>348</v>
      </c>
      <c r="G42" t="s">
        <v>349</v>
      </c>
    </row>
    <row r="43" spans="1:7" ht="16">
      <c r="A43" s="12">
        <v>1040</v>
      </c>
      <c r="B43" s="12" t="str">
        <f t="shared" si="1"/>
        <v>3000016;3000016</v>
      </c>
      <c r="C43" s="12" t="s">
        <v>274</v>
      </c>
      <c r="E43">
        <v>3000016</v>
      </c>
      <c r="F43" t="s">
        <v>350</v>
      </c>
      <c r="G43" t="s">
        <v>243</v>
      </c>
    </row>
    <row r="44" spans="1:7" ht="16">
      <c r="A44" s="12">
        <v>1041</v>
      </c>
      <c r="B44" s="12" t="str">
        <f t="shared" si="1"/>
        <v>3000017;3000017</v>
      </c>
      <c r="C44" s="12" t="s">
        <v>274</v>
      </c>
      <c r="E44">
        <v>3000017</v>
      </c>
      <c r="F44" t="s">
        <v>351</v>
      </c>
      <c r="G44" t="s">
        <v>352</v>
      </c>
    </row>
    <row r="45" spans="1:7" ht="16">
      <c r="A45" s="12">
        <v>1042</v>
      </c>
      <c r="B45" s="12" t="str">
        <f t="shared" si="1"/>
        <v>3000018;3000018</v>
      </c>
      <c r="C45" s="12" t="s">
        <v>274</v>
      </c>
      <c r="E45">
        <v>3000018</v>
      </c>
      <c r="F45" t="s">
        <v>353</v>
      </c>
      <c r="G45" t="s">
        <v>354</v>
      </c>
    </row>
    <row r="46" spans="1:7" ht="16">
      <c r="A46" s="12">
        <v>1043</v>
      </c>
      <c r="B46" s="12" t="str">
        <f t="shared" si="1"/>
        <v>3000019;3000019</v>
      </c>
      <c r="C46" s="12" t="s">
        <v>274</v>
      </c>
      <c r="E46">
        <v>3000019</v>
      </c>
      <c r="F46" t="s">
        <v>355</v>
      </c>
      <c r="G46" t="s">
        <v>269</v>
      </c>
    </row>
    <row r="47" spans="1:7" ht="16">
      <c r="A47" s="12">
        <v>1044</v>
      </c>
      <c r="B47" s="12" t="str">
        <f t="shared" si="1"/>
        <v>3000020;3000020</v>
      </c>
      <c r="C47" s="12" t="s">
        <v>274</v>
      </c>
      <c r="E47">
        <v>3000020</v>
      </c>
      <c r="F47" t="s">
        <v>356</v>
      </c>
      <c r="G47" t="s">
        <v>357</v>
      </c>
    </row>
    <row r="48" spans="1:7" ht="16">
      <c r="A48" s="12">
        <v>1045</v>
      </c>
      <c r="B48" s="12" t="str">
        <f t="shared" si="1"/>
        <v>3000021;3000021</v>
      </c>
      <c r="C48" s="12" t="s">
        <v>274</v>
      </c>
      <c r="E48">
        <v>3000021</v>
      </c>
      <c r="F48" t="s">
        <v>358</v>
      </c>
      <c r="G48" t="s">
        <v>359</v>
      </c>
    </row>
  </sheetData>
  <phoneticPr fontId="1" type="noConversion"/>
  <conditionalFormatting sqref="A4:A48">
    <cfRule type="duplicateValues" dxfId="73" priority="1"/>
  </conditionalFormatting>
  <pageMargins left="0.7" right="0.7" top="0.75" bottom="0.75" header="0.3" footer="0.3"/>
  <pageSetup paperSize="9" orientation="portrait"/>
  <drawing r:id="rId1"/>
  <tableParts count="1">
    <tablePart r:id="rId2"/>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U51"/>
  <sheetViews>
    <sheetView showGridLines="0" tabSelected="1" workbookViewId="0">
      <pane xSplit="2" ySplit="3" topLeftCell="C4" activePane="bottomRight" state="frozen"/>
      <selection pane="topRight" activeCell="C1" sqref="C1"/>
      <selection pane="bottomLeft" activeCell="A4" sqref="A4"/>
      <selection pane="bottomRight" activeCell="D15" sqref="D15"/>
    </sheetView>
  </sheetViews>
  <sheetFormatPr baseColWidth="10" defaultColWidth="8.7109375" defaultRowHeight="16" x14ac:dyDescent="0"/>
  <cols>
    <col min="1" max="2" width="9.5703125" style="2" bestFit="1" customWidth="1"/>
    <col min="3" max="3" width="56.85546875" style="2" bestFit="1" customWidth="1"/>
    <col min="4" max="4" width="56.85546875" style="2" customWidth="1"/>
    <col min="5" max="5" width="25.7109375" style="2" bestFit="1" customWidth="1"/>
    <col min="6" max="6" width="39.7109375" style="2" customWidth="1"/>
    <col min="7" max="7" width="69.42578125" style="2" bestFit="1" customWidth="1"/>
    <col min="8" max="8" width="42.5703125" style="2" customWidth="1"/>
    <col min="9" max="9" width="44.28515625" style="2" bestFit="1" customWidth="1"/>
    <col min="10" max="10" width="18.42578125" style="2" customWidth="1"/>
    <col min="11" max="11" width="9.140625" style="2" bestFit="1" customWidth="1"/>
    <col min="12" max="12" width="14.140625" style="2" bestFit="1" customWidth="1"/>
    <col min="13" max="16" width="43.140625" style="2" customWidth="1"/>
    <col min="17" max="17" width="59.42578125" style="2" bestFit="1" customWidth="1"/>
    <col min="18" max="18" width="38.85546875" style="2" customWidth="1"/>
    <col min="19" max="20" width="23.7109375" style="2" customWidth="1"/>
    <col min="21" max="21" width="29.5703125" style="2" customWidth="1"/>
    <col min="22" max="16384" width="8.7109375" style="2"/>
  </cols>
  <sheetData>
    <row r="1" spans="1:21" s="5" customFormat="1" ht="96" customHeight="1">
      <c r="A1" s="11" t="s">
        <v>662</v>
      </c>
      <c r="B1" s="11" t="s">
        <v>663</v>
      </c>
      <c r="C1" s="11" t="s">
        <v>7</v>
      </c>
      <c r="D1" s="11" t="s">
        <v>664</v>
      </c>
      <c r="E1" s="11" t="s">
        <v>665</v>
      </c>
      <c r="F1" s="10" t="s">
        <v>678</v>
      </c>
      <c r="G1" s="11" t="s">
        <v>666</v>
      </c>
      <c r="H1" s="10" t="s">
        <v>679</v>
      </c>
      <c r="I1" s="10" t="s">
        <v>667</v>
      </c>
      <c r="J1" s="10" t="s">
        <v>680</v>
      </c>
      <c r="K1" s="10" t="s">
        <v>668</v>
      </c>
      <c r="L1" s="11" t="s">
        <v>669</v>
      </c>
      <c r="M1" s="11" t="s">
        <v>670</v>
      </c>
      <c r="N1" s="10" t="s">
        <v>671</v>
      </c>
      <c r="O1" s="10" t="s">
        <v>681</v>
      </c>
      <c r="P1" s="21" t="s">
        <v>672</v>
      </c>
      <c r="Q1" s="10" t="s">
        <v>673</v>
      </c>
      <c r="R1" s="11" t="s">
        <v>674</v>
      </c>
      <c r="S1" s="29" t="s">
        <v>675</v>
      </c>
      <c r="T1" s="11" t="s">
        <v>676</v>
      </c>
      <c r="U1" s="11" t="s">
        <v>677</v>
      </c>
    </row>
    <row r="2" spans="1:21">
      <c r="A2" s="12" t="s">
        <v>692</v>
      </c>
      <c r="B2" s="12" t="s">
        <v>3</v>
      </c>
      <c r="C2" s="12" t="s">
        <v>6</v>
      </c>
      <c r="D2" s="12" t="s">
        <v>609</v>
      </c>
      <c r="E2" s="13" t="s">
        <v>378</v>
      </c>
      <c r="F2" s="13" t="s">
        <v>601</v>
      </c>
      <c r="G2" s="13" t="s">
        <v>38</v>
      </c>
      <c r="H2" s="12" t="s">
        <v>57</v>
      </c>
      <c r="I2" s="12" t="s">
        <v>10</v>
      </c>
      <c r="J2" s="12" t="s">
        <v>10</v>
      </c>
      <c r="K2" s="12" t="s">
        <v>46</v>
      </c>
      <c r="L2" s="13" t="s">
        <v>616</v>
      </c>
      <c r="M2" s="12" t="s">
        <v>617</v>
      </c>
      <c r="N2" s="12" t="s">
        <v>135</v>
      </c>
      <c r="O2" s="13" t="s">
        <v>640</v>
      </c>
      <c r="P2" s="14" t="s">
        <v>693</v>
      </c>
      <c r="Q2" s="12" t="s">
        <v>661</v>
      </c>
      <c r="R2" s="12" t="s">
        <v>615</v>
      </c>
      <c r="S2" s="14" t="s">
        <v>61</v>
      </c>
      <c r="T2" s="12" t="s">
        <v>45</v>
      </c>
      <c r="U2" s="12" t="s">
        <v>393</v>
      </c>
    </row>
    <row r="3" spans="1:21">
      <c r="A3" s="15" t="s">
        <v>2</v>
      </c>
      <c r="B3" s="15" t="s">
        <v>37</v>
      </c>
      <c r="C3" s="15" t="s">
        <v>5</v>
      </c>
      <c r="D3" s="15" t="s">
        <v>909</v>
      </c>
      <c r="E3" s="16" t="s">
        <v>600</v>
      </c>
      <c r="F3" s="16" t="s">
        <v>602</v>
      </c>
      <c r="G3" s="16" t="s">
        <v>603</v>
      </c>
      <c r="H3" s="15" t="s">
        <v>56</v>
      </c>
      <c r="I3" s="15" t="s">
        <v>58</v>
      </c>
      <c r="J3" s="15" t="s">
        <v>24</v>
      </c>
      <c r="K3" s="15" t="s">
        <v>8</v>
      </c>
      <c r="L3" s="16" t="s">
        <v>618</v>
      </c>
      <c r="M3" s="15" t="s">
        <v>59</v>
      </c>
      <c r="N3" s="15" t="s">
        <v>136</v>
      </c>
      <c r="O3" s="16" t="s">
        <v>634</v>
      </c>
      <c r="P3" s="15" t="s">
        <v>660</v>
      </c>
      <c r="Q3" s="15" t="s">
        <v>653</v>
      </c>
      <c r="R3" s="15" t="s">
        <v>598</v>
      </c>
      <c r="S3" s="15" t="s">
        <v>60</v>
      </c>
      <c r="T3" s="15" t="s">
        <v>80</v>
      </c>
      <c r="U3" s="15" t="s">
        <v>392</v>
      </c>
    </row>
    <row r="4" spans="1:21">
      <c r="A4" s="17">
        <v>1000001</v>
      </c>
      <c r="B4" s="12" t="s">
        <v>88</v>
      </c>
      <c r="C4" s="12" t="s">
        <v>371</v>
      </c>
      <c r="D4" s="12" t="s">
        <v>911</v>
      </c>
      <c r="E4" s="12" t="s">
        <v>529</v>
      </c>
      <c r="F4" s="12"/>
      <c r="G4" s="12" t="s">
        <v>25</v>
      </c>
      <c r="H4" s="12" t="s">
        <v>89</v>
      </c>
      <c r="I4" s="12" t="s">
        <v>43</v>
      </c>
      <c r="J4" s="12" t="s">
        <v>11</v>
      </c>
      <c r="K4" s="12" t="s">
        <v>96</v>
      </c>
      <c r="L4" s="12" t="s">
        <v>619</v>
      </c>
      <c r="M4" s="19" t="s">
        <v>620</v>
      </c>
      <c r="N4" s="12" t="s">
        <v>137</v>
      </c>
      <c r="O4" s="12"/>
      <c r="P4" s="12"/>
      <c r="Q4" s="12"/>
      <c r="R4" s="12">
        <v>1</v>
      </c>
      <c r="S4" s="12">
        <v>0.8</v>
      </c>
      <c r="T4" s="12">
        <v>5</v>
      </c>
      <c r="U4" s="12">
        <v>5</v>
      </c>
    </row>
    <row r="5" spans="1:21">
      <c r="A5" s="17">
        <v>1000002</v>
      </c>
      <c r="B5" s="12" t="s">
        <v>102</v>
      </c>
      <c r="C5" s="12" t="s">
        <v>124</v>
      </c>
      <c r="D5" s="12" t="s">
        <v>910</v>
      </c>
      <c r="E5" s="12" t="s">
        <v>529</v>
      </c>
      <c r="F5" s="12"/>
      <c r="G5" s="12" t="s">
        <v>25</v>
      </c>
      <c r="H5" s="12">
        <v>1</v>
      </c>
      <c r="I5" s="12" t="s">
        <v>42</v>
      </c>
      <c r="J5" s="12" t="s">
        <v>11</v>
      </c>
      <c r="K5" s="12" t="s">
        <v>97</v>
      </c>
      <c r="L5" s="12" t="s">
        <v>621</v>
      </c>
      <c r="M5" s="19" t="s">
        <v>622</v>
      </c>
      <c r="N5" s="12" t="s">
        <v>137</v>
      </c>
      <c r="O5" s="12"/>
      <c r="P5" s="12"/>
      <c r="Q5" s="12"/>
      <c r="R5" s="12">
        <v>1</v>
      </c>
      <c r="S5" s="12">
        <v>0.8</v>
      </c>
      <c r="T5" s="12">
        <v>5</v>
      </c>
      <c r="U5" s="12">
        <v>5</v>
      </c>
    </row>
    <row r="6" spans="1:21">
      <c r="A6" s="17">
        <v>1000003</v>
      </c>
      <c r="B6" s="12" t="s">
        <v>103</v>
      </c>
      <c r="C6" s="12" t="s">
        <v>120</v>
      </c>
      <c r="D6" s="12" t="s">
        <v>912</v>
      </c>
      <c r="E6" s="12" t="s">
        <v>98</v>
      </c>
      <c r="F6" s="12"/>
      <c r="G6" s="12" t="s">
        <v>100</v>
      </c>
      <c r="H6" s="12" t="s">
        <v>108</v>
      </c>
      <c r="I6" s="12" t="s">
        <v>43</v>
      </c>
      <c r="J6" s="12" t="s">
        <v>11</v>
      </c>
      <c r="K6" s="12" t="s">
        <v>50</v>
      </c>
      <c r="L6" s="12" t="s">
        <v>619</v>
      </c>
      <c r="M6" s="19" t="s">
        <v>623</v>
      </c>
      <c r="N6" s="12" t="s">
        <v>137</v>
      </c>
      <c r="O6" s="12"/>
      <c r="P6" s="12"/>
      <c r="Q6" s="12"/>
      <c r="R6" s="12">
        <v>1</v>
      </c>
      <c r="S6" s="12">
        <v>1.5</v>
      </c>
      <c r="T6" s="12">
        <v>10</v>
      </c>
      <c r="U6" s="12">
        <v>5</v>
      </c>
    </row>
    <row r="7" spans="1:21">
      <c r="A7" s="17">
        <v>1000004</v>
      </c>
      <c r="B7" s="12" t="s">
        <v>105</v>
      </c>
      <c r="C7" s="12" t="s">
        <v>122</v>
      </c>
      <c r="D7" s="12" t="s">
        <v>913</v>
      </c>
      <c r="E7" s="12" t="s">
        <v>380</v>
      </c>
      <c r="F7" s="12"/>
      <c r="G7" s="12" t="s">
        <v>611</v>
      </c>
      <c r="H7" s="12" t="s">
        <v>106</v>
      </c>
      <c r="I7" s="12" t="s">
        <v>42</v>
      </c>
      <c r="J7" s="12" t="s">
        <v>11</v>
      </c>
      <c r="K7" s="12" t="s">
        <v>50</v>
      </c>
      <c r="L7" s="12" t="s">
        <v>621</v>
      </c>
      <c r="M7" s="19" t="s">
        <v>624</v>
      </c>
      <c r="N7" s="12" t="s">
        <v>137</v>
      </c>
      <c r="O7" s="12"/>
      <c r="P7" s="12"/>
      <c r="Q7" s="12"/>
      <c r="R7" s="12">
        <v>1</v>
      </c>
      <c r="S7" s="12">
        <v>1.5</v>
      </c>
      <c r="T7" s="12">
        <v>13</v>
      </c>
      <c r="U7" s="12">
        <v>5</v>
      </c>
    </row>
    <row r="8" spans="1:21">
      <c r="A8" s="17">
        <v>1000005</v>
      </c>
      <c r="B8" s="12" t="s">
        <v>107</v>
      </c>
      <c r="C8" s="12" t="s">
        <v>121</v>
      </c>
      <c r="D8" s="12" t="s">
        <v>914</v>
      </c>
      <c r="E8" s="12" t="s">
        <v>379</v>
      </c>
      <c r="F8" s="12"/>
      <c r="G8" s="12" t="s">
        <v>53</v>
      </c>
      <c r="H8" s="12" t="s">
        <v>109</v>
      </c>
      <c r="I8" s="12" t="s">
        <v>43</v>
      </c>
      <c r="J8" s="12" t="s">
        <v>11</v>
      </c>
      <c r="K8" s="12" t="s">
        <v>50</v>
      </c>
      <c r="L8" s="12" t="s">
        <v>619</v>
      </c>
      <c r="M8" s="19" t="s">
        <v>625</v>
      </c>
      <c r="N8" s="12" t="s">
        <v>137</v>
      </c>
      <c r="O8" s="12"/>
      <c r="P8" s="12"/>
      <c r="Q8" s="12"/>
      <c r="R8" s="12">
        <v>1</v>
      </c>
      <c r="S8" s="12">
        <v>1.7</v>
      </c>
      <c r="T8" s="12">
        <v>15</v>
      </c>
      <c r="U8" s="12">
        <v>5</v>
      </c>
    </row>
    <row r="9" spans="1:21">
      <c r="A9" s="17">
        <v>1000006</v>
      </c>
      <c r="B9" s="12" t="s">
        <v>110</v>
      </c>
      <c r="C9" s="12" t="s">
        <v>123</v>
      </c>
      <c r="D9" s="12" t="s">
        <v>915</v>
      </c>
      <c r="E9" s="12" t="s">
        <v>18</v>
      </c>
      <c r="F9" s="12"/>
      <c r="G9" s="12" t="s">
        <v>29</v>
      </c>
      <c r="H9" s="12">
        <v>1</v>
      </c>
      <c r="I9" s="12" t="s">
        <v>42</v>
      </c>
      <c r="J9" s="12" t="s">
        <v>11</v>
      </c>
      <c r="K9" s="12" t="s">
        <v>111</v>
      </c>
      <c r="L9" s="12" t="s">
        <v>621</v>
      </c>
      <c r="M9" s="19" t="s">
        <v>626</v>
      </c>
      <c r="N9" s="12" t="s">
        <v>137</v>
      </c>
      <c r="O9" s="12"/>
      <c r="P9" s="12"/>
      <c r="Q9" s="12"/>
      <c r="R9" s="12">
        <v>1</v>
      </c>
      <c r="S9" s="12">
        <v>1.2</v>
      </c>
      <c r="T9" s="12">
        <v>12</v>
      </c>
      <c r="U9" s="12">
        <v>5</v>
      </c>
    </row>
    <row r="10" spans="1:21">
      <c r="A10" s="17">
        <v>1000007</v>
      </c>
      <c r="B10" s="12" t="s">
        <v>112</v>
      </c>
      <c r="C10" s="12" t="s">
        <v>469</v>
      </c>
      <c r="D10" s="12" t="s">
        <v>916</v>
      </c>
      <c r="E10" s="12" t="s">
        <v>18</v>
      </c>
      <c r="F10" s="12"/>
      <c r="G10" s="12" t="s">
        <v>25</v>
      </c>
      <c r="H10" s="18" t="s">
        <v>113</v>
      </c>
      <c r="I10" s="12" t="s">
        <v>43</v>
      </c>
      <c r="J10" s="12" t="s">
        <v>11</v>
      </c>
      <c r="K10" s="12" t="s">
        <v>114</v>
      </c>
      <c r="L10" s="12" t="s">
        <v>619</v>
      </c>
      <c r="M10" s="19" t="s">
        <v>627</v>
      </c>
      <c r="N10" s="12" t="s">
        <v>137</v>
      </c>
      <c r="O10" s="14" t="s">
        <v>635</v>
      </c>
      <c r="P10" s="14"/>
      <c r="Q10" s="12" t="s">
        <v>697</v>
      </c>
      <c r="R10" s="12">
        <v>1</v>
      </c>
      <c r="S10" s="12">
        <v>1.5</v>
      </c>
      <c r="T10" s="12">
        <v>7</v>
      </c>
      <c r="U10" s="12">
        <v>5</v>
      </c>
    </row>
    <row r="11" spans="1:21">
      <c r="A11" s="17">
        <v>1000008</v>
      </c>
      <c r="B11" s="12" t="s">
        <v>127</v>
      </c>
      <c r="C11" s="12" t="s">
        <v>139</v>
      </c>
      <c r="D11" s="12" t="s">
        <v>917</v>
      </c>
      <c r="E11" s="12" t="s">
        <v>18</v>
      </c>
      <c r="F11" s="12"/>
      <c r="G11" s="12" t="s">
        <v>25</v>
      </c>
      <c r="H11" s="12"/>
      <c r="I11" s="12"/>
      <c r="J11" s="12" t="s">
        <v>11</v>
      </c>
      <c r="K11" s="12" t="s">
        <v>126</v>
      </c>
      <c r="L11" s="12"/>
      <c r="M11" s="12"/>
      <c r="N11" s="12" t="s">
        <v>138</v>
      </c>
      <c r="O11" s="14" t="s">
        <v>388</v>
      </c>
      <c r="P11" s="14">
        <v>0</v>
      </c>
      <c r="Q11" s="12" t="s">
        <v>698</v>
      </c>
      <c r="R11" s="12">
        <v>1</v>
      </c>
      <c r="S11" s="12">
        <v>0.5</v>
      </c>
      <c r="T11" s="12">
        <v>9999</v>
      </c>
      <c r="U11" s="12">
        <v>5</v>
      </c>
    </row>
    <row r="12" spans="1:21">
      <c r="A12" s="17">
        <v>1000009</v>
      </c>
      <c r="B12" s="12" t="s">
        <v>128</v>
      </c>
      <c r="C12" s="12" t="s">
        <v>141</v>
      </c>
      <c r="D12" s="12" t="s">
        <v>918</v>
      </c>
      <c r="E12" s="12" t="s">
        <v>131</v>
      </c>
      <c r="F12" s="12" t="s">
        <v>366</v>
      </c>
      <c r="G12" s="12" t="s">
        <v>25</v>
      </c>
      <c r="H12" s="12"/>
      <c r="I12" s="12"/>
      <c r="J12" s="12" t="s">
        <v>11</v>
      </c>
      <c r="K12" s="12" t="s">
        <v>134</v>
      </c>
      <c r="L12" s="12"/>
      <c r="M12" s="12"/>
      <c r="N12" s="12" t="s">
        <v>138</v>
      </c>
      <c r="O12" s="12" t="s">
        <v>636</v>
      </c>
      <c r="P12" s="12" t="s">
        <v>657</v>
      </c>
      <c r="Q12" s="12" t="s">
        <v>699</v>
      </c>
      <c r="R12" s="12">
        <v>1</v>
      </c>
      <c r="S12" s="12">
        <v>0.4</v>
      </c>
      <c r="T12" s="12">
        <v>9999</v>
      </c>
      <c r="U12" s="12">
        <v>5</v>
      </c>
    </row>
    <row r="13" spans="1:21">
      <c r="A13" s="17">
        <v>1000010</v>
      </c>
      <c r="B13" s="12" t="s">
        <v>140</v>
      </c>
      <c r="C13" s="12" t="s">
        <v>142</v>
      </c>
      <c r="D13" s="12" t="s">
        <v>919</v>
      </c>
      <c r="E13" s="12" t="s">
        <v>129</v>
      </c>
      <c r="F13" s="12" t="s">
        <v>367</v>
      </c>
      <c r="G13" s="12" t="s">
        <v>25</v>
      </c>
      <c r="H13" s="12"/>
      <c r="I13" s="12"/>
      <c r="J13" s="12" t="s">
        <v>11</v>
      </c>
      <c r="K13" s="12" t="s">
        <v>134</v>
      </c>
      <c r="L13" s="12"/>
      <c r="M13" s="12"/>
      <c r="N13" s="12" t="s">
        <v>143</v>
      </c>
      <c r="O13" s="14" t="s">
        <v>637</v>
      </c>
      <c r="P13" s="14">
        <v>0</v>
      </c>
      <c r="Q13" s="12" t="s">
        <v>700</v>
      </c>
      <c r="R13" s="12">
        <v>1</v>
      </c>
      <c r="S13" s="12">
        <v>0.4</v>
      </c>
      <c r="T13" s="12">
        <v>9999</v>
      </c>
      <c r="U13" s="12">
        <v>5</v>
      </c>
    </row>
    <row r="14" spans="1:21">
      <c r="A14" s="17">
        <v>1000011</v>
      </c>
      <c r="B14" s="12" t="s">
        <v>146</v>
      </c>
      <c r="C14" s="12" t="s">
        <v>468</v>
      </c>
      <c r="D14" s="12" t="s">
        <v>920</v>
      </c>
      <c r="E14" s="12" t="s">
        <v>18</v>
      </c>
      <c r="F14" s="12"/>
      <c r="G14" s="12" t="s">
        <v>25</v>
      </c>
      <c r="H14" s="12"/>
      <c r="I14" s="12"/>
      <c r="J14" s="12" t="s">
        <v>11</v>
      </c>
      <c r="K14" s="12" t="s">
        <v>147</v>
      </c>
      <c r="L14" s="12"/>
      <c r="M14" s="12"/>
      <c r="N14" s="12" t="s">
        <v>153</v>
      </c>
      <c r="O14" s="14" t="s">
        <v>635</v>
      </c>
      <c r="P14" s="14">
        <v>0</v>
      </c>
      <c r="Q14" s="12" t="s">
        <v>701</v>
      </c>
      <c r="R14" s="12">
        <v>1</v>
      </c>
      <c r="S14" s="12">
        <v>6</v>
      </c>
      <c r="T14" s="12">
        <v>9999</v>
      </c>
      <c r="U14" s="12">
        <v>5</v>
      </c>
    </row>
    <row r="15" spans="1:21">
      <c r="A15" s="17">
        <v>1000012</v>
      </c>
      <c r="B15" s="12" t="s">
        <v>149</v>
      </c>
      <c r="C15" s="12" t="s">
        <v>470</v>
      </c>
      <c r="D15" s="12" t="s">
        <v>921</v>
      </c>
      <c r="E15" s="12" t="s">
        <v>529</v>
      </c>
      <c r="F15" s="12"/>
      <c r="G15" s="12" t="s">
        <v>25</v>
      </c>
      <c r="H15" s="12"/>
      <c r="I15" s="12"/>
      <c r="J15" s="12" t="s">
        <v>11</v>
      </c>
      <c r="K15" s="12" t="s">
        <v>152</v>
      </c>
      <c r="L15" s="12"/>
      <c r="M15" s="12"/>
      <c r="N15" s="12" t="s">
        <v>154</v>
      </c>
      <c r="O15" s="14" t="s">
        <v>635</v>
      </c>
      <c r="P15" s="14">
        <v>0</v>
      </c>
      <c r="Q15" s="12" t="s">
        <v>702</v>
      </c>
      <c r="R15" s="12">
        <v>1</v>
      </c>
      <c r="S15" s="12">
        <v>0.3</v>
      </c>
      <c r="T15" s="12">
        <v>9999</v>
      </c>
      <c r="U15" s="12">
        <v>5</v>
      </c>
    </row>
    <row r="16" spans="1:21">
      <c r="A16" s="17">
        <v>1000013</v>
      </c>
      <c r="B16" s="12" t="s">
        <v>164</v>
      </c>
      <c r="C16" s="12" t="s">
        <v>165</v>
      </c>
      <c r="D16" s="12" t="s">
        <v>922</v>
      </c>
      <c r="E16" s="12" t="s">
        <v>379</v>
      </c>
      <c r="F16" s="12"/>
      <c r="G16" s="12" t="s">
        <v>156</v>
      </c>
      <c r="H16" s="12"/>
      <c r="I16" s="12"/>
      <c r="J16" s="12" t="s">
        <v>11</v>
      </c>
      <c r="K16" s="12" t="s">
        <v>158</v>
      </c>
      <c r="L16" s="12"/>
      <c r="M16" s="12"/>
      <c r="N16" s="12" t="s">
        <v>166</v>
      </c>
      <c r="O16" s="14" t="s">
        <v>635</v>
      </c>
      <c r="P16" s="14">
        <v>0</v>
      </c>
      <c r="Q16" s="12" t="s">
        <v>703</v>
      </c>
      <c r="R16" s="12">
        <v>1</v>
      </c>
      <c r="S16" s="12">
        <v>1.5</v>
      </c>
      <c r="T16" s="12">
        <v>9999</v>
      </c>
      <c r="U16" s="12">
        <v>5</v>
      </c>
    </row>
    <row r="17" spans="1:21">
      <c r="A17" s="17">
        <v>1000014</v>
      </c>
      <c r="B17" s="12" t="s">
        <v>155</v>
      </c>
      <c r="C17" s="12" t="s">
        <v>599</v>
      </c>
      <c r="D17" s="12" t="s">
        <v>923</v>
      </c>
      <c r="E17" s="12" t="s">
        <v>379</v>
      </c>
      <c r="F17" s="12" t="s">
        <v>366</v>
      </c>
      <c r="G17" s="12" t="s">
        <v>156</v>
      </c>
      <c r="H17" s="12" t="s">
        <v>157</v>
      </c>
      <c r="I17" s="12" t="s">
        <v>43</v>
      </c>
      <c r="J17" s="12" t="s">
        <v>11</v>
      </c>
      <c r="K17" s="12" t="s">
        <v>158</v>
      </c>
      <c r="L17" s="12" t="s">
        <v>619</v>
      </c>
      <c r="M17" s="19" t="s">
        <v>628</v>
      </c>
      <c r="N17" s="12" t="s">
        <v>137</v>
      </c>
      <c r="O17" s="14" t="s">
        <v>388</v>
      </c>
      <c r="P17" s="14">
        <v>1</v>
      </c>
      <c r="Q17" s="12" t="s">
        <v>704</v>
      </c>
      <c r="R17" s="12">
        <v>1</v>
      </c>
      <c r="S17" s="12">
        <v>2</v>
      </c>
      <c r="T17" s="12">
        <v>20</v>
      </c>
      <c r="U17" s="12">
        <v>5</v>
      </c>
    </row>
    <row r="18" spans="1:21">
      <c r="A18" s="17">
        <v>1000015</v>
      </c>
      <c r="B18" s="12" t="s">
        <v>159</v>
      </c>
      <c r="C18" s="12" t="s">
        <v>160</v>
      </c>
      <c r="D18" s="12" t="s">
        <v>924</v>
      </c>
      <c r="E18" s="12" t="s">
        <v>379</v>
      </c>
      <c r="F18" s="12" t="s">
        <v>367</v>
      </c>
      <c r="G18" s="12" t="s">
        <v>156</v>
      </c>
      <c r="H18" s="12">
        <v>1</v>
      </c>
      <c r="I18" s="12"/>
      <c r="J18" s="12" t="s">
        <v>11</v>
      </c>
      <c r="K18" s="12" t="s">
        <v>158</v>
      </c>
      <c r="L18" s="12" t="s">
        <v>621</v>
      </c>
      <c r="M18" s="19" t="s">
        <v>629</v>
      </c>
      <c r="N18" s="12" t="s">
        <v>161</v>
      </c>
      <c r="O18" s="14" t="s">
        <v>635</v>
      </c>
      <c r="P18" s="14">
        <v>0</v>
      </c>
      <c r="Q18" s="12" t="s">
        <v>705</v>
      </c>
      <c r="R18" s="12">
        <v>1</v>
      </c>
      <c r="S18" s="12">
        <v>1.8</v>
      </c>
      <c r="T18" s="12">
        <v>15</v>
      </c>
      <c r="U18" s="12">
        <v>5</v>
      </c>
    </row>
    <row r="19" spans="1:21">
      <c r="A19" s="17">
        <v>1000016</v>
      </c>
      <c r="B19" s="12" t="s">
        <v>167</v>
      </c>
      <c r="C19" s="12" t="s">
        <v>168</v>
      </c>
      <c r="D19" s="12" t="s">
        <v>925</v>
      </c>
      <c r="E19" s="12" t="s">
        <v>529</v>
      </c>
      <c r="F19" s="12"/>
      <c r="G19" s="12" t="s">
        <v>25</v>
      </c>
      <c r="H19" s="12">
        <v>1</v>
      </c>
      <c r="I19" s="12" t="s">
        <v>42</v>
      </c>
      <c r="J19" s="12" t="s">
        <v>11</v>
      </c>
      <c r="K19" s="12" t="s">
        <v>147</v>
      </c>
      <c r="L19" s="12" t="s">
        <v>621</v>
      </c>
      <c r="M19" s="19" t="s">
        <v>630</v>
      </c>
      <c r="N19" s="12" t="s">
        <v>169</v>
      </c>
      <c r="O19" s="14" t="s">
        <v>635</v>
      </c>
      <c r="P19" s="14">
        <v>0</v>
      </c>
      <c r="Q19" s="12" t="s">
        <v>706</v>
      </c>
      <c r="R19" s="12">
        <v>1</v>
      </c>
      <c r="S19" s="12">
        <v>1</v>
      </c>
      <c r="T19" s="12">
        <v>7</v>
      </c>
      <c r="U19" s="12">
        <v>5</v>
      </c>
    </row>
    <row r="20" spans="1:21">
      <c r="A20" s="17">
        <v>1000017</v>
      </c>
      <c r="B20" s="12" t="s">
        <v>176</v>
      </c>
      <c r="C20" s="12" t="s">
        <v>177</v>
      </c>
      <c r="D20" s="12" t="s">
        <v>926</v>
      </c>
      <c r="E20" s="12" t="s">
        <v>178</v>
      </c>
      <c r="F20" s="12"/>
      <c r="G20" s="12" t="s">
        <v>25</v>
      </c>
      <c r="H20" s="12"/>
      <c r="I20" s="12"/>
      <c r="J20" s="12" t="s">
        <v>11</v>
      </c>
      <c r="K20" s="12" t="s">
        <v>179</v>
      </c>
      <c r="L20" s="12"/>
      <c r="M20" s="12"/>
      <c r="N20" s="12" t="s">
        <v>180</v>
      </c>
      <c r="O20" s="12" t="s">
        <v>638</v>
      </c>
      <c r="P20" s="12" t="s">
        <v>658</v>
      </c>
      <c r="Q20" s="12" t="s">
        <v>707</v>
      </c>
      <c r="R20" s="12">
        <v>1</v>
      </c>
      <c r="S20" s="12">
        <v>0.3</v>
      </c>
      <c r="T20" s="12">
        <v>9999</v>
      </c>
      <c r="U20" s="12">
        <v>5</v>
      </c>
    </row>
    <row r="21" spans="1:21">
      <c r="A21" s="17">
        <v>1000018</v>
      </c>
      <c r="B21" s="12" t="s">
        <v>195</v>
      </c>
      <c r="C21" s="12" t="s">
        <v>181</v>
      </c>
      <c r="D21" s="12" t="s">
        <v>927</v>
      </c>
      <c r="E21" s="12" t="s">
        <v>178</v>
      </c>
      <c r="F21" s="12"/>
      <c r="G21" s="12" t="s">
        <v>25</v>
      </c>
      <c r="H21" s="12"/>
      <c r="I21" s="12"/>
      <c r="J21" s="12" t="s">
        <v>11</v>
      </c>
      <c r="K21" s="12" t="s">
        <v>182</v>
      </c>
      <c r="L21" s="12"/>
      <c r="M21" s="12"/>
      <c r="N21" s="12" t="s">
        <v>180</v>
      </c>
      <c r="O21" s="12" t="s">
        <v>639</v>
      </c>
      <c r="P21" s="12" t="s">
        <v>659</v>
      </c>
      <c r="Q21" s="12" t="s">
        <v>708</v>
      </c>
      <c r="R21" s="12">
        <v>1</v>
      </c>
      <c r="S21" s="12">
        <v>0.3</v>
      </c>
      <c r="T21" s="12">
        <v>9999</v>
      </c>
      <c r="U21" s="12">
        <v>5</v>
      </c>
    </row>
    <row r="22" spans="1:21" ht="48">
      <c r="A22" s="17">
        <v>1000019</v>
      </c>
      <c r="B22" s="12" t="s">
        <v>183</v>
      </c>
      <c r="C22" s="9" t="s">
        <v>184</v>
      </c>
      <c r="D22" s="12" t="s">
        <v>928</v>
      </c>
      <c r="E22" s="12" t="s">
        <v>178</v>
      </c>
      <c r="F22" s="12"/>
      <c r="G22" s="12" t="s">
        <v>170</v>
      </c>
      <c r="H22" s="12"/>
      <c r="I22" s="12"/>
      <c r="J22" s="12" t="s">
        <v>11</v>
      </c>
      <c r="K22" s="12" t="s">
        <v>185</v>
      </c>
      <c r="L22" s="12"/>
      <c r="M22" s="12"/>
      <c r="N22" s="12" t="s">
        <v>186</v>
      </c>
      <c r="O22" s="12" t="s">
        <v>641</v>
      </c>
      <c r="P22" s="12" t="s">
        <v>656</v>
      </c>
      <c r="Q22" s="12" t="s">
        <v>709</v>
      </c>
      <c r="R22" s="12">
        <v>1</v>
      </c>
      <c r="S22" s="12">
        <v>0.5</v>
      </c>
      <c r="T22" s="12">
        <v>9999</v>
      </c>
      <c r="U22" s="12">
        <v>5</v>
      </c>
    </row>
    <row r="23" spans="1:21">
      <c r="A23" s="17">
        <v>1000020</v>
      </c>
      <c r="B23" s="12" t="s">
        <v>194</v>
      </c>
      <c r="C23" s="12" t="s">
        <v>191</v>
      </c>
      <c r="D23" s="12" t="s">
        <v>929</v>
      </c>
      <c r="E23" s="12" t="s">
        <v>529</v>
      </c>
      <c r="F23" s="12"/>
      <c r="G23" s="12" t="s">
        <v>25</v>
      </c>
      <c r="H23" s="12"/>
      <c r="I23" s="12"/>
      <c r="J23" s="12" t="s">
        <v>11</v>
      </c>
      <c r="K23" s="12" t="s">
        <v>192</v>
      </c>
      <c r="L23" s="12"/>
      <c r="M23" s="12"/>
      <c r="N23" s="12" t="s">
        <v>186</v>
      </c>
      <c r="O23" s="14" t="s">
        <v>642</v>
      </c>
      <c r="P23" s="14">
        <v>0</v>
      </c>
      <c r="Q23" s="12" t="s">
        <v>710</v>
      </c>
      <c r="R23" s="12">
        <v>1</v>
      </c>
      <c r="S23" s="12">
        <v>0.5</v>
      </c>
      <c r="T23" s="12">
        <v>9999</v>
      </c>
      <c r="U23" s="12">
        <v>5</v>
      </c>
    </row>
    <row r="24" spans="1:21">
      <c r="A24" s="17">
        <v>1000021</v>
      </c>
      <c r="B24" s="12" t="s">
        <v>205</v>
      </c>
      <c r="C24" s="12" t="s">
        <v>471</v>
      </c>
      <c r="D24" s="12" t="s">
        <v>930</v>
      </c>
      <c r="E24" s="12" t="s">
        <v>372</v>
      </c>
      <c r="F24" s="12"/>
      <c r="G24" s="12" t="s">
        <v>25</v>
      </c>
      <c r="H24" s="12"/>
      <c r="I24" s="12"/>
      <c r="J24" s="12" t="s">
        <v>11</v>
      </c>
      <c r="K24" s="12" t="s">
        <v>206</v>
      </c>
      <c r="L24" s="12"/>
      <c r="M24" s="12"/>
      <c r="N24" s="12"/>
      <c r="O24" s="14" t="s">
        <v>635</v>
      </c>
      <c r="P24" s="14">
        <v>0</v>
      </c>
      <c r="Q24" s="12" t="s">
        <v>711</v>
      </c>
      <c r="R24" s="12">
        <v>1</v>
      </c>
      <c r="S24" s="12">
        <v>0</v>
      </c>
      <c r="T24" s="12">
        <v>9999</v>
      </c>
      <c r="U24" s="12">
        <v>5</v>
      </c>
    </row>
    <row r="25" spans="1:21">
      <c r="A25" s="17">
        <v>1000022</v>
      </c>
      <c r="B25" s="12" t="s">
        <v>211</v>
      </c>
      <c r="C25" s="12" t="s">
        <v>472</v>
      </c>
      <c r="D25" s="12" t="s">
        <v>931</v>
      </c>
      <c r="E25" s="12" t="s">
        <v>368</v>
      </c>
      <c r="F25" s="12"/>
      <c r="G25" s="12" t="s">
        <v>25</v>
      </c>
      <c r="H25" s="12"/>
      <c r="I25" s="12"/>
      <c r="J25" s="12" t="s">
        <v>11</v>
      </c>
      <c r="K25" s="12" t="s">
        <v>212</v>
      </c>
      <c r="L25" s="12"/>
      <c r="M25" s="12"/>
      <c r="N25" s="12"/>
      <c r="O25" s="14" t="s">
        <v>635</v>
      </c>
      <c r="P25" s="14">
        <v>0</v>
      </c>
      <c r="Q25" s="12" t="s">
        <v>712</v>
      </c>
      <c r="R25" s="12">
        <v>1</v>
      </c>
      <c r="S25" s="12">
        <v>0</v>
      </c>
      <c r="T25" s="12">
        <v>9999</v>
      </c>
      <c r="U25" s="12">
        <v>5</v>
      </c>
    </row>
    <row r="26" spans="1:21">
      <c r="A26" s="17">
        <v>1000023</v>
      </c>
      <c r="B26" s="12" t="s">
        <v>220</v>
      </c>
      <c r="C26" s="12" t="s">
        <v>473</v>
      </c>
      <c r="D26" s="12" t="s">
        <v>932</v>
      </c>
      <c r="E26" s="12" t="s">
        <v>368</v>
      </c>
      <c r="F26" s="12"/>
      <c r="G26" s="12" t="s">
        <v>25</v>
      </c>
      <c r="H26" s="12"/>
      <c r="I26" s="12"/>
      <c r="J26" s="12" t="s">
        <v>11</v>
      </c>
      <c r="K26" s="12" t="s">
        <v>212</v>
      </c>
      <c r="L26" s="12"/>
      <c r="M26" s="12"/>
      <c r="N26" s="12"/>
      <c r="O26" s="14" t="s">
        <v>635</v>
      </c>
      <c r="P26" s="14">
        <v>0</v>
      </c>
      <c r="Q26" s="12" t="s">
        <v>713</v>
      </c>
      <c r="R26" s="12">
        <v>1</v>
      </c>
      <c r="S26" s="12">
        <v>0</v>
      </c>
      <c r="T26" s="12">
        <v>9999</v>
      </c>
      <c r="U26" s="12">
        <v>5</v>
      </c>
    </row>
    <row r="27" spans="1:21">
      <c r="A27" s="12">
        <v>1010001</v>
      </c>
      <c r="B27" s="12" t="s">
        <v>259</v>
      </c>
      <c r="C27" s="12" t="s">
        <v>260</v>
      </c>
      <c r="D27" s="12" t="s">
        <v>933</v>
      </c>
      <c r="E27" s="12" t="s">
        <v>18</v>
      </c>
      <c r="F27" s="12"/>
      <c r="G27" s="12" t="s">
        <v>25</v>
      </c>
      <c r="H27" s="12"/>
      <c r="I27" s="12" t="s">
        <v>42</v>
      </c>
      <c r="J27" s="12" t="s">
        <v>11</v>
      </c>
      <c r="K27" s="12" t="s">
        <v>261</v>
      </c>
      <c r="L27" s="12" t="s">
        <v>621</v>
      </c>
      <c r="M27" s="19" t="s">
        <v>631</v>
      </c>
      <c r="N27" s="12" t="s">
        <v>186</v>
      </c>
      <c r="O27" s="12"/>
      <c r="P27" s="12"/>
      <c r="Q27" s="12"/>
      <c r="R27" s="12">
        <v>1</v>
      </c>
      <c r="S27" s="12">
        <v>3</v>
      </c>
      <c r="T27" s="12">
        <v>9999</v>
      </c>
      <c r="U27" s="12">
        <v>5</v>
      </c>
    </row>
    <row r="28" spans="1:21">
      <c r="A28" s="12">
        <v>1010002</v>
      </c>
      <c r="B28" s="12" t="s">
        <v>250</v>
      </c>
      <c r="C28" s="12" t="s">
        <v>252</v>
      </c>
      <c r="D28" s="12" t="s">
        <v>934</v>
      </c>
      <c r="E28" s="12" t="s">
        <v>18</v>
      </c>
      <c r="F28" s="12"/>
      <c r="G28" s="12" t="s">
        <v>25</v>
      </c>
      <c r="H28" s="12"/>
      <c r="I28" s="12" t="s">
        <v>43</v>
      </c>
      <c r="J28" s="12" t="s">
        <v>11</v>
      </c>
      <c r="K28" s="12" t="s">
        <v>255</v>
      </c>
      <c r="L28" s="12" t="s">
        <v>619</v>
      </c>
      <c r="M28" s="19" t="s">
        <v>632</v>
      </c>
      <c r="N28" s="12" t="s">
        <v>186</v>
      </c>
      <c r="O28" s="12"/>
      <c r="P28" s="12"/>
      <c r="Q28" s="12"/>
      <c r="R28" s="12">
        <v>1</v>
      </c>
      <c r="S28" s="12">
        <v>3</v>
      </c>
      <c r="T28" s="12">
        <v>9999</v>
      </c>
      <c r="U28" s="12">
        <v>5</v>
      </c>
    </row>
    <row r="29" spans="1:21">
      <c r="A29" s="12">
        <v>1010003</v>
      </c>
      <c r="B29" s="12" t="s">
        <v>251</v>
      </c>
      <c r="C29" s="12" t="s">
        <v>253</v>
      </c>
      <c r="D29" s="12" t="s">
        <v>935</v>
      </c>
      <c r="E29" s="12" t="s">
        <v>18</v>
      </c>
      <c r="F29" s="12"/>
      <c r="G29" s="12" t="s">
        <v>53</v>
      </c>
      <c r="H29" s="12" t="s">
        <v>254</v>
      </c>
      <c r="I29" s="12" t="s">
        <v>571</v>
      </c>
      <c r="J29" s="12" t="s">
        <v>11</v>
      </c>
      <c r="K29" s="12" t="s">
        <v>256</v>
      </c>
      <c r="L29" s="12" t="s">
        <v>621</v>
      </c>
      <c r="M29" s="19" t="s">
        <v>633</v>
      </c>
      <c r="N29" s="12" t="s">
        <v>186</v>
      </c>
      <c r="O29" s="12"/>
      <c r="P29" s="12"/>
      <c r="Q29" s="12"/>
      <c r="R29" s="12">
        <v>1</v>
      </c>
      <c r="S29" s="12">
        <v>4</v>
      </c>
      <c r="T29" s="12">
        <v>9999</v>
      </c>
      <c r="U29" s="12">
        <v>5</v>
      </c>
    </row>
    <row r="30" spans="1:21">
      <c r="A30" s="12">
        <v>1100001</v>
      </c>
      <c r="B30" s="12" t="s">
        <v>443</v>
      </c>
      <c r="C30" s="12" t="s">
        <v>439</v>
      </c>
      <c r="D30" s="12" t="s">
        <v>936</v>
      </c>
      <c r="E30" s="12" t="s">
        <v>372</v>
      </c>
      <c r="F30" s="12"/>
      <c r="G30" s="12" t="s">
        <v>25</v>
      </c>
      <c r="H30" s="12"/>
      <c r="I30" s="12"/>
      <c r="J30" s="12"/>
      <c r="K30" s="12" t="s">
        <v>444</v>
      </c>
      <c r="L30" s="12"/>
      <c r="M30" s="12"/>
      <c r="N30" s="12" t="s">
        <v>180</v>
      </c>
      <c r="O30" s="14" t="s">
        <v>635</v>
      </c>
      <c r="P30" s="14">
        <v>0</v>
      </c>
      <c r="Q30" s="12" t="s">
        <v>714</v>
      </c>
      <c r="R30" s="12">
        <v>1</v>
      </c>
      <c r="S30" s="12">
        <v>9999</v>
      </c>
      <c r="T30" s="12">
        <v>9999</v>
      </c>
      <c r="U30" s="12">
        <v>9999</v>
      </c>
    </row>
    <row r="31" spans="1:21">
      <c r="A31" s="12">
        <v>1100002</v>
      </c>
      <c r="B31" s="12" t="s">
        <v>443</v>
      </c>
      <c r="C31" s="12" t="s">
        <v>440</v>
      </c>
      <c r="D31" s="12" t="s">
        <v>937</v>
      </c>
      <c r="E31" s="12" t="s">
        <v>368</v>
      </c>
      <c r="F31" s="12"/>
      <c r="G31" s="12" t="s">
        <v>25</v>
      </c>
      <c r="H31" s="12"/>
      <c r="I31" s="12"/>
      <c r="J31" s="12"/>
      <c r="K31" s="12" t="s">
        <v>445</v>
      </c>
      <c r="L31" s="12"/>
      <c r="M31" s="12"/>
      <c r="N31" s="12" t="s">
        <v>180</v>
      </c>
      <c r="O31" s="14" t="s">
        <v>635</v>
      </c>
      <c r="P31" s="14">
        <v>0</v>
      </c>
      <c r="Q31" s="12" t="s">
        <v>715</v>
      </c>
      <c r="R31" s="12">
        <v>1</v>
      </c>
      <c r="S31" s="12">
        <v>9999</v>
      </c>
      <c r="T31" s="12">
        <v>9999</v>
      </c>
      <c r="U31" s="12">
        <v>9999</v>
      </c>
    </row>
    <row r="32" spans="1:21">
      <c r="A32" s="12">
        <v>1100003</v>
      </c>
      <c r="B32" s="12" t="s">
        <v>443</v>
      </c>
      <c r="C32" s="12" t="s">
        <v>441</v>
      </c>
      <c r="D32" s="12" t="s">
        <v>938</v>
      </c>
      <c r="E32" s="12" t="s">
        <v>368</v>
      </c>
      <c r="F32" s="12"/>
      <c r="G32" s="12" t="s">
        <v>25</v>
      </c>
      <c r="H32" s="12"/>
      <c r="I32" s="12"/>
      <c r="J32" s="12"/>
      <c r="K32" s="12" t="s">
        <v>445</v>
      </c>
      <c r="L32" s="12"/>
      <c r="M32" s="12"/>
      <c r="N32" s="12" t="s">
        <v>180</v>
      </c>
      <c r="O32" s="14" t="s">
        <v>635</v>
      </c>
      <c r="P32" s="14">
        <v>0</v>
      </c>
      <c r="Q32" s="12" t="s">
        <v>716</v>
      </c>
      <c r="R32" s="12">
        <v>1</v>
      </c>
      <c r="S32" s="12">
        <v>9999</v>
      </c>
      <c r="T32" s="12">
        <v>9999</v>
      </c>
      <c r="U32" s="12">
        <v>9999</v>
      </c>
    </row>
    <row r="33" spans="1:21">
      <c r="A33" s="12">
        <v>1100004</v>
      </c>
      <c r="B33" s="12" t="s">
        <v>443</v>
      </c>
      <c r="C33" s="12" t="s">
        <v>442</v>
      </c>
      <c r="D33" s="12" t="s">
        <v>939</v>
      </c>
      <c r="E33" s="12" t="s">
        <v>372</v>
      </c>
      <c r="F33" s="12"/>
      <c r="G33" s="12" t="s">
        <v>25</v>
      </c>
      <c r="H33" s="12"/>
      <c r="I33" s="12"/>
      <c r="J33" s="12"/>
      <c r="K33" s="12" t="s">
        <v>446</v>
      </c>
      <c r="L33" s="12"/>
      <c r="M33" s="12"/>
      <c r="N33" s="12" t="s">
        <v>447</v>
      </c>
      <c r="O33" s="14" t="s">
        <v>635</v>
      </c>
      <c r="P33" s="14">
        <v>0</v>
      </c>
      <c r="Q33" s="12" t="s">
        <v>717</v>
      </c>
      <c r="R33" s="12">
        <v>1</v>
      </c>
      <c r="S33" s="12">
        <v>9999</v>
      </c>
      <c r="T33" s="12">
        <v>9999</v>
      </c>
      <c r="U33" s="12">
        <v>9999</v>
      </c>
    </row>
    <row r="34" spans="1:21">
      <c r="A34" s="12">
        <v>1100005</v>
      </c>
      <c r="B34" s="12" t="s">
        <v>457</v>
      </c>
      <c r="C34" s="12" t="s">
        <v>458</v>
      </c>
      <c r="D34" s="12" t="s">
        <v>940</v>
      </c>
      <c r="E34" s="12" t="s">
        <v>372</v>
      </c>
      <c r="F34" s="12"/>
      <c r="G34" s="12" t="s">
        <v>25</v>
      </c>
      <c r="H34" s="12"/>
      <c r="I34" s="12"/>
      <c r="J34" s="12"/>
      <c r="K34" s="12" t="s">
        <v>444</v>
      </c>
      <c r="L34" s="12"/>
      <c r="M34" s="12"/>
      <c r="N34" s="12" t="s">
        <v>180</v>
      </c>
      <c r="O34" s="14" t="s">
        <v>635</v>
      </c>
      <c r="P34" s="14">
        <v>0</v>
      </c>
      <c r="Q34" s="12" t="s">
        <v>718</v>
      </c>
      <c r="R34" s="12">
        <v>1</v>
      </c>
      <c r="S34" s="12">
        <v>9999</v>
      </c>
      <c r="T34" s="12">
        <v>9999</v>
      </c>
      <c r="U34" s="12">
        <v>9999</v>
      </c>
    </row>
    <row r="35" spans="1:21">
      <c r="A35" s="12">
        <v>1100006</v>
      </c>
      <c r="B35" s="12" t="s">
        <v>457</v>
      </c>
      <c r="C35" s="12" t="s">
        <v>459</v>
      </c>
      <c r="D35" s="12" t="s">
        <v>941</v>
      </c>
      <c r="E35" s="12" t="s">
        <v>368</v>
      </c>
      <c r="F35" s="12"/>
      <c r="G35" s="12" t="s">
        <v>25</v>
      </c>
      <c r="H35" s="12"/>
      <c r="I35" s="12"/>
      <c r="J35" s="12"/>
      <c r="K35" s="12" t="s">
        <v>445</v>
      </c>
      <c r="L35" s="12"/>
      <c r="M35" s="12"/>
      <c r="N35" s="12" t="s">
        <v>180</v>
      </c>
      <c r="O35" s="14" t="s">
        <v>635</v>
      </c>
      <c r="P35" s="14">
        <v>0</v>
      </c>
      <c r="Q35" s="12" t="s">
        <v>719</v>
      </c>
      <c r="R35" s="12">
        <v>1</v>
      </c>
      <c r="S35" s="12">
        <v>9999</v>
      </c>
      <c r="T35" s="12">
        <v>9999</v>
      </c>
      <c r="U35" s="12">
        <v>9999</v>
      </c>
    </row>
    <row r="36" spans="1:21">
      <c r="A36" s="12">
        <v>1100007</v>
      </c>
      <c r="B36" s="12" t="s">
        <v>457</v>
      </c>
      <c r="C36" s="12" t="s">
        <v>460</v>
      </c>
      <c r="D36" s="12" t="s">
        <v>942</v>
      </c>
      <c r="E36" s="12" t="s">
        <v>368</v>
      </c>
      <c r="F36" s="20"/>
      <c r="G36" s="12" t="s">
        <v>25</v>
      </c>
      <c r="H36" s="12"/>
      <c r="I36" s="12"/>
      <c r="J36" s="12"/>
      <c r="K36" s="12" t="s">
        <v>445</v>
      </c>
      <c r="L36" s="12"/>
      <c r="M36" s="12"/>
      <c r="N36" s="12" t="s">
        <v>180</v>
      </c>
      <c r="O36" s="14" t="s">
        <v>635</v>
      </c>
      <c r="P36" s="14">
        <v>0</v>
      </c>
      <c r="Q36" s="12" t="s">
        <v>720</v>
      </c>
      <c r="R36" s="12">
        <v>1</v>
      </c>
      <c r="S36" s="12">
        <v>9999</v>
      </c>
      <c r="T36" s="12">
        <v>9999</v>
      </c>
      <c r="U36" s="12">
        <v>9999</v>
      </c>
    </row>
    <row r="37" spans="1:21">
      <c r="A37" s="12">
        <v>1100008</v>
      </c>
      <c r="B37" s="12" t="s">
        <v>457</v>
      </c>
      <c r="C37" s="12" t="s">
        <v>461</v>
      </c>
      <c r="D37" s="12" t="s">
        <v>943</v>
      </c>
      <c r="E37" s="12" t="s">
        <v>372</v>
      </c>
      <c r="F37" s="12"/>
      <c r="G37" s="12" t="s">
        <v>25</v>
      </c>
      <c r="H37" s="12"/>
      <c r="I37" s="12"/>
      <c r="J37" s="12"/>
      <c r="K37" s="12" t="s">
        <v>446</v>
      </c>
      <c r="L37" s="12"/>
      <c r="M37" s="12"/>
      <c r="N37" s="12" t="s">
        <v>447</v>
      </c>
      <c r="O37" s="14" t="s">
        <v>635</v>
      </c>
      <c r="P37" s="14">
        <v>0</v>
      </c>
      <c r="Q37" s="12" t="s">
        <v>721</v>
      </c>
      <c r="R37" s="12">
        <v>1</v>
      </c>
      <c r="S37" s="12">
        <v>9999</v>
      </c>
      <c r="T37" s="12">
        <v>9999</v>
      </c>
      <c r="U37" s="12">
        <v>9999</v>
      </c>
    </row>
    <row r="38" spans="1:21">
      <c r="A38" s="12">
        <v>1100009</v>
      </c>
      <c r="B38" s="12" t="s">
        <v>465</v>
      </c>
      <c r="C38" s="12" t="s">
        <v>464</v>
      </c>
      <c r="D38" s="12" t="s">
        <v>944</v>
      </c>
      <c r="E38" s="12" t="s">
        <v>368</v>
      </c>
      <c r="F38" s="12"/>
      <c r="G38" s="12" t="s">
        <v>31</v>
      </c>
      <c r="H38" s="12"/>
      <c r="I38" s="12"/>
      <c r="J38" s="12"/>
      <c r="K38" s="12" t="s">
        <v>445</v>
      </c>
      <c r="L38" s="12"/>
      <c r="M38" s="12"/>
      <c r="N38" s="12" t="s">
        <v>447</v>
      </c>
      <c r="O38" s="14" t="s">
        <v>635</v>
      </c>
      <c r="P38" s="14">
        <v>0</v>
      </c>
      <c r="Q38" s="12" t="s">
        <v>722</v>
      </c>
      <c r="R38" s="12">
        <v>1</v>
      </c>
      <c r="S38" s="12">
        <v>9999</v>
      </c>
      <c r="T38" s="12">
        <v>9999</v>
      </c>
      <c r="U38" s="12">
        <v>9999</v>
      </c>
    </row>
    <row r="39" spans="1:21">
      <c r="A39" s="12">
        <v>1100010</v>
      </c>
      <c r="B39" s="12" t="s">
        <v>510</v>
      </c>
      <c r="C39" s="12" t="s">
        <v>511</v>
      </c>
      <c r="D39" s="12" t="s">
        <v>945</v>
      </c>
      <c r="E39" s="12" t="s">
        <v>529</v>
      </c>
      <c r="F39" s="12"/>
      <c r="G39" s="12" t="s">
        <v>515</v>
      </c>
      <c r="H39" s="12"/>
      <c r="I39" s="12"/>
      <c r="J39" s="12"/>
      <c r="K39" s="12" t="s">
        <v>517</v>
      </c>
      <c r="L39" s="12"/>
      <c r="M39" s="12"/>
      <c r="N39" s="12" t="s">
        <v>447</v>
      </c>
      <c r="O39" s="14" t="s">
        <v>635</v>
      </c>
      <c r="P39" s="14">
        <v>0</v>
      </c>
      <c r="Q39" s="12" t="s">
        <v>723</v>
      </c>
      <c r="R39" s="12">
        <v>1</v>
      </c>
      <c r="S39" s="12">
        <v>9999</v>
      </c>
      <c r="T39" s="12">
        <v>9999</v>
      </c>
      <c r="U39" s="12">
        <v>9999</v>
      </c>
    </row>
    <row r="40" spans="1:21">
      <c r="A40" s="12">
        <v>1100011</v>
      </c>
      <c r="B40" s="12" t="s">
        <v>510</v>
      </c>
      <c r="C40" s="12" t="s">
        <v>512</v>
      </c>
      <c r="D40" s="12" t="s">
        <v>946</v>
      </c>
      <c r="E40" s="12" t="s">
        <v>529</v>
      </c>
      <c r="F40" s="12"/>
      <c r="G40" s="12" t="s">
        <v>515</v>
      </c>
      <c r="H40" s="12"/>
      <c r="I40" s="12"/>
      <c r="J40" s="12"/>
      <c r="K40" s="12" t="s">
        <v>517</v>
      </c>
      <c r="L40" s="12"/>
      <c r="M40" s="12"/>
      <c r="N40" s="12" t="s">
        <v>447</v>
      </c>
      <c r="O40" s="14" t="s">
        <v>635</v>
      </c>
      <c r="P40" s="14">
        <v>0</v>
      </c>
      <c r="Q40" s="12" t="s">
        <v>724</v>
      </c>
      <c r="R40" s="12">
        <v>1</v>
      </c>
      <c r="S40" s="12">
        <v>9999</v>
      </c>
      <c r="T40" s="12">
        <v>9999</v>
      </c>
      <c r="U40" s="12">
        <v>9999</v>
      </c>
    </row>
    <row r="41" spans="1:21">
      <c r="A41" s="12">
        <v>1100012</v>
      </c>
      <c r="B41" s="12" t="s">
        <v>510</v>
      </c>
      <c r="C41" s="12" t="s">
        <v>513</v>
      </c>
      <c r="D41" s="12" t="s">
        <v>947</v>
      </c>
      <c r="E41" s="12" t="s">
        <v>529</v>
      </c>
      <c r="F41" s="12"/>
      <c r="G41" s="12" t="s">
        <v>515</v>
      </c>
      <c r="H41" s="12"/>
      <c r="I41" s="12"/>
      <c r="J41" s="12"/>
      <c r="K41" s="12" t="s">
        <v>518</v>
      </c>
      <c r="L41" s="12"/>
      <c r="M41" s="12"/>
      <c r="N41" s="12" t="s">
        <v>447</v>
      </c>
      <c r="O41" s="14" t="s">
        <v>635</v>
      </c>
      <c r="P41" s="14">
        <v>0</v>
      </c>
      <c r="Q41" s="12" t="s">
        <v>725</v>
      </c>
      <c r="R41" s="12">
        <v>1</v>
      </c>
      <c r="S41" s="12">
        <v>9999</v>
      </c>
      <c r="T41" s="12">
        <v>9999</v>
      </c>
      <c r="U41" s="12">
        <v>9999</v>
      </c>
    </row>
    <row r="42" spans="1:21">
      <c r="A42" s="12">
        <v>1100013</v>
      </c>
      <c r="B42" s="12" t="s">
        <v>510</v>
      </c>
      <c r="C42" s="12" t="s">
        <v>514</v>
      </c>
      <c r="D42" s="12" t="s">
        <v>948</v>
      </c>
      <c r="E42" s="12" t="s">
        <v>529</v>
      </c>
      <c r="F42" s="12"/>
      <c r="G42" s="12" t="s">
        <v>516</v>
      </c>
      <c r="H42" s="12"/>
      <c r="I42" s="12"/>
      <c r="J42" s="12"/>
      <c r="K42" s="12" t="s">
        <v>519</v>
      </c>
      <c r="L42" s="12"/>
      <c r="M42" s="12"/>
      <c r="N42" s="12" t="s">
        <v>447</v>
      </c>
      <c r="O42" s="14" t="s">
        <v>635</v>
      </c>
      <c r="P42" s="14">
        <v>0</v>
      </c>
      <c r="Q42" s="12" t="s">
        <v>726</v>
      </c>
      <c r="R42" s="12">
        <v>1</v>
      </c>
      <c r="S42" s="12">
        <v>9999</v>
      </c>
      <c r="T42" s="12">
        <v>9999</v>
      </c>
      <c r="U42" s="12">
        <v>9999</v>
      </c>
    </row>
    <row r="43" spans="1:21">
      <c r="A43" s="12">
        <v>1100014</v>
      </c>
      <c r="B43" s="12" t="s">
        <v>523</v>
      </c>
      <c r="C43" s="12" t="s">
        <v>524</v>
      </c>
      <c r="D43" s="12" t="s">
        <v>949</v>
      </c>
      <c r="E43" s="12" t="s">
        <v>531</v>
      </c>
      <c r="F43" s="12"/>
      <c r="G43" s="12" t="s">
        <v>53</v>
      </c>
      <c r="H43" s="12">
        <v>1</v>
      </c>
      <c r="I43" s="12"/>
      <c r="J43" s="12"/>
      <c r="K43" s="12" t="s">
        <v>518</v>
      </c>
      <c r="L43" s="12"/>
      <c r="M43" s="12"/>
      <c r="N43" s="12" t="s">
        <v>447</v>
      </c>
      <c r="O43" s="14" t="s">
        <v>388</v>
      </c>
      <c r="P43" s="14">
        <v>0</v>
      </c>
      <c r="Q43" s="12" t="s">
        <v>727</v>
      </c>
      <c r="R43" s="12">
        <v>1</v>
      </c>
      <c r="S43" s="12">
        <v>9999</v>
      </c>
      <c r="T43" s="12">
        <v>9999</v>
      </c>
      <c r="U43" s="12">
        <v>6</v>
      </c>
    </row>
    <row r="44" spans="1:21">
      <c r="A44" s="12">
        <v>1100015</v>
      </c>
      <c r="B44" s="12" t="s">
        <v>523</v>
      </c>
      <c r="C44" s="12" t="s">
        <v>525</v>
      </c>
      <c r="D44" s="12" t="s">
        <v>950</v>
      </c>
      <c r="E44" s="12" t="s">
        <v>531</v>
      </c>
      <c r="F44" s="12"/>
      <c r="G44" s="12" t="s">
        <v>53</v>
      </c>
      <c r="H44" s="12">
        <v>1</v>
      </c>
      <c r="I44" s="12"/>
      <c r="J44" s="12"/>
      <c r="K44" s="12" t="s">
        <v>532</v>
      </c>
      <c r="L44" s="12"/>
      <c r="M44" s="12"/>
      <c r="N44" s="12" t="s">
        <v>447</v>
      </c>
      <c r="O44" s="14" t="s">
        <v>388</v>
      </c>
      <c r="P44" s="14">
        <v>0</v>
      </c>
      <c r="Q44" s="12" t="s">
        <v>728</v>
      </c>
      <c r="R44" s="12">
        <v>1</v>
      </c>
      <c r="S44" s="12">
        <v>9999</v>
      </c>
      <c r="T44" s="12">
        <v>9999</v>
      </c>
      <c r="U44" s="12">
        <v>5</v>
      </c>
    </row>
    <row r="45" spans="1:21">
      <c r="A45" s="12">
        <v>1100016</v>
      </c>
      <c r="B45" s="12" t="s">
        <v>523</v>
      </c>
      <c r="C45" s="12" t="s">
        <v>526</v>
      </c>
      <c r="D45" s="12" t="s">
        <v>951</v>
      </c>
      <c r="E45" s="12" t="s">
        <v>531</v>
      </c>
      <c r="F45" s="12"/>
      <c r="G45" s="12" t="s">
        <v>53</v>
      </c>
      <c r="H45" s="12">
        <v>1</v>
      </c>
      <c r="I45" s="12"/>
      <c r="J45" s="12"/>
      <c r="K45" s="12" t="s">
        <v>518</v>
      </c>
      <c r="L45" s="12"/>
      <c r="M45" s="12"/>
      <c r="N45" s="12" t="s">
        <v>447</v>
      </c>
      <c r="O45" s="14" t="s">
        <v>388</v>
      </c>
      <c r="P45" s="14">
        <v>0</v>
      </c>
      <c r="Q45" s="12" t="s">
        <v>729</v>
      </c>
      <c r="R45" s="12">
        <v>1</v>
      </c>
      <c r="S45" s="12">
        <v>9999</v>
      </c>
      <c r="T45" s="12">
        <v>9999</v>
      </c>
      <c r="U45" s="12">
        <v>4</v>
      </c>
    </row>
    <row r="46" spans="1:21">
      <c r="A46" s="12">
        <v>1100017</v>
      </c>
      <c r="B46" s="12" t="s">
        <v>523</v>
      </c>
      <c r="C46" s="12" t="s">
        <v>527</v>
      </c>
      <c r="D46" s="12" t="s">
        <v>952</v>
      </c>
      <c r="E46" s="12" t="s">
        <v>531</v>
      </c>
      <c r="F46" s="12"/>
      <c r="G46" s="12" t="s">
        <v>53</v>
      </c>
      <c r="H46" s="12">
        <v>1</v>
      </c>
      <c r="I46" s="12"/>
      <c r="J46" s="12"/>
      <c r="K46" s="12" t="s">
        <v>518</v>
      </c>
      <c r="L46" s="12"/>
      <c r="M46" s="12"/>
      <c r="N46" s="12" t="s">
        <v>447</v>
      </c>
      <c r="O46" s="14" t="s">
        <v>388</v>
      </c>
      <c r="P46" s="14">
        <v>0</v>
      </c>
      <c r="Q46" s="12" t="s">
        <v>730</v>
      </c>
      <c r="R46" s="12">
        <v>1</v>
      </c>
      <c r="S46" s="12">
        <v>9999</v>
      </c>
      <c r="T46" s="12">
        <v>9999</v>
      </c>
      <c r="U46" s="12">
        <v>3</v>
      </c>
    </row>
    <row r="47" spans="1:21">
      <c r="A47" s="12">
        <v>1100018</v>
      </c>
      <c r="B47" s="12" t="s">
        <v>567</v>
      </c>
      <c r="C47" s="12" t="s">
        <v>568</v>
      </c>
      <c r="D47" s="12" t="s">
        <v>953</v>
      </c>
      <c r="E47" s="12" t="s">
        <v>569</v>
      </c>
      <c r="F47" s="12"/>
      <c r="G47" s="12" t="s">
        <v>25</v>
      </c>
      <c r="H47" s="12">
        <v>1</v>
      </c>
      <c r="I47" s="12" t="s">
        <v>570</v>
      </c>
      <c r="J47" s="12" t="s">
        <v>11</v>
      </c>
      <c r="K47" s="12" t="s">
        <v>572</v>
      </c>
      <c r="L47" s="12" t="s">
        <v>621</v>
      </c>
      <c r="M47" s="19" t="s">
        <v>631</v>
      </c>
      <c r="N47" s="12" t="s">
        <v>573</v>
      </c>
      <c r="O47" s="14" t="s">
        <v>635</v>
      </c>
      <c r="P47" s="14">
        <v>0</v>
      </c>
      <c r="Q47" s="12" t="s">
        <v>731</v>
      </c>
      <c r="R47" s="12">
        <v>1</v>
      </c>
      <c r="S47" s="12">
        <v>9999</v>
      </c>
      <c r="T47" s="12">
        <v>9999</v>
      </c>
      <c r="U47" s="12">
        <v>4</v>
      </c>
    </row>
    <row r="48" spans="1:21">
      <c r="A48" s="12">
        <v>1100019</v>
      </c>
      <c r="B48" s="12" t="s">
        <v>577</v>
      </c>
      <c r="C48" s="12" t="s">
        <v>578</v>
      </c>
      <c r="D48" s="12" t="s">
        <v>954</v>
      </c>
      <c r="E48" s="12" t="s">
        <v>582</v>
      </c>
      <c r="F48" s="12"/>
      <c r="G48" s="12" t="s">
        <v>25</v>
      </c>
      <c r="H48" s="12"/>
      <c r="I48" s="12"/>
      <c r="J48" s="12"/>
      <c r="K48" s="12">
        <v>0</v>
      </c>
      <c r="L48" s="12"/>
      <c r="M48" s="12"/>
      <c r="N48" s="12" t="s">
        <v>447</v>
      </c>
      <c r="O48" s="14" t="s">
        <v>635</v>
      </c>
      <c r="P48" s="14">
        <v>0</v>
      </c>
      <c r="Q48" s="12" t="s">
        <v>732</v>
      </c>
      <c r="R48" s="12">
        <v>1</v>
      </c>
      <c r="S48" s="12">
        <v>9999</v>
      </c>
      <c r="T48" s="12">
        <v>9999</v>
      </c>
      <c r="U48" s="12">
        <v>9999</v>
      </c>
    </row>
    <row r="49" spans="1:21">
      <c r="A49" s="12">
        <v>1100020</v>
      </c>
      <c r="B49" s="12" t="s">
        <v>577</v>
      </c>
      <c r="C49" s="12" t="s">
        <v>579</v>
      </c>
      <c r="D49" s="12" t="s">
        <v>955</v>
      </c>
      <c r="E49" s="12" t="s">
        <v>583</v>
      </c>
      <c r="F49" s="12"/>
      <c r="G49" s="12" t="s">
        <v>25</v>
      </c>
      <c r="H49" s="12"/>
      <c r="I49" s="12"/>
      <c r="J49" s="12"/>
      <c r="K49" s="12">
        <v>0</v>
      </c>
      <c r="L49" s="12"/>
      <c r="M49" s="12"/>
      <c r="N49" s="12" t="s">
        <v>447</v>
      </c>
      <c r="O49" s="14" t="s">
        <v>635</v>
      </c>
      <c r="P49" s="14">
        <v>0</v>
      </c>
      <c r="Q49" s="12" t="s">
        <v>733</v>
      </c>
      <c r="R49" s="12">
        <v>1</v>
      </c>
      <c r="S49" s="12">
        <v>9999</v>
      </c>
      <c r="T49" s="12">
        <v>9999</v>
      </c>
      <c r="U49" s="12">
        <v>9999</v>
      </c>
    </row>
    <row r="50" spans="1:21">
      <c r="A50" s="12">
        <v>1100021</v>
      </c>
      <c r="B50" s="12" t="s">
        <v>577</v>
      </c>
      <c r="C50" s="12" t="s">
        <v>580</v>
      </c>
      <c r="D50" s="12" t="s">
        <v>956</v>
      </c>
      <c r="E50" s="12" t="s">
        <v>584</v>
      </c>
      <c r="F50" s="12"/>
      <c r="G50" s="12" t="s">
        <v>25</v>
      </c>
      <c r="H50" s="12"/>
      <c r="I50" s="12"/>
      <c r="J50" s="12"/>
      <c r="K50" s="12">
        <v>0</v>
      </c>
      <c r="L50" s="12"/>
      <c r="M50" s="12"/>
      <c r="N50" s="12" t="s">
        <v>447</v>
      </c>
      <c r="O50" s="14" t="s">
        <v>635</v>
      </c>
      <c r="P50" s="14">
        <v>0</v>
      </c>
      <c r="Q50" s="12" t="s">
        <v>734</v>
      </c>
      <c r="R50" s="12">
        <v>1</v>
      </c>
      <c r="S50" s="12">
        <v>9999</v>
      </c>
      <c r="T50" s="12">
        <v>9999</v>
      </c>
      <c r="U50" s="12">
        <v>9999</v>
      </c>
    </row>
    <row r="51" spans="1:21">
      <c r="A51" s="12">
        <v>1100022</v>
      </c>
      <c r="B51" s="12" t="s">
        <v>577</v>
      </c>
      <c r="C51" s="12" t="s">
        <v>581</v>
      </c>
      <c r="D51" s="12" t="s">
        <v>957</v>
      </c>
      <c r="E51" s="12" t="s">
        <v>583</v>
      </c>
      <c r="F51" s="12"/>
      <c r="G51" s="12" t="s">
        <v>25</v>
      </c>
      <c r="H51" s="12"/>
      <c r="I51" s="12"/>
      <c r="J51" s="12"/>
      <c r="K51" s="12">
        <v>0</v>
      </c>
      <c r="L51" s="12"/>
      <c r="M51" s="12"/>
      <c r="N51" s="12" t="s">
        <v>447</v>
      </c>
      <c r="O51" s="14" t="s">
        <v>635</v>
      </c>
      <c r="P51" s="14">
        <v>0</v>
      </c>
      <c r="Q51" s="12" t="s">
        <v>735</v>
      </c>
      <c r="R51" s="12">
        <v>1</v>
      </c>
      <c r="S51" s="12">
        <v>9999</v>
      </c>
      <c r="T51" s="12">
        <v>9999</v>
      </c>
      <c r="U51" s="12">
        <v>9999</v>
      </c>
    </row>
  </sheetData>
  <phoneticPr fontId="1" type="noConversion"/>
  <conditionalFormatting sqref="A3:U3">
    <cfRule type="duplicateValues" dxfId="67" priority="7"/>
  </conditionalFormatting>
  <conditionalFormatting sqref="A4:A51">
    <cfRule type="duplicateValues" dxfId="66" priority="1"/>
  </conditionalFormatting>
  <dataValidations count="3">
    <dataValidation type="list" allowBlank="1" showInputMessage="1" showErrorMessage="1" sqref="E4:E51">
      <formula1>"DontSelectTarget,Self,Help,Enemy,Monster,Block,LightBlock,DarkBlock,EmptyBlock,ObstructBlock,炮台位置,全炮台位置,卫星,HideMonster,Direction,Monster_iron,Monster_organisms"</formula1>
    </dataValidation>
    <dataValidation type="list" allowBlank="1" showInputMessage="1" showErrorMessage="1" sqref="G4:G51">
      <formula1>"Normal,Random,Random_2,All,Line,Diffuse_1,Diffuse_2,Diffuse_3,Diffuse_4,Diffuse_5,Diffuse_6,Round_1,Round_2,Round_3"</formula1>
    </dataValidation>
    <dataValidation type="list" allowBlank="1" showInputMessage="1" showErrorMessage="1" sqref="L4:L51">
      <formula1>"Physical,Cartridge,Laser"</formula1>
    </dataValidation>
  </dataValidations>
  <hyperlinks>
    <hyperlink ref="E2" location="TargetType" display="TargetType"/>
    <hyperlink ref="G2" location="MultipleType" display="MultipleType"/>
    <hyperlink ref="E3" location="TargetType" display="TargetType"/>
    <hyperlink ref="G3" location="MultipleType" display="MultipleType"/>
    <hyperlink ref="F2" location="TargetLimit" display="TargetLimit"/>
    <hyperlink ref="F3" location="TargetLimit" display="TargetLimit"/>
    <hyperlink ref="L2" location="DamageType" display="DamageType"/>
    <hyperlink ref="L3" location="DamageType" display="DamageType"/>
    <hyperlink ref="O2" location="SpecialEffect" display="SpecialEffect"/>
    <hyperlink ref="O3" location="SpecialEffect" display="SpecialEffect"/>
  </hyperlinks>
  <pageMargins left="0.7" right="0.7" top="0.75" bottom="0.75" header="0.3" footer="0.3"/>
  <pageSetup paperSize="9" orientation="portrait"/>
  <tableParts count="1">
    <tablePart r:id="rId1"/>
  </tableParts>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3:L18"/>
  <sheetViews>
    <sheetView workbookViewId="0">
      <selection activeCell="G17" sqref="G17"/>
    </sheetView>
  </sheetViews>
  <sheetFormatPr baseColWidth="10" defaultColWidth="8.7109375" defaultRowHeight="12" x14ac:dyDescent="0"/>
  <cols>
    <col min="2" max="2" width="11" bestFit="1" customWidth="1"/>
    <col min="6" max="6" width="34.28515625" bestFit="1" customWidth="1"/>
  </cols>
  <sheetData>
    <row r="3" spans="1:12" ht="16">
      <c r="A3" s="7" t="s">
        <v>92</v>
      </c>
      <c r="B3" s="7" t="s">
        <v>90</v>
      </c>
      <c r="C3" s="7" t="s">
        <v>91</v>
      </c>
      <c r="D3" s="7"/>
      <c r="E3" s="7"/>
      <c r="F3" s="7"/>
      <c r="G3" s="7"/>
      <c r="H3" s="7"/>
      <c r="I3" s="7" t="s">
        <v>94</v>
      </c>
      <c r="J3" s="7" t="s">
        <v>95</v>
      </c>
      <c r="K3" s="7"/>
      <c r="L3" s="7"/>
    </row>
    <row r="4" spans="1:12" ht="16">
      <c r="A4" s="7">
        <v>10</v>
      </c>
      <c r="B4" s="7">
        <v>100</v>
      </c>
      <c r="C4" s="7">
        <v>100</v>
      </c>
      <c r="D4" s="7"/>
      <c r="E4" s="7">
        <f>((C4-B4)*2/C4+1)*A4</f>
        <v>10</v>
      </c>
      <c r="F4" s="7" t="s">
        <v>93</v>
      </c>
      <c r="G4" s="7"/>
      <c r="H4" s="7"/>
      <c r="I4" s="7">
        <v>1</v>
      </c>
      <c r="J4" s="7">
        <v>5</v>
      </c>
      <c r="K4" s="7">
        <f>((I4-J4+8)/4)*A4</f>
        <v>10</v>
      </c>
      <c r="L4" s="7" t="s">
        <v>125</v>
      </c>
    </row>
    <row r="5" spans="1:12" ht="16">
      <c r="A5" s="7">
        <v>10</v>
      </c>
      <c r="B5" s="7">
        <v>90</v>
      </c>
      <c r="C5" s="7">
        <v>100</v>
      </c>
      <c r="D5" s="7"/>
      <c r="E5" s="7">
        <f t="shared" ref="E5:E18" si="0">((C5-B5)*2/C5+1)*A5</f>
        <v>12</v>
      </c>
      <c r="F5" s="7"/>
      <c r="G5" s="7"/>
      <c r="H5" s="7"/>
      <c r="I5" s="7">
        <v>2</v>
      </c>
      <c r="J5" s="7">
        <v>5</v>
      </c>
      <c r="K5" s="7">
        <f t="shared" ref="K5:K8" si="1">((I5-J5+8)/4)*A5</f>
        <v>12.5</v>
      </c>
      <c r="L5" s="7"/>
    </row>
    <row r="6" spans="1:12" ht="16">
      <c r="A6" s="7">
        <v>10</v>
      </c>
      <c r="B6" s="7">
        <v>80</v>
      </c>
      <c r="C6" s="7">
        <v>100</v>
      </c>
      <c r="D6" s="7"/>
      <c r="E6" s="7">
        <f t="shared" si="0"/>
        <v>14</v>
      </c>
      <c r="F6" s="7"/>
      <c r="G6" s="7"/>
      <c r="H6" s="7"/>
      <c r="I6" s="7">
        <v>3</v>
      </c>
      <c r="J6" s="7">
        <v>5</v>
      </c>
      <c r="K6" s="7">
        <f t="shared" si="1"/>
        <v>15</v>
      </c>
      <c r="L6" s="7"/>
    </row>
    <row r="7" spans="1:12" ht="16">
      <c r="A7" s="7">
        <v>10</v>
      </c>
      <c r="B7" s="7">
        <v>70</v>
      </c>
      <c r="C7" s="7">
        <v>100</v>
      </c>
      <c r="D7" s="7"/>
      <c r="E7" s="7">
        <f t="shared" si="0"/>
        <v>16</v>
      </c>
      <c r="F7" s="7"/>
      <c r="G7" s="7"/>
      <c r="H7" s="7"/>
      <c r="I7" s="7">
        <v>4</v>
      </c>
      <c r="J7" s="7">
        <v>5</v>
      </c>
      <c r="K7" s="7">
        <f t="shared" si="1"/>
        <v>17.5</v>
      </c>
      <c r="L7" s="7"/>
    </row>
    <row r="8" spans="1:12" ht="16">
      <c r="A8" s="7">
        <v>10</v>
      </c>
      <c r="B8" s="7">
        <v>60</v>
      </c>
      <c r="C8" s="7">
        <v>100</v>
      </c>
      <c r="D8" s="7"/>
      <c r="E8" s="7">
        <f t="shared" si="0"/>
        <v>18</v>
      </c>
      <c r="F8" s="7"/>
      <c r="G8" s="7"/>
      <c r="H8" s="7"/>
      <c r="I8" s="7">
        <v>5</v>
      </c>
      <c r="J8" s="7">
        <v>5</v>
      </c>
      <c r="K8" s="7">
        <f t="shared" si="1"/>
        <v>20</v>
      </c>
      <c r="L8" s="7"/>
    </row>
    <row r="9" spans="1:12" ht="16">
      <c r="A9" s="7">
        <v>10</v>
      </c>
      <c r="B9" s="7">
        <v>50</v>
      </c>
      <c r="C9" s="7">
        <v>100</v>
      </c>
      <c r="D9" s="7"/>
      <c r="E9" s="7">
        <f t="shared" si="0"/>
        <v>20</v>
      </c>
      <c r="F9" s="7"/>
      <c r="G9" s="7"/>
      <c r="H9" s="7"/>
      <c r="I9" s="7"/>
      <c r="J9" s="7"/>
      <c r="K9" s="7"/>
      <c r="L9" s="7"/>
    </row>
    <row r="10" spans="1:12" ht="16">
      <c r="A10" s="7">
        <v>10</v>
      </c>
      <c r="B10" s="7">
        <v>40</v>
      </c>
      <c r="C10" s="7">
        <v>100</v>
      </c>
      <c r="D10" s="7"/>
      <c r="E10" s="7">
        <f t="shared" si="0"/>
        <v>22</v>
      </c>
      <c r="F10" s="7"/>
      <c r="G10" s="7"/>
      <c r="H10" s="7"/>
      <c r="I10" s="7"/>
      <c r="J10" s="7"/>
      <c r="K10" s="7"/>
      <c r="L10" s="7"/>
    </row>
    <row r="11" spans="1:12" ht="16">
      <c r="A11" s="7">
        <v>10</v>
      </c>
      <c r="B11" s="7">
        <v>30</v>
      </c>
      <c r="C11" s="7">
        <v>100</v>
      </c>
      <c r="D11" s="7"/>
      <c r="E11" s="7">
        <f t="shared" si="0"/>
        <v>24</v>
      </c>
      <c r="F11" s="7"/>
      <c r="G11" s="7"/>
      <c r="H11" s="7"/>
      <c r="I11" s="7"/>
      <c r="J11" s="7"/>
      <c r="K11" s="7"/>
      <c r="L11" s="7"/>
    </row>
    <row r="12" spans="1:12" ht="16">
      <c r="A12" s="7">
        <v>10</v>
      </c>
      <c r="B12" s="7">
        <v>20</v>
      </c>
      <c r="C12" s="7">
        <v>100</v>
      </c>
      <c r="D12" s="7"/>
      <c r="E12" s="7">
        <f t="shared" si="0"/>
        <v>26</v>
      </c>
      <c r="F12" s="7"/>
      <c r="G12" s="7"/>
      <c r="H12" s="7"/>
      <c r="I12" s="7"/>
      <c r="J12" s="7"/>
      <c r="K12" s="7"/>
      <c r="L12" s="7"/>
    </row>
    <row r="13" spans="1:12" ht="16">
      <c r="A13" s="7">
        <v>10</v>
      </c>
      <c r="B13" s="7">
        <v>10</v>
      </c>
      <c r="C13" s="7">
        <v>100</v>
      </c>
      <c r="D13" s="7"/>
      <c r="E13" s="7">
        <f t="shared" si="0"/>
        <v>28</v>
      </c>
      <c r="F13" s="7"/>
      <c r="G13" s="7"/>
      <c r="H13" s="7"/>
      <c r="I13" s="7"/>
      <c r="J13" s="7"/>
      <c r="K13" s="7"/>
      <c r="L13" s="7"/>
    </row>
    <row r="14" spans="1:12" ht="16">
      <c r="A14" s="7">
        <v>10</v>
      </c>
      <c r="B14" s="7">
        <v>0</v>
      </c>
      <c r="C14" s="7">
        <v>100</v>
      </c>
      <c r="D14" s="7"/>
      <c r="E14" s="7">
        <f t="shared" si="0"/>
        <v>30</v>
      </c>
      <c r="F14" s="7"/>
      <c r="G14" s="7"/>
      <c r="H14" s="7"/>
      <c r="I14" s="7"/>
      <c r="J14" s="7"/>
      <c r="K14" s="7"/>
      <c r="L14" s="7"/>
    </row>
    <row r="15" spans="1:12" ht="16">
      <c r="A15" s="7">
        <v>10</v>
      </c>
      <c r="B15" s="7"/>
      <c r="C15" s="7">
        <v>100</v>
      </c>
      <c r="D15" s="7"/>
      <c r="E15" s="7">
        <f t="shared" si="0"/>
        <v>30</v>
      </c>
      <c r="F15" s="7"/>
      <c r="G15" s="7"/>
      <c r="H15" s="7"/>
      <c r="I15" s="7"/>
      <c r="J15" s="7"/>
      <c r="K15" s="7"/>
      <c r="L15" s="7"/>
    </row>
    <row r="16" spans="1:12" ht="16">
      <c r="A16" s="7">
        <v>10</v>
      </c>
      <c r="B16" s="7"/>
      <c r="C16" s="7">
        <v>100</v>
      </c>
      <c r="D16" s="7"/>
      <c r="E16" s="7">
        <f t="shared" si="0"/>
        <v>30</v>
      </c>
      <c r="F16" s="7"/>
      <c r="G16" s="7"/>
      <c r="H16" s="7"/>
      <c r="I16" s="7"/>
      <c r="J16" s="7"/>
      <c r="K16" s="7"/>
      <c r="L16" s="7"/>
    </row>
    <row r="17" spans="1:12" ht="16">
      <c r="A17" s="7">
        <v>10</v>
      </c>
      <c r="B17" s="7"/>
      <c r="C17" s="7">
        <v>100</v>
      </c>
      <c r="D17" s="7"/>
      <c r="E17" s="7">
        <f t="shared" si="0"/>
        <v>30</v>
      </c>
      <c r="F17" s="7"/>
      <c r="G17" s="7"/>
      <c r="H17" s="7"/>
      <c r="I17" s="7"/>
      <c r="J17" s="7"/>
      <c r="K17" s="7"/>
      <c r="L17" s="7"/>
    </row>
    <row r="18" spans="1:12" ht="16">
      <c r="A18" s="7">
        <v>10</v>
      </c>
      <c r="B18" s="7"/>
      <c r="C18" s="7">
        <v>100</v>
      </c>
      <c r="D18" s="7"/>
      <c r="E18" s="7">
        <f t="shared" si="0"/>
        <v>30</v>
      </c>
      <c r="F18" s="7"/>
      <c r="G18" s="7"/>
      <c r="H18" s="7"/>
      <c r="I18" s="7"/>
      <c r="J18" s="7"/>
      <c r="K18" s="7"/>
      <c r="L18" s="7"/>
    </row>
  </sheetData>
  <phoneticPr fontId="1" type="noConversion"/>
  <pageMargins left="0.7" right="0.7" top="0.75" bottom="0.75" header="0.3" footer="0.3"/>
  <pageSetup paperSize="9" orientation="portrai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M14"/>
  <sheetViews>
    <sheetView showGridLines="0" workbookViewId="0">
      <selection activeCell="D4" sqref="D4:D8"/>
    </sheetView>
  </sheetViews>
  <sheetFormatPr baseColWidth="10" defaultColWidth="8.7109375" defaultRowHeight="16" x14ac:dyDescent="0"/>
  <cols>
    <col min="1" max="1" width="9.5703125" style="1" bestFit="1" customWidth="1"/>
    <col min="2" max="2" width="10.5703125" style="1" bestFit="1" customWidth="1"/>
    <col min="3" max="3" width="43.5703125" style="1" bestFit="1" customWidth="1"/>
    <col min="4" max="4" width="43.5703125" style="1" customWidth="1"/>
    <col min="5" max="5" width="18.42578125" style="1" bestFit="1" customWidth="1"/>
    <col min="6" max="6" width="18.42578125" style="1" customWidth="1"/>
    <col min="7" max="7" width="11" style="1" customWidth="1"/>
    <col min="8" max="8" width="44.42578125" style="1" customWidth="1"/>
    <col min="9" max="9" width="17.140625" style="1" customWidth="1"/>
    <col min="10" max="10" width="29.5703125" style="1" bestFit="1" customWidth="1"/>
    <col min="11" max="11" width="44.42578125" style="1" customWidth="1"/>
    <col min="12" max="16384" width="8.7109375" style="1"/>
  </cols>
  <sheetData>
    <row r="1" spans="1:13" s="5" customFormat="1" ht="99.75" customHeight="1">
      <c r="A1" s="11" t="s">
        <v>662</v>
      </c>
      <c r="B1" s="11" t="s">
        <v>682</v>
      </c>
      <c r="C1" s="11" t="s">
        <v>7</v>
      </c>
      <c r="D1" s="11" t="s">
        <v>664</v>
      </c>
      <c r="E1" s="11" t="s">
        <v>683</v>
      </c>
      <c r="F1" s="10" t="s">
        <v>688</v>
      </c>
      <c r="G1" s="29" t="s">
        <v>684</v>
      </c>
      <c r="H1" s="11" t="s">
        <v>685</v>
      </c>
      <c r="I1" s="29" t="s">
        <v>686</v>
      </c>
      <c r="J1" s="29" t="s">
        <v>687</v>
      </c>
      <c r="K1" s="21" t="s">
        <v>901</v>
      </c>
    </row>
    <row r="2" spans="1:13">
      <c r="A2" s="12" t="s">
        <v>1</v>
      </c>
      <c r="B2" s="12" t="s">
        <v>3</v>
      </c>
      <c r="C2" s="12" t="s">
        <v>3</v>
      </c>
      <c r="D2" s="12" t="s">
        <v>609</v>
      </c>
      <c r="E2" s="13" t="s">
        <v>9</v>
      </c>
      <c r="F2" s="12" t="s">
        <v>47</v>
      </c>
      <c r="G2" s="14" t="s">
        <v>13</v>
      </c>
      <c r="H2" s="12" t="s">
        <v>615</v>
      </c>
      <c r="I2" s="14" t="s">
        <v>12</v>
      </c>
      <c r="J2" s="22" t="s">
        <v>77</v>
      </c>
      <c r="K2" s="14" t="s">
        <v>902</v>
      </c>
    </row>
    <row r="3" spans="1:13">
      <c r="A3" s="15" t="s">
        <v>2</v>
      </c>
      <c r="B3" s="15" t="s">
        <v>4</v>
      </c>
      <c r="C3" s="15" t="s">
        <v>36</v>
      </c>
      <c r="D3" s="15" t="s">
        <v>909</v>
      </c>
      <c r="E3" s="16" t="s">
        <v>70</v>
      </c>
      <c r="F3" s="15" t="s">
        <v>87</v>
      </c>
      <c r="G3" s="15" t="s">
        <v>610</v>
      </c>
      <c r="H3" s="15" t="s">
        <v>598</v>
      </c>
      <c r="I3" s="15" t="s">
        <v>15</v>
      </c>
      <c r="J3" s="16" t="s">
        <v>258</v>
      </c>
      <c r="K3" s="15" t="s">
        <v>903</v>
      </c>
    </row>
    <row r="4" spans="1:13">
      <c r="A4" s="17">
        <v>2000001</v>
      </c>
      <c r="B4" s="12" t="s">
        <v>44</v>
      </c>
      <c r="C4" s="12" t="s">
        <v>320</v>
      </c>
      <c r="D4" s="12" t="s">
        <v>958</v>
      </c>
      <c r="E4" s="12" t="s">
        <v>26</v>
      </c>
      <c r="F4" s="12" t="s">
        <v>48</v>
      </c>
      <c r="G4" s="12" t="s">
        <v>14</v>
      </c>
      <c r="H4" s="12">
        <v>1</v>
      </c>
      <c r="I4" s="12">
        <v>0.5</v>
      </c>
      <c r="J4" s="12" t="s">
        <v>35</v>
      </c>
      <c r="K4" s="12" t="s">
        <v>908</v>
      </c>
      <c r="M4" s="2">
        <v>1</v>
      </c>
    </row>
    <row r="5" spans="1:13">
      <c r="A5" s="12">
        <v>2000002</v>
      </c>
      <c r="B5" s="12" t="s">
        <v>250</v>
      </c>
      <c r="C5" s="12" t="s">
        <v>252</v>
      </c>
      <c r="D5" s="12" t="s">
        <v>959</v>
      </c>
      <c r="E5" s="12" t="s">
        <v>39</v>
      </c>
      <c r="F5" s="12" t="s">
        <v>49</v>
      </c>
      <c r="G5" s="12" t="s">
        <v>40</v>
      </c>
      <c r="H5" s="12">
        <v>1</v>
      </c>
      <c r="I5" s="12">
        <v>0</v>
      </c>
      <c r="J5" s="12" t="s">
        <v>257</v>
      </c>
      <c r="K5" s="12" t="s">
        <v>904</v>
      </c>
      <c r="M5" s="2">
        <f>IF(表4[[#This Row],[name]]&lt;&gt;B4,M4+1,M4)</f>
        <v>2</v>
      </c>
    </row>
    <row r="6" spans="1:13">
      <c r="A6" s="12">
        <v>2000003</v>
      </c>
      <c r="B6" s="12" t="s">
        <v>251</v>
      </c>
      <c r="C6" s="12" t="s">
        <v>253</v>
      </c>
      <c r="D6" s="12" t="s">
        <v>960</v>
      </c>
      <c r="E6" s="12" t="s">
        <v>39</v>
      </c>
      <c r="F6" s="12" t="s">
        <v>49</v>
      </c>
      <c r="G6" s="12" t="s">
        <v>40</v>
      </c>
      <c r="H6" s="12">
        <v>1</v>
      </c>
      <c r="I6" s="12">
        <v>0</v>
      </c>
      <c r="J6" s="12" t="s">
        <v>257</v>
      </c>
      <c r="K6" s="12" t="s">
        <v>905</v>
      </c>
      <c r="M6" s="2">
        <f>IF(表4[[#This Row],[name]]&lt;&gt;B5,M5+1,M5)</f>
        <v>3</v>
      </c>
    </row>
    <row r="7" spans="1:13">
      <c r="A7" s="12">
        <v>2000004</v>
      </c>
      <c r="B7" s="12" t="s">
        <v>262</v>
      </c>
      <c r="C7" s="12" t="s">
        <v>265</v>
      </c>
      <c r="D7" s="12" t="s">
        <v>961</v>
      </c>
      <c r="E7" s="12" t="s">
        <v>33</v>
      </c>
      <c r="F7" s="12" t="s">
        <v>49</v>
      </c>
      <c r="G7" s="12" t="s">
        <v>41</v>
      </c>
      <c r="H7" s="12">
        <v>1</v>
      </c>
      <c r="I7" s="12">
        <v>0</v>
      </c>
      <c r="J7" s="12" t="s">
        <v>249</v>
      </c>
      <c r="K7" s="12" t="s">
        <v>906</v>
      </c>
      <c r="M7" s="2">
        <f>IF(表4[[#This Row],[name]]&lt;&gt;B6,M6+1,M6)</f>
        <v>4</v>
      </c>
    </row>
    <row r="8" spans="1:13">
      <c r="A8" s="12">
        <v>2000005</v>
      </c>
      <c r="B8" s="12" t="s">
        <v>263</v>
      </c>
      <c r="C8" s="12" t="s">
        <v>264</v>
      </c>
      <c r="D8" s="12" t="s">
        <v>962</v>
      </c>
      <c r="E8" s="12" t="s">
        <v>33</v>
      </c>
      <c r="F8" s="12" t="s">
        <v>49</v>
      </c>
      <c r="G8" s="12" t="s">
        <v>41</v>
      </c>
      <c r="H8" s="12">
        <v>1</v>
      </c>
      <c r="I8" s="12">
        <v>0</v>
      </c>
      <c r="J8" s="12" t="s">
        <v>249</v>
      </c>
      <c r="K8" s="12" t="s">
        <v>907</v>
      </c>
      <c r="M8" s="2">
        <f>IF(表4[[#This Row],[name]]&lt;&gt;B7,M7+1,M7)</f>
        <v>5</v>
      </c>
    </row>
    <row r="14" spans="1:13">
      <c r="G14" s="1" t="s">
        <v>76</v>
      </c>
    </row>
  </sheetData>
  <phoneticPr fontId="1" type="noConversion"/>
  <conditionalFormatting sqref="A3:K3">
    <cfRule type="duplicateValues" dxfId="43" priority="6"/>
  </conditionalFormatting>
  <conditionalFormatting sqref="A4:A8">
    <cfRule type="duplicateValues" dxfId="42" priority="1"/>
  </conditionalFormatting>
  <dataValidations count="2">
    <dataValidation type="list" allowBlank="1" showInputMessage="1" showErrorMessage="1" sqref="E4:E8">
      <formula1>"DontSelectTarget,Self,Help,Enemy,Monster,Block,LightBlock,DarkBlock,EmptyBlock,ObstructBlock,炮台位置,全炮台位置,卫星,HideMonster,Direction,Monster_iron,Monster_organisms"</formula1>
    </dataValidation>
    <dataValidation type="list" allowBlank="1" showInputMessage="1" showErrorMessage="1" sqref="J4:J8">
      <formula1>"NormalAttack,CopyAttack"</formula1>
    </dataValidation>
  </dataValidations>
  <hyperlinks>
    <hyperlink ref="E2" location="TargetType" display="TargetType"/>
    <hyperlink ref="J2" location="SpecialAction" display="SpecialAction"/>
    <hyperlink ref="E3" location="TargetType" display="TargetType"/>
    <hyperlink ref="J3" location="SpecialAction" display="SpecialAction"/>
  </hyperlinks>
  <pageMargins left="0.7" right="0.7" top="0.75" bottom="0.75" header="0.3" footer="0.3"/>
  <pageSetup paperSize="9" orientation="portrait"/>
  <tableParts count="1">
    <tablePart r:id="rId1"/>
  </tableParts>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
  <sheetViews>
    <sheetView showGridLines="0" topLeftCell="A9" workbookViewId="0">
      <selection activeCell="R29" sqref="R29"/>
    </sheetView>
  </sheetViews>
  <sheetFormatPr baseColWidth="10" defaultColWidth="8.7109375" defaultRowHeight="12" x14ac:dyDescent="0"/>
  <sheetData/>
  <phoneticPr fontId="1" type="noConversion"/>
  <pageMargins left="0.7" right="0.7" top="0.75" bottom="0.75" header="0.3" footer="0.3"/>
  <pageSetup paperSize="9" orientation="portrait"/>
  <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1:P76"/>
  <sheetViews>
    <sheetView showGridLines="0" workbookViewId="0">
      <selection activeCell="D2" sqref="D2"/>
    </sheetView>
  </sheetViews>
  <sheetFormatPr baseColWidth="10" defaultColWidth="8.7109375" defaultRowHeight="12" x14ac:dyDescent="0"/>
  <cols>
    <col min="1" max="1" width="10.7109375" style="3" bestFit="1" customWidth="1"/>
    <col min="2" max="2" width="9.85546875" style="3" bestFit="1" customWidth="1"/>
    <col min="3" max="3" width="58.85546875" style="3" bestFit="1" customWidth="1"/>
    <col min="4" max="4" width="58.85546875" style="3" customWidth="1"/>
    <col min="5" max="5" width="56.140625" style="3" bestFit="1" customWidth="1"/>
    <col min="6" max="6" width="91.42578125" style="3" customWidth="1"/>
    <col min="7" max="16384" width="8.7109375" style="3"/>
  </cols>
  <sheetData>
    <row r="1" spans="1:16" s="4" customFormat="1" ht="60" customHeight="1">
      <c r="A1" s="11" t="s">
        <v>0</v>
      </c>
      <c r="B1" s="11" t="s">
        <v>65</v>
      </c>
      <c r="C1" s="11" t="s">
        <v>7</v>
      </c>
      <c r="D1" s="11" t="s">
        <v>690</v>
      </c>
      <c r="E1" s="10" t="s">
        <v>691</v>
      </c>
      <c r="F1" s="10" t="s">
        <v>655</v>
      </c>
      <c r="G1" s="5"/>
      <c r="H1" s="5"/>
      <c r="I1" s="5"/>
      <c r="J1" s="5"/>
      <c r="K1" s="5"/>
      <c r="L1" s="5"/>
      <c r="M1" s="5"/>
      <c r="N1" s="5"/>
      <c r="O1" s="5"/>
      <c r="P1" s="5"/>
    </row>
    <row r="2" spans="1:16" ht="16">
      <c r="A2" s="12" t="s">
        <v>689</v>
      </c>
      <c r="B2" s="12" t="s">
        <v>66</v>
      </c>
      <c r="C2" s="12" t="s">
        <v>66</v>
      </c>
      <c r="D2" s="12" t="s">
        <v>609</v>
      </c>
      <c r="E2" s="13" t="s">
        <v>196</v>
      </c>
      <c r="F2" s="12" t="s">
        <v>661</v>
      </c>
      <c r="G2" s="7"/>
      <c r="H2" s="7"/>
      <c r="I2" s="7"/>
      <c r="J2" s="7"/>
      <c r="K2" s="7"/>
      <c r="L2" s="7"/>
      <c r="M2" s="7"/>
      <c r="N2" s="7"/>
      <c r="O2" s="7"/>
      <c r="P2" s="7"/>
    </row>
    <row r="3" spans="1:16" ht="16">
      <c r="A3" s="15" t="s">
        <v>869</v>
      </c>
      <c r="B3" s="15" t="s">
        <v>67</v>
      </c>
      <c r="C3" s="15" t="s">
        <v>72</v>
      </c>
      <c r="D3" s="15" t="s">
        <v>909</v>
      </c>
      <c r="E3" s="16" t="s">
        <v>81</v>
      </c>
      <c r="F3" s="15" t="s">
        <v>654</v>
      </c>
      <c r="G3" s="7"/>
      <c r="H3" s="7"/>
      <c r="I3" s="7"/>
      <c r="J3" s="7"/>
      <c r="K3" s="7"/>
      <c r="L3" s="7"/>
      <c r="M3" s="7"/>
      <c r="N3" s="7"/>
      <c r="O3" s="7"/>
      <c r="P3" s="7"/>
    </row>
    <row r="4" spans="1:16" ht="16">
      <c r="A4" s="17">
        <v>3000001</v>
      </c>
      <c r="B4" s="12" t="s">
        <v>197</v>
      </c>
      <c r="C4" s="12" t="s">
        <v>198</v>
      </c>
      <c r="D4" s="12" t="s">
        <v>964</v>
      </c>
      <c r="E4" s="12" t="s">
        <v>383</v>
      </c>
      <c r="F4" s="14" t="s">
        <v>736</v>
      </c>
      <c r="G4" s="7"/>
      <c r="H4" s="2"/>
      <c r="I4" s="7"/>
      <c r="J4" s="7"/>
      <c r="K4" s="8"/>
      <c r="L4" s="7"/>
      <c r="M4" s="7"/>
      <c r="N4" s="7"/>
      <c r="O4" s="7"/>
      <c r="P4" s="7"/>
    </row>
    <row r="5" spans="1:16" ht="16">
      <c r="A5" s="17">
        <v>3000002</v>
      </c>
      <c r="B5" s="12" t="s">
        <v>199</v>
      </c>
      <c r="C5" s="12" t="s">
        <v>200</v>
      </c>
      <c r="D5" s="12" t="s">
        <v>965</v>
      </c>
      <c r="E5" s="12" t="s">
        <v>386</v>
      </c>
      <c r="F5" s="14" t="s">
        <v>737</v>
      </c>
      <c r="G5" s="7"/>
      <c r="H5" s="2"/>
      <c r="I5" s="7"/>
      <c r="J5" s="7"/>
      <c r="K5" s="7"/>
      <c r="L5" s="7"/>
      <c r="M5" s="7"/>
      <c r="N5" s="7"/>
      <c r="O5" s="7"/>
      <c r="P5" s="7"/>
    </row>
    <row r="6" spans="1:16" ht="16">
      <c r="A6" s="17">
        <v>3000003</v>
      </c>
      <c r="B6" s="12" t="s">
        <v>201</v>
      </c>
      <c r="C6" s="12" t="s">
        <v>202</v>
      </c>
      <c r="D6" s="12" t="s">
        <v>966</v>
      </c>
      <c r="E6" s="12" t="s">
        <v>381</v>
      </c>
      <c r="F6" s="14" t="s">
        <v>738</v>
      </c>
      <c r="G6" s="7"/>
      <c r="H6" s="2"/>
      <c r="I6" s="7"/>
      <c r="J6" s="7"/>
      <c r="K6" s="7"/>
      <c r="L6" s="7"/>
      <c r="M6" s="7"/>
      <c r="N6" s="7"/>
      <c r="O6" s="7"/>
      <c r="P6" s="7"/>
    </row>
    <row r="7" spans="1:16" ht="16">
      <c r="A7" s="17">
        <v>3000004</v>
      </c>
      <c r="B7" s="12" t="s">
        <v>214</v>
      </c>
      <c r="C7" s="12" t="s">
        <v>215</v>
      </c>
      <c r="D7" s="12" t="s">
        <v>967</v>
      </c>
      <c r="E7" s="12" t="s">
        <v>213</v>
      </c>
      <c r="F7" s="14" t="s">
        <v>739</v>
      </c>
      <c r="G7" s="7"/>
      <c r="H7" s="2"/>
      <c r="I7" s="7"/>
      <c r="J7" s="7"/>
      <c r="K7" s="7"/>
      <c r="L7" s="7"/>
      <c r="M7" s="7"/>
      <c r="N7" s="7"/>
      <c r="O7" s="7"/>
      <c r="P7" s="7"/>
    </row>
    <row r="8" spans="1:16" ht="16">
      <c r="A8" s="17">
        <v>3000005</v>
      </c>
      <c r="B8" s="12" t="s">
        <v>221</v>
      </c>
      <c r="C8" s="12" t="s">
        <v>475</v>
      </c>
      <c r="D8" s="12" t="s">
        <v>968</v>
      </c>
      <c r="E8" s="12" t="s">
        <v>424</v>
      </c>
      <c r="F8" s="14" t="s">
        <v>740</v>
      </c>
      <c r="G8" s="7"/>
      <c r="H8" s="2"/>
      <c r="I8" s="7"/>
      <c r="J8" s="7"/>
      <c r="K8" s="7"/>
      <c r="L8" s="7"/>
      <c r="M8" s="7"/>
      <c r="N8" s="7"/>
      <c r="O8" s="7"/>
      <c r="P8" s="7"/>
    </row>
    <row r="9" spans="1:16" ht="16">
      <c r="A9" s="17">
        <v>3000006</v>
      </c>
      <c r="B9" s="12" t="s">
        <v>222</v>
      </c>
      <c r="C9" s="12" t="s">
        <v>476</v>
      </c>
      <c r="D9" s="12" t="s">
        <v>969</v>
      </c>
      <c r="E9" s="12" t="s">
        <v>424</v>
      </c>
      <c r="F9" s="14" t="s">
        <v>741</v>
      </c>
      <c r="G9" s="7"/>
      <c r="H9" s="2"/>
      <c r="I9" s="7"/>
      <c r="J9" s="7"/>
      <c r="K9" s="7"/>
      <c r="L9" s="7"/>
      <c r="M9" s="7"/>
      <c r="N9" s="7"/>
      <c r="O9" s="7"/>
      <c r="P9" s="7"/>
    </row>
    <row r="10" spans="1:16" ht="16">
      <c r="A10" s="17">
        <v>3000007</v>
      </c>
      <c r="B10" s="12" t="s">
        <v>224</v>
      </c>
      <c r="C10" s="12" t="s">
        <v>225</v>
      </c>
      <c r="D10" s="12" t="s">
        <v>963</v>
      </c>
      <c r="E10" s="12" t="s">
        <v>386</v>
      </c>
      <c r="F10" s="14" t="s">
        <v>742</v>
      </c>
      <c r="G10" s="7"/>
      <c r="H10" s="2"/>
      <c r="I10" s="7"/>
      <c r="J10" s="7"/>
      <c r="K10" s="7"/>
      <c r="L10" s="7"/>
      <c r="M10" s="7"/>
      <c r="N10" s="7"/>
      <c r="O10" s="7"/>
      <c r="P10" s="7"/>
    </row>
    <row r="11" spans="1:16" ht="16">
      <c r="A11" s="17">
        <v>3000008</v>
      </c>
      <c r="B11" s="12" t="s">
        <v>226</v>
      </c>
      <c r="C11" s="12" t="s">
        <v>227</v>
      </c>
      <c r="D11" s="12" t="s">
        <v>970</v>
      </c>
      <c r="E11" s="12" t="s">
        <v>387</v>
      </c>
      <c r="F11" s="14" t="s">
        <v>743</v>
      </c>
      <c r="G11" s="7"/>
      <c r="H11" s="2"/>
      <c r="I11" s="7"/>
      <c r="J11" s="7"/>
      <c r="K11" s="7"/>
      <c r="L11" s="7"/>
      <c r="M11" s="7"/>
      <c r="N11" s="7"/>
      <c r="O11" s="7"/>
      <c r="P11" s="7"/>
    </row>
    <row r="12" spans="1:16" ht="16">
      <c r="A12" s="17">
        <v>3000009</v>
      </c>
      <c r="B12" s="12" t="s">
        <v>229</v>
      </c>
      <c r="C12" s="12" t="s">
        <v>228</v>
      </c>
      <c r="D12" s="12" t="s">
        <v>971</v>
      </c>
      <c r="E12" s="12" t="s">
        <v>386</v>
      </c>
      <c r="F12" s="14" t="s">
        <v>744</v>
      </c>
      <c r="G12" s="7"/>
      <c r="H12" s="2"/>
      <c r="I12" s="7"/>
      <c r="J12" s="7"/>
      <c r="K12" s="7"/>
      <c r="L12" s="7"/>
      <c r="M12" s="7"/>
      <c r="N12" s="7"/>
      <c r="O12" s="7"/>
      <c r="P12" s="7"/>
    </row>
    <row r="13" spans="1:16" ht="16">
      <c r="A13" s="17">
        <v>3000010</v>
      </c>
      <c r="B13" s="12" t="s">
        <v>231</v>
      </c>
      <c r="C13" s="12" t="s">
        <v>230</v>
      </c>
      <c r="D13" s="12" t="s">
        <v>972</v>
      </c>
      <c r="E13" s="12" t="s">
        <v>426</v>
      </c>
      <c r="F13" s="14" t="s">
        <v>745</v>
      </c>
      <c r="G13" s="7"/>
      <c r="H13" s="2"/>
      <c r="I13" s="7"/>
      <c r="J13" s="7"/>
      <c r="K13" s="7"/>
      <c r="L13" s="7"/>
      <c r="M13" s="7"/>
      <c r="N13" s="7"/>
      <c r="O13" s="7"/>
      <c r="P13" s="7"/>
    </row>
    <row r="14" spans="1:16" ht="16">
      <c r="A14" s="17">
        <v>3000011</v>
      </c>
      <c r="B14" s="12" t="s">
        <v>232</v>
      </c>
      <c r="C14" s="12" t="s">
        <v>233</v>
      </c>
      <c r="D14" s="12" t="s">
        <v>973</v>
      </c>
      <c r="E14" s="12" t="s">
        <v>426</v>
      </c>
      <c r="F14" s="14" t="s">
        <v>746</v>
      </c>
      <c r="G14" s="7"/>
      <c r="H14" s="2"/>
      <c r="I14" s="7"/>
      <c r="J14" s="7"/>
      <c r="K14" s="7"/>
      <c r="L14" s="7"/>
      <c r="M14" s="7"/>
      <c r="N14" s="7"/>
      <c r="O14" s="7"/>
      <c r="P14" s="7"/>
    </row>
    <row r="15" spans="1:16" ht="16">
      <c r="A15" s="17">
        <v>3000012</v>
      </c>
      <c r="B15" s="12" t="s">
        <v>234</v>
      </c>
      <c r="C15" s="12" t="s">
        <v>235</v>
      </c>
      <c r="D15" s="12" t="s">
        <v>974</v>
      </c>
      <c r="E15" s="12" t="s">
        <v>388</v>
      </c>
      <c r="F15" s="14" t="s">
        <v>747</v>
      </c>
      <c r="G15" s="7"/>
      <c r="H15" s="2"/>
      <c r="I15" s="7"/>
      <c r="J15" s="7"/>
      <c r="K15" s="7"/>
      <c r="L15" s="7"/>
      <c r="M15" s="7"/>
      <c r="N15" s="7"/>
      <c r="O15" s="7"/>
      <c r="P15" s="7"/>
    </row>
    <row r="16" spans="1:16" ht="16">
      <c r="A16" s="17">
        <v>3000013</v>
      </c>
      <c r="B16" s="12" t="s">
        <v>236</v>
      </c>
      <c r="C16" s="12" t="s">
        <v>237</v>
      </c>
      <c r="D16" s="12" t="s">
        <v>975</v>
      </c>
      <c r="E16" s="12" t="s">
        <v>388</v>
      </c>
      <c r="F16" s="14" t="s">
        <v>748</v>
      </c>
      <c r="G16" s="7"/>
      <c r="H16" s="2"/>
      <c r="I16" s="7"/>
      <c r="J16" s="7"/>
      <c r="K16" s="7"/>
      <c r="L16" s="7"/>
      <c r="M16" s="7"/>
      <c r="N16" s="7"/>
      <c r="O16" s="7"/>
      <c r="P16" s="7"/>
    </row>
    <row r="17" spans="1:16" ht="16">
      <c r="A17" s="17">
        <v>3000014</v>
      </c>
      <c r="B17" s="12" t="s">
        <v>238</v>
      </c>
      <c r="C17" s="12" t="s">
        <v>477</v>
      </c>
      <c r="D17" s="12" t="s">
        <v>976</v>
      </c>
      <c r="E17" s="12" t="s">
        <v>385</v>
      </c>
      <c r="F17" s="14" t="s">
        <v>749</v>
      </c>
      <c r="G17" s="7"/>
      <c r="H17" s="2"/>
      <c r="I17" s="7"/>
      <c r="J17" s="7"/>
      <c r="K17" s="7"/>
      <c r="L17" s="7"/>
      <c r="M17" s="7"/>
      <c r="N17" s="7"/>
      <c r="O17" s="7"/>
      <c r="P17" s="7"/>
    </row>
    <row r="18" spans="1:16" ht="16">
      <c r="A18" s="17">
        <v>3000015</v>
      </c>
      <c r="B18" s="12" t="s">
        <v>239</v>
      </c>
      <c r="C18" s="12" t="s">
        <v>240</v>
      </c>
      <c r="D18" s="12" t="s">
        <v>977</v>
      </c>
      <c r="E18" s="12" t="s">
        <v>377</v>
      </c>
      <c r="F18" s="14" t="s">
        <v>750</v>
      </c>
      <c r="G18" s="7"/>
      <c r="H18" s="2"/>
      <c r="I18" s="7"/>
      <c r="J18" s="7"/>
      <c r="K18" s="7"/>
      <c r="L18" s="7"/>
      <c r="M18" s="7"/>
      <c r="N18" s="7"/>
      <c r="O18" s="7"/>
      <c r="P18" s="7"/>
    </row>
    <row r="19" spans="1:16" ht="16">
      <c r="A19" s="17">
        <v>3000016</v>
      </c>
      <c r="B19" s="12" t="s">
        <v>244</v>
      </c>
      <c r="C19" s="12" t="s">
        <v>474</v>
      </c>
      <c r="D19" s="12" t="s">
        <v>978</v>
      </c>
      <c r="E19" s="12" t="s">
        <v>242</v>
      </c>
      <c r="F19" s="14" t="s">
        <v>751</v>
      </c>
      <c r="G19" s="7"/>
      <c r="H19" s="2"/>
      <c r="I19" s="7"/>
      <c r="J19" s="7"/>
      <c r="K19" s="7"/>
      <c r="L19" s="7"/>
      <c r="M19" s="7"/>
      <c r="N19" s="7"/>
      <c r="O19" s="7"/>
      <c r="P19" s="7"/>
    </row>
    <row r="20" spans="1:16" ht="16">
      <c r="A20" s="17">
        <v>3000017</v>
      </c>
      <c r="B20" s="12" t="s">
        <v>245</v>
      </c>
      <c r="C20" s="12" t="s">
        <v>248</v>
      </c>
      <c r="D20" s="12" t="s">
        <v>979</v>
      </c>
      <c r="E20" s="12" t="s">
        <v>389</v>
      </c>
      <c r="F20" s="14" t="s">
        <v>752</v>
      </c>
      <c r="G20" s="7"/>
      <c r="H20" s="2"/>
      <c r="I20" s="7"/>
      <c r="J20" s="7"/>
      <c r="K20" s="7"/>
      <c r="L20" s="7"/>
      <c r="M20" s="7"/>
      <c r="N20" s="7"/>
      <c r="O20" s="7"/>
      <c r="P20" s="7"/>
    </row>
    <row r="21" spans="1:16" ht="16">
      <c r="A21" s="17">
        <v>3000018</v>
      </c>
      <c r="B21" s="12" t="s">
        <v>250</v>
      </c>
      <c r="C21" s="12" t="s">
        <v>268</v>
      </c>
      <c r="D21" s="12" t="s">
        <v>980</v>
      </c>
      <c r="E21" s="9" t="s">
        <v>266</v>
      </c>
      <c r="F21" s="14" t="s">
        <v>753</v>
      </c>
      <c r="G21" s="7"/>
      <c r="H21" s="2"/>
      <c r="I21" s="7"/>
      <c r="J21" s="7"/>
      <c r="K21" s="7"/>
      <c r="L21" s="7"/>
      <c r="M21" s="7"/>
      <c r="N21" s="7"/>
      <c r="O21" s="7"/>
      <c r="P21" s="7"/>
    </row>
    <row r="22" spans="1:16" ht="16">
      <c r="A22" s="17">
        <v>3000019</v>
      </c>
      <c r="B22" s="12" t="s">
        <v>251</v>
      </c>
      <c r="C22" s="12" t="s">
        <v>269</v>
      </c>
      <c r="D22" s="12" t="s">
        <v>981</v>
      </c>
      <c r="E22" s="9" t="s">
        <v>266</v>
      </c>
      <c r="F22" s="14" t="s">
        <v>754</v>
      </c>
      <c r="G22" s="7"/>
      <c r="H22" s="2"/>
      <c r="I22" s="7"/>
      <c r="J22" s="7"/>
      <c r="K22" s="7"/>
      <c r="L22" s="7"/>
      <c r="M22" s="7"/>
      <c r="N22" s="7"/>
      <c r="O22" s="7"/>
      <c r="P22" s="7"/>
    </row>
    <row r="23" spans="1:16" ht="16">
      <c r="A23" s="17">
        <v>3000020</v>
      </c>
      <c r="B23" s="12" t="s">
        <v>262</v>
      </c>
      <c r="C23" s="12" t="s">
        <v>270</v>
      </c>
      <c r="D23" s="12" t="s">
        <v>982</v>
      </c>
      <c r="E23" s="9" t="s">
        <v>266</v>
      </c>
      <c r="F23" s="14" t="s">
        <v>755</v>
      </c>
      <c r="G23" s="7"/>
      <c r="H23" s="2"/>
      <c r="I23" s="7"/>
      <c r="J23" s="7"/>
      <c r="K23" s="7"/>
      <c r="L23" s="7"/>
      <c r="M23" s="7"/>
      <c r="N23" s="7"/>
      <c r="O23" s="7"/>
      <c r="P23" s="7"/>
    </row>
    <row r="24" spans="1:16" ht="16">
      <c r="A24" s="17">
        <v>3000021</v>
      </c>
      <c r="B24" s="12" t="s">
        <v>263</v>
      </c>
      <c r="C24" s="12" t="s">
        <v>271</v>
      </c>
      <c r="D24" s="12" t="s">
        <v>983</v>
      </c>
      <c r="E24" s="9" t="s">
        <v>266</v>
      </c>
      <c r="F24" s="14" t="s">
        <v>756</v>
      </c>
      <c r="G24" s="7"/>
      <c r="H24" s="2"/>
      <c r="I24" s="7"/>
      <c r="J24" s="7"/>
      <c r="K24" s="7"/>
      <c r="L24" s="7"/>
      <c r="M24" s="7"/>
      <c r="N24" s="7"/>
      <c r="O24" s="7"/>
      <c r="P24" s="7"/>
    </row>
    <row r="25" spans="1:16" ht="16">
      <c r="A25" s="23">
        <v>3100001</v>
      </c>
      <c r="B25" s="12" t="s">
        <v>394</v>
      </c>
      <c r="C25" s="12" t="s">
        <v>395</v>
      </c>
      <c r="D25" s="12" t="s">
        <v>984</v>
      </c>
      <c r="E25" s="12" t="s">
        <v>403</v>
      </c>
      <c r="F25" s="14" t="s">
        <v>757</v>
      </c>
      <c r="H25" s="2"/>
    </row>
    <row r="26" spans="1:16" ht="16">
      <c r="A26" s="23">
        <v>3100002</v>
      </c>
      <c r="B26" s="12" t="s">
        <v>402</v>
      </c>
      <c r="C26" s="12" t="s">
        <v>401</v>
      </c>
      <c r="D26" s="12" t="s">
        <v>985</v>
      </c>
      <c r="E26" s="12" t="s">
        <v>400</v>
      </c>
      <c r="F26" s="14" t="s">
        <v>758</v>
      </c>
      <c r="H26" s="2"/>
    </row>
    <row r="27" spans="1:16" ht="16">
      <c r="A27" s="23">
        <v>3100003</v>
      </c>
      <c r="B27" s="12" t="s">
        <v>409</v>
      </c>
      <c r="C27" s="12" t="s">
        <v>407</v>
      </c>
      <c r="D27" s="12" t="s">
        <v>986</v>
      </c>
      <c r="E27" s="12" t="s">
        <v>403</v>
      </c>
      <c r="F27" s="14" t="s">
        <v>759</v>
      </c>
      <c r="H27" s="2"/>
    </row>
    <row r="28" spans="1:16" ht="16">
      <c r="A28" s="23">
        <v>3100004</v>
      </c>
      <c r="B28" s="12" t="s">
        <v>409</v>
      </c>
      <c r="C28" s="12" t="s">
        <v>408</v>
      </c>
      <c r="D28" s="12" t="s">
        <v>987</v>
      </c>
      <c r="E28" s="12" t="s">
        <v>400</v>
      </c>
      <c r="F28" s="14" t="s">
        <v>760</v>
      </c>
      <c r="H28" s="2"/>
    </row>
    <row r="29" spans="1:16" ht="16">
      <c r="A29" s="23">
        <v>3100005</v>
      </c>
      <c r="B29" s="12" t="s">
        <v>412</v>
      </c>
      <c r="C29" s="12" t="s">
        <v>422</v>
      </c>
      <c r="D29" s="12" t="s">
        <v>988</v>
      </c>
      <c r="E29" s="12" t="s">
        <v>400</v>
      </c>
      <c r="F29" s="14" t="s">
        <v>761</v>
      </c>
      <c r="H29" s="2"/>
    </row>
    <row r="30" spans="1:16" ht="16">
      <c r="A30" s="23">
        <v>3100006</v>
      </c>
      <c r="B30" s="12" t="s">
        <v>412</v>
      </c>
      <c r="C30" s="12" t="s">
        <v>427</v>
      </c>
      <c r="D30" s="12" t="s">
        <v>989</v>
      </c>
      <c r="E30" s="12" t="s">
        <v>400</v>
      </c>
      <c r="F30" s="14" t="s">
        <v>762</v>
      </c>
      <c r="H30" s="2"/>
    </row>
    <row r="31" spans="1:16" ht="16">
      <c r="A31" s="23">
        <v>3100007</v>
      </c>
      <c r="B31" s="12" t="s">
        <v>428</v>
      </c>
      <c r="C31" s="12" t="s">
        <v>430</v>
      </c>
      <c r="D31" s="12" t="s">
        <v>990</v>
      </c>
      <c r="E31" s="12" t="s">
        <v>400</v>
      </c>
      <c r="F31" s="14" t="s">
        <v>763</v>
      </c>
      <c r="H31" s="2"/>
    </row>
    <row r="32" spans="1:16" ht="16">
      <c r="A32" s="23">
        <v>3100008</v>
      </c>
      <c r="B32" s="12" t="s">
        <v>428</v>
      </c>
      <c r="C32" s="12" t="s">
        <v>434</v>
      </c>
      <c r="D32" s="12" t="s">
        <v>991</v>
      </c>
      <c r="E32" s="12" t="s">
        <v>386</v>
      </c>
      <c r="F32" s="14" t="s">
        <v>764</v>
      </c>
      <c r="H32" s="2"/>
    </row>
    <row r="33" spans="1:8" ht="16">
      <c r="A33" s="23">
        <v>3100009</v>
      </c>
      <c r="B33" s="12" t="s">
        <v>431</v>
      </c>
      <c r="C33" s="12" t="s">
        <v>432</v>
      </c>
      <c r="D33" s="12" t="s">
        <v>992</v>
      </c>
      <c r="E33" s="12" t="s">
        <v>400</v>
      </c>
      <c r="F33" s="14" t="s">
        <v>765</v>
      </c>
      <c r="H33" s="2"/>
    </row>
    <row r="34" spans="1:8" ht="16">
      <c r="A34" s="23">
        <v>3100010</v>
      </c>
      <c r="B34" s="12" t="s">
        <v>448</v>
      </c>
      <c r="C34" s="12" t="s">
        <v>449</v>
      </c>
      <c r="D34" s="12" t="s">
        <v>993</v>
      </c>
      <c r="E34" s="12" t="s">
        <v>381</v>
      </c>
      <c r="F34" s="14" t="s">
        <v>766</v>
      </c>
      <c r="H34" s="2"/>
    </row>
    <row r="35" spans="1:8" ht="16">
      <c r="A35" s="23">
        <v>3100011</v>
      </c>
      <c r="B35" s="12" t="s">
        <v>453</v>
      </c>
      <c r="C35" s="12" t="s">
        <v>455</v>
      </c>
      <c r="D35" s="12" t="s">
        <v>994</v>
      </c>
      <c r="E35" s="12" t="s">
        <v>456</v>
      </c>
      <c r="F35" s="14" t="s">
        <v>767</v>
      </c>
      <c r="H35" s="2"/>
    </row>
    <row r="36" spans="1:8" ht="16">
      <c r="A36" s="23">
        <v>3100012</v>
      </c>
      <c r="B36" s="12" t="s">
        <v>480</v>
      </c>
      <c r="C36" s="12" t="s">
        <v>481</v>
      </c>
      <c r="D36" s="12" t="s">
        <v>995</v>
      </c>
      <c r="E36" s="12" t="s">
        <v>381</v>
      </c>
      <c r="F36" s="14" t="s">
        <v>768</v>
      </c>
      <c r="H36" s="2"/>
    </row>
    <row r="37" spans="1:8" ht="16">
      <c r="A37" s="23">
        <v>3100013</v>
      </c>
      <c r="B37" s="12" t="s">
        <v>480</v>
      </c>
      <c r="C37" s="12" t="s">
        <v>482</v>
      </c>
      <c r="D37" s="12" t="s">
        <v>996</v>
      </c>
      <c r="E37" s="12" t="s">
        <v>387</v>
      </c>
      <c r="F37" s="14" t="s">
        <v>769</v>
      </c>
      <c r="H37" s="2"/>
    </row>
    <row r="38" spans="1:8" ht="16">
      <c r="A38" s="23">
        <v>3100014</v>
      </c>
      <c r="B38" s="12" t="s">
        <v>483</v>
      </c>
      <c r="C38" s="12" t="s">
        <v>484</v>
      </c>
      <c r="D38" s="12" t="s">
        <v>997</v>
      </c>
      <c r="E38" s="12" t="s">
        <v>381</v>
      </c>
      <c r="F38" s="14" t="s">
        <v>770</v>
      </c>
      <c r="H38" s="2"/>
    </row>
    <row r="39" spans="1:8" ht="16">
      <c r="A39" s="23">
        <v>3100015</v>
      </c>
      <c r="B39" s="12" t="s">
        <v>483</v>
      </c>
      <c r="C39" s="12" t="s">
        <v>485</v>
      </c>
      <c r="D39" s="12" t="s">
        <v>998</v>
      </c>
      <c r="E39" s="12" t="s">
        <v>387</v>
      </c>
      <c r="F39" s="14" t="s">
        <v>771</v>
      </c>
      <c r="H39" s="2"/>
    </row>
    <row r="40" spans="1:8" ht="16">
      <c r="A40" s="23">
        <v>3100016</v>
      </c>
      <c r="B40" s="12" t="s">
        <v>489</v>
      </c>
      <c r="C40" s="12" t="s">
        <v>486</v>
      </c>
      <c r="D40" s="12" t="s">
        <v>999</v>
      </c>
      <c r="E40" s="12" t="s">
        <v>381</v>
      </c>
      <c r="F40" s="14" t="s">
        <v>772</v>
      </c>
      <c r="H40" s="2"/>
    </row>
    <row r="41" spans="1:8" ht="16">
      <c r="A41" s="23">
        <v>3100017</v>
      </c>
      <c r="B41" s="12" t="s">
        <v>483</v>
      </c>
      <c r="C41" s="12" t="s">
        <v>487</v>
      </c>
      <c r="D41" s="12" t="s">
        <v>1000</v>
      </c>
      <c r="E41" s="12" t="s">
        <v>387</v>
      </c>
      <c r="F41" s="14" t="s">
        <v>773</v>
      </c>
      <c r="H41" s="2"/>
    </row>
    <row r="42" spans="1:8" ht="16">
      <c r="A42" s="23">
        <v>3100018</v>
      </c>
      <c r="B42" s="12" t="s">
        <v>490</v>
      </c>
      <c r="C42" s="12" t="s">
        <v>491</v>
      </c>
      <c r="D42" s="12" t="s">
        <v>1001</v>
      </c>
      <c r="E42" s="12" t="s">
        <v>534</v>
      </c>
      <c r="F42" s="14" t="s">
        <v>774</v>
      </c>
      <c r="H42" s="2"/>
    </row>
    <row r="43" spans="1:8" ht="16">
      <c r="A43" s="23">
        <v>3100019</v>
      </c>
      <c r="B43" s="12" t="s">
        <v>490</v>
      </c>
      <c r="C43" s="12" t="s">
        <v>492</v>
      </c>
      <c r="D43" s="12" t="s">
        <v>1002</v>
      </c>
      <c r="E43" s="12" t="s">
        <v>496</v>
      </c>
      <c r="F43" s="14" t="s">
        <v>775</v>
      </c>
      <c r="H43" s="2"/>
    </row>
    <row r="44" spans="1:8" ht="16">
      <c r="A44" s="23">
        <v>3100020</v>
      </c>
      <c r="B44" s="12" t="s">
        <v>490</v>
      </c>
      <c r="C44" s="12" t="s">
        <v>493</v>
      </c>
      <c r="D44" s="12" t="s">
        <v>1003</v>
      </c>
      <c r="E44" s="12" t="s">
        <v>496</v>
      </c>
      <c r="F44" s="14" t="s">
        <v>776</v>
      </c>
      <c r="H44" s="2"/>
    </row>
    <row r="45" spans="1:8" ht="16">
      <c r="A45" s="23">
        <v>3100021</v>
      </c>
      <c r="B45" s="12" t="s">
        <v>490</v>
      </c>
      <c r="C45" s="12" t="s">
        <v>494</v>
      </c>
      <c r="D45" s="12" t="s">
        <v>1004</v>
      </c>
      <c r="E45" s="12" t="s">
        <v>533</v>
      </c>
      <c r="F45" s="14" t="s">
        <v>777</v>
      </c>
      <c r="H45" s="2"/>
    </row>
    <row r="46" spans="1:8" ht="16">
      <c r="A46" s="23">
        <v>3100022</v>
      </c>
      <c r="B46" s="12" t="s">
        <v>497</v>
      </c>
      <c r="C46" s="12" t="s">
        <v>498</v>
      </c>
      <c r="D46" s="12" t="s">
        <v>1005</v>
      </c>
      <c r="E46" s="12" t="s">
        <v>496</v>
      </c>
      <c r="F46" s="14" t="s">
        <v>778</v>
      </c>
      <c r="H46" s="2"/>
    </row>
    <row r="47" spans="1:8" ht="16">
      <c r="A47" s="23">
        <v>3100023</v>
      </c>
      <c r="B47" s="12" t="s">
        <v>497</v>
      </c>
      <c r="C47" s="12" t="s">
        <v>499</v>
      </c>
      <c r="D47" s="12" t="s">
        <v>1006</v>
      </c>
      <c r="E47" s="12" t="s">
        <v>606</v>
      </c>
      <c r="F47" s="14" t="s">
        <v>779</v>
      </c>
      <c r="H47" s="2"/>
    </row>
    <row r="48" spans="1:8" ht="16">
      <c r="A48" s="23">
        <v>3100024</v>
      </c>
      <c r="B48" s="12" t="s">
        <v>497</v>
      </c>
      <c r="C48" s="12" t="s">
        <v>500</v>
      </c>
      <c r="D48" s="12" t="s">
        <v>1007</v>
      </c>
      <c r="E48" s="12" t="s">
        <v>496</v>
      </c>
      <c r="F48" s="14" t="s">
        <v>780</v>
      </c>
      <c r="H48" s="2"/>
    </row>
    <row r="49" spans="1:8" ht="16">
      <c r="A49" s="23">
        <v>3100025</v>
      </c>
      <c r="B49" s="12" t="s">
        <v>497</v>
      </c>
      <c r="C49" s="12" t="s">
        <v>501</v>
      </c>
      <c r="D49" s="12" t="s">
        <v>1008</v>
      </c>
      <c r="E49" s="12" t="s">
        <v>496</v>
      </c>
      <c r="F49" s="14" t="s">
        <v>781</v>
      </c>
      <c r="H49" s="2"/>
    </row>
    <row r="50" spans="1:8" ht="16">
      <c r="A50" s="23">
        <v>3100026</v>
      </c>
      <c r="B50" s="12" t="s">
        <v>503</v>
      </c>
      <c r="C50" s="12" t="s">
        <v>504</v>
      </c>
      <c r="D50" s="12" t="s">
        <v>1009</v>
      </c>
      <c r="E50" s="12" t="s">
        <v>496</v>
      </c>
      <c r="F50" s="14" t="s">
        <v>782</v>
      </c>
      <c r="H50" s="2"/>
    </row>
    <row r="51" spans="1:8" ht="16">
      <c r="A51" s="23">
        <v>3100027</v>
      </c>
      <c r="B51" s="12" t="s">
        <v>503</v>
      </c>
      <c r="C51" s="12" t="s">
        <v>505</v>
      </c>
      <c r="D51" s="12" t="s">
        <v>1010</v>
      </c>
      <c r="E51" s="12" t="s">
        <v>496</v>
      </c>
      <c r="F51" s="14" t="s">
        <v>783</v>
      </c>
      <c r="H51" s="2"/>
    </row>
    <row r="52" spans="1:8" ht="16">
      <c r="A52" s="23">
        <v>3100028</v>
      </c>
      <c r="B52" s="12" t="s">
        <v>503</v>
      </c>
      <c r="C52" s="12" t="s">
        <v>506</v>
      </c>
      <c r="D52" s="12" t="s">
        <v>1011</v>
      </c>
      <c r="E52" s="12" t="s">
        <v>496</v>
      </c>
      <c r="F52" s="14" t="s">
        <v>784</v>
      </c>
      <c r="H52" s="2"/>
    </row>
    <row r="53" spans="1:8" ht="16">
      <c r="A53" s="23">
        <v>3100029</v>
      </c>
      <c r="B53" s="12" t="s">
        <v>503</v>
      </c>
      <c r="C53" s="12" t="s">
        <v>507</v>
      </c>
      <c r="D53" s="12" t="s">
        <v>1012</v>
      </c>
      <c r="E53" s="12" t="s">
        <v>496</v>
      </c>
      <c r="F53" s="14" t="s">
        <v>785</v>
      </c>
      <c r="H53" s="2"/>
    </row>
    <row r="54" spans="1:8" ht="16">
      <c r="A54" s="23">
        <v>3100030</v>
      </c>
      <c r="B54" s="12" t="s">
        <v>508</v>
      </c>
      <c r="C54" s="12" t="s">
        <v>509</v>
      </c>
      <c r="D54" s="12" t="s">
        <v>1013</v>
      </c>
      <c r="E54" s="12" t="s">
        <v>542</v>
      </c>
      <c r="F54" s="14" t="s">
        <v>786</v>
      </c>
      <c r="H54" s="2"/>
    </row>
    <row r="55" spans="1:8" ht="16">
      <c r="A55" s="23">
        <v>3100031</v>
      </c>
      <c r="B55" s="12" t="s">
        <v>536</v>
      </c>
      <c r="C55" s="12" t="s">
        <v>538</v>
      </c>
      <c r="D55" s="12" t="s">
        <v>1014</v>
      </c>
      <c r="E55" s="12" t="s">
        <v>387</v>
      </c>
      <c r="F55" s="14" t="s">
        <v>787</v>
      </c>
      <c r="H55" s="2"/>
    </row>
    <row r="56" spans="1:8" ht="16">
      <c r="A56" s="23">
        <v>3100032</v>
      </c>
      <c r="B56" s="12" t="s">
        <v>536</v>
      </c>
      <c r="C56" s="12" t="s">
        <v>539</v>
      </c>
      <c r="D56" s="12" t="s">
        <v>1015</v>
      </c>
      <c r="E56" s="12" t="s">
        <v>387</v>
      </c>
      <c r="F56" s="14" t="s">
        <v>788</v>
      </c>
      <c r="H56" s="2"/>
    </row>
    <row r="57" spans="1:8" ht="16">
      <c r="A57" s="23">
        <v>3100033</v>
      </c>
      <c r="B57" s="12" t="s">
        <v>536</v>
      </c>
      <c r="C57" s="12" t="s">
        <v>540</v>
      </c>
      <c r="D57" s="12" t="s">
        <v>1016</v>
      </c>
      <c r="E57" s="12" t="s">
        <v>387</v>
      </c>
      <c r="F57" s="14" t="s">
        <v>789</v>
      </c>
      <c r="H57" s="2"/>
    </row>
    <row r="58" spans="1:8" ht="16">
      <c r="A58" s="23">
        <v>3100034</v>
      </c>
      <c r="B58" s="12" t="s">
        <v>536</v>
      </c>
      <c r="C58" s="12" t="s">
        <v>541</v>
      </c>
      <c r="D58" s="12" t="s">
        <v>1017</v>
      </c>
      <c r="E58" s="12" t="s">
        <v>387</v>
      </c>
      <c r="F58" s="14" t="s">
        <v>790</v>
      </c>
      <c r="H58" s="2"/>
    </row>
    <row r="59" spans="1:8" ht="16">
      <c r="A59" s="23">
        <v>3100035</v>
      </c>
      <c r="B59" s="12" t="s">
        <v>543</v>
      </c>
      <c r="C59" s="12" t="s">
        <v>544</v>
      </c>
      <c r="D59" s="12" t="s">
        <v>1018</v>
      </c>
      <c r="E59" s="12" t="s">
        <v>535</v>
      </c>
      <c r="F59" s="14" t="s">
        <v>791</v>
      </c>
      <c r="H59" s="2"/>
    </row>
    <row r="60" spans="1:8" ht="16">
      <c r="A60" s="23">
        <v>3100036</v>
      </c>
      <c r="B60" s="12" t="s">
        <v>545</v>
      </c>
      <c r="C60" s="12" t="s">
        <v>551</v>
      </c>
      <c r="D60" s="12" t="s">
        <v>1019</v>
      </c>
      <c r="E60" s="12" t="s">
        <v>547</v>
      </c>
      <c r="F60" s="14" t="s">
        <v>792</v>
      </c>
      <c r="H60" s="2"/>
    </row>
    <row r="61" spans="1:8" ht="16">
      <c r="A61" s="23">
        <v>3100037</v>
      </c>
      <c r="B61" s="12" t="s">
        <v>545</v>
      </c>
      <c r="C61" s="12" t="s">
        <v>552</v>
      </c>
      <c r="D61" s="12" t="s">
        <v>1020</v>
      </c>
      <c r="E61" s="12" t="s">
        <v>547</v>
      </c>
      <c r="F61" s="14" t="s">
        <v>793</v>
      </c>
      <c r="H61" s="2"/>
    </row>
    <row r="62" spans="1:8" ht="16">
      <c r="A62" s="23">
        <v>3100038</v>
      </c>
      <c r="B62" s="12" t="s">
        <v>545</v>
      </c>
      <c r="C62" s="12" t="s">
        <v>553</v>
      </c>
      <c r="D62" s="12" t="s">
        <v>1021</v>
      </c>
      <c r="E62" s="12" t="s">
        <v>547</v>
      </c>
      <c r="F62" s="14" t="s">
        <v>794</v>
      </c>
      <c r="H62" s="2"/>
    </row>
    <row r="63" spans="1:8" ht="16">
      <c r="A63" s="23">
        <v>3100039</v>
      </c>
      <c r="B63" s="12" t="s">
        <v>545</v>
      </c>
      <c r="C63" s="12" t="s">
        <v>546</v>
      </c>
      <c r="D63" s="12" t="s">
        <v>1022</v>
      </c>
      <c r="E63" s="12" t="s">
        <v>547</v>
      </c>
      <c r="F63" s="14" t="s">
        <v>795</v>
      </c>
      <c r="H63" s="2"/>
    </row>
    <row r="64" spans="1:8" ht="16">
      <c r="A64" s="23">
        <v>3100040</v>
      </c>
      <c r="B64" s="12" t="s">
        <v>557</v>
      </c>
      <c r="C64" s="12" t="s">
        <v>558</v>
      </c>
      <c r="D64" s="12" t="s">
        <v>1023</v>
      </c>
      <c r="E64" s="12" t="s">
        <v>547</v>
      </c>
      <c r="F64" s="14" t="s">
        <v>796</v>
      </c>
      <c r="H64" s="2"/>
    </row>
    <row r="65" spans="1:8" ht="16">
      <c r="A65" s="23">
        <v>3100041</v>
      </c>
      <c r="B65" s="12" t="s">
        <v>557</v>
      </c>
      <c r="C65" s="12" t="s">
        <v>558</v>
      </c>
      <c r="D65" s="12" t="s">
        <v>1024</v>
      </c>
      <c r="E65" s="12" t="s">
        <v>547</v>
      </c>
      <c r="F65" s="14" t="s">
        <v>797</v>
      </c>
      <c r="H65" s="2"/>
    </row>
    <row r="66" spans="1:8" ht="16">
      <c r="A66" s="23">
        <v>3100042</v>
      </c>
      <c r="B66" s="12" t="s">
        <v>557</v>
      </c>
      <c r="C66" s="12" t="s">
        <v>558</v>
      </c>
      <c r="D66" s="12" t="s">
        <v>1025</v>
      </c>
      <c r="E66" s="12" t="s">
        <v>547</v>
      </c>
      <c r="F66" s="14" t="s">
        <v>798</v>
      </c>
      <c r="H66" s="2"/>
    </row>
    <row r="67" spans="1:8" ht="16">
      <c r="A67" s="23">
        <v>3100043</v>
      </c>
      <c r="B67" s="12" t="s">
        <v>557</v>
      </c>
      <c r="C67" s="12" t="s">
        <v>558</v>
      </c>
      <c r="D67" s="12" t="s">
        <v>1026</v>
      </c>
      <c r="E67" s="12" t="s">
        <v>547</v>
      </c>
      <c r="F67" s="14" t="s">
        <v>799</v>
      </c>
      <c r="H67" s="2"/>
    </row>
    <row r="68" spans="1:8" ht="16">
      <c r="A68" s="23">
        <v>3100044</v>
      </c>
      <c r="B68" s="12" t="s">
        <v>565</v>
      </c>
      <c r="C68" s="12" t="s">
        <v>566</v>
      </c>
      <c r="D68" s="12" t="s">
        <v>1027</v>
      </c>
      <c r="E68" s="12" t="s">
        <v>535</v>
      </c>
      <c r="F68" s="14" t="s">
        <v>800</v>
      </c>
      <c r="H68" s="2"/>
    </row>
    <row r="69" spans="1:8" ht="16">
      <c r="A69" s="23">
        <v>3100045</v>
      </c>
      <c r="B69" s="12" t="s">
        <v>585</v>
      </c>
      <c r="C69" s="12" t="s">
        <v>586</v>
      </c>
      <c r="D69" s="12" t="s">
        <v>1028</v>
      </c>
      <c r="E69" s="12" t="s">
        <v>547</v>
      </c>
      <c r="F69" s="14" t="s">
        <v>801</v>
      </c>
      <c r="H69" s="2"/>
    </row>
    <row r="70" spans="1:8" ht="16">
      <c r="A70" s="23">
        <v>3100046</v>
      </c>
      <c r="B70" s="12" t="s">
        <v>585</v>
      </c>
      <c r="C70" s="12" t="s">
        <v>587</v>
      </c>
      <c r="D70" s="12" t="s">
        <v>1029</v>
      </c>
      <c r="E70" s="12" t="s">
        <v>547</v>
      </c>
      <c r="F70" s="14" t="s">
        <v>802</v>
      </c>
      <c r="H70" s="2"/>
    </row>
    <row r="71" spans="1:8" ht="16">
      <c r="A71" s="23">
        <v>3100047</v>
      </c>
      <c r="B71" s="12" t="s">
        <v>585</v>
      </c>
      <c r="C71" s="12" t="s">
        <v>588</v>
      </c>
      <c r="D71" s="12" t="s">
        <v>1030</v>
      </c>
      <c r="E71" s="12" t="s">
        <v>547</v>
      </c>
      <c r="F71" s="14" t="s">
        <v>803</v>
      </c>
      <c r="H71" s="2"/>
    </row>
    <row r="72" spans="1:8" ht="16">
      <c r="A72" s="23">
        <v>3100048</v>
      </c>
      <c r="B72" s="12" t="s">
        <v>585</v>
      </c>
      <c r="C72" s="12" t="s">
        <v>589</v>
      </c>
      <c r="D72" s="12" t="s">
        <v>1031</v>
      </c>
      <c r="E72" s="12" t="s">
        <v>547</v>
      </c>
      <c r="F72" s="14" t="s">
        <v>804</v>
      </c>
      <c r="H72" s="2"/>
    </row>
    <row r="73" spans="1:8" ht="16">
      <c r="A73" s="23">
        <v>3100049</v>
      </c>
      <c r="B73" s="12" t="s">
        <v>593</v>
      </c>
      <c r="C73" s="12" t="s">
        <v>594</v>
      </c>
      <c r="D73" s="12" t="s">
        <v>1032</v>
      </c>
      <c r="E73" s="12" t="s">
        <v>547</v>
      </c>
      <c r="F73" s="14" t="s">
        <v>805</v>
      </c>
      <c r="H73" s="2"/>
    </row>
    <row r="74" spans="1:8" ht="16">
      <c r="A74" s="23">
        <v>3100050</v>
      </c>
      <c r="B74" s="12" t="s">
        <v>593</v>
      </c>
      <c r="C74" s="12" t="s">
        <v>595</v>
      </c>
      <c r="D74" s="12" t="s">
        <v>1033</v>
      </c>
      <c r="E74" s="12" t="s">
        <v>547</v>
      </c>
      <c r="F74" s="14" t="s">
        <v>806</v>
      </c>
      <c r="H74" s="2"/>
    </row>
    <row r="75" spans="1:8" ht="16">
      <c r="A75" s="23">
        <v>3100051</v>
      </c>
      <c r="B75" s="12" t="s">
        <v>593</v>
      </c>
      <c r="C75" s="12" t="s">
        <v>596</v>
      </c>
      <c r="D75" s="12" t="s">
        <v>1034</v>
      </c>
      <c r="E75" s="12" t="s">
        <v>547</v>
      </c>
      <c r="F75" s="14" t="s">
        <v>807</v>
      </c>
      <c r="H75" s="2"/>
    </row>
    <row r="76" spans="1:8" ht="16">
      <c r="A76" s="23">
        <v>3100052</v>
      </c>
      <c r="B76" s="12" t="s">
        <v>593</v>
      </c>
      <c r="C76" s="12" t="s">
        <v>597</v>
      </c>
      <c r="D76" s="12" t="s">
        <v>1035</v>
      </c>
      <c r="E76" s="12" t="s">
        <v>547</v>
      </c>
      <c r="F76" s="14" t="s">
        <v>808</v>
      </c>
      <c r="H76" s="2"/>
    </row>
  </sheetData>
  <phoneticPr fontId="1" type="noConversion"/>
  <conditionalFormatting sqref="F4:F76">
    <cfRule type="duplicateValues" dxfId="28" priority="10"/>
  </conditionalFormatting>
  <conditionalFormatting sqref="A3:F3">
    <cfRule type="duplicateValues" dxfId="27" priority="3"/>
  </conditionalFormatting>
  <conditionalFormatting sqref="A4:A76">
    <cfRule type="duplicateValues" dxfId="26" priority="1"/>
  </conditionalFormatting>
  <hyperlinks>
    <hyperlink ref="E2" location="PassiveType" display="PassiveType"/>
    <hyperlink ref="E3" location="PassiveType" display="PassiveType"/>
  </hyperlinks>
  <pageMargins left="0.7" right="0.7" top="0.75" bottom="0.75" header="0.3" footer="0.3"/>
  <pageSetup paperSize="9" orientation="portrait"/>
  <tableParts count="1">
    <tablePart r:id="rId1"/>
  </tableParts>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V73"/>
  <sheetViews>
    <sheetView showGridLines="0" workbookViewId="0">
      <pane xSplit="1" ySplit="1" topLeftCell="B2" activePane="bottomRight" state="frozen"/>
      <selection pane="topRight" activeCell="B1" sqref="B1"/>
      <selection pane="bottomLeft" activeCell="A4" sqref="A4"/>
      <selection pane="bottomRight" activeCell="D4" sqref="D4:D73"/>
    </sheetView>
  </sheetViews>
  <sheetFormatPr baseColWidth="10" defaultColWidth="8.7109375" defaultRowHeight="12" x14ac:dyDescent="0"/>
  <cols>
    <col min="1" max="1" width="9.5703125" bestFit="1" customWidth="1"/>
    <col min="2" max="2" width="8.28515625" bestFit="1" customWidth="1"/>
    <col min="3" max="3" width="71.42578125" bestFit="1" customWidth="1"/>
    <col min="4" max="4" width="19.7109375" customWidth="1"/>
    <col min="5" max="5" width="20.42578125" bestFit="1" customWidth="1"/>
    <col min="6" max="7" width="9.140625" bestFit="1" customWidth="1"/>
    <col min="8" max="8" width="39.28515625" customWidth="1"/>
    <col min="9" max="9" width="15.140625" bestFit="1" customWidth="1"/>
    <col min="10" max="10" width="11.140625" bestFit="1" customWidth="1"/>
    <col min="11" max="11" width="29.5703125" bestFit="1" customWidth="1"/>
    <col min="12" max="12" width="40.85546875" bestFit="1" customWidth="1"/>
    <col min="14" max="14" width="14.85546875" bestFit="1" customWidth="1"/>
  </cols>
  <sheetData>
    <row r="1" spans="1:22" s="4" customFormat="1" ht="95.25" customHeight="1">
      <c r="A1" s="29" t="s">
        <v>872</v>
      </c>
      <c r="B1" s="29" t="s">
        <v>891</v>
      </c>
      <c r="C1" s="29" t="s">
        <v>892</v>
      </c>
      <c r="D1" s="29" t="s">
        <v>893</v>
      </c>
      <c r="E1" s="29" t="s">
        <v>894</v>
      </c>
      <c r="F1" s="29" t="s">
        <v>895</v>
      </c>
      <c r="G1" s="29" t="s">
        <v>870</v>
      </c>
      <c r="H1" s="29" t="s">
        <v>896</v>
      </c>
      <c r="I1" s="29" t="s">
        <v>897</v>
      </c>
      <c r="J1" s="29" t="s">
        <v>898</v>
      </c>
      <c r="K1" s="21" t="s">
        <v>873</v>
      </c>
      <c r="L1" s="21" t="s">
        <v>899</v>
      </c>
    </row>
    <row r="2" spans="1:22" s="2" customFormat="1" ht="16">
      <c r="A2" s="12" t="s">
        <v>874</v>
      </c>
      <c r="B2" s="12" t="s">
        <v>875</v>
      </c>
      <c r="C2" s="12" t="s">
        <v>875</v>
      </c>
      <c r="D2" s="12" t="s">
        <v>875</v>
      </c>
      <c r="E2" s="12" t="s">
        <v>876</v>
      </c>
      <c r="F2" s="12" t="s">
        <v>877</v>
      </c>
      <c r="G2" s="12" t="s">
        <v>877</v>
      </c>
      <c r="H2" s="12" t="s">
        <v>878</v>
      </c>
      <c r="I2" s="12" t="s">
        <v>875</v>
      </c>
      <c r="J2" s="12" t="s">
        <v>877</v>
      </c>
      <c r="K2" s="32" t="s">
        <v>879</v>
      </c>
      <c r="L2" s="12" t="s">
        <v>880</v>
      </c>
      <c r="M2" s="4"/>
      <c r="N2" s="4"/>
      <c r="O2" s="4"/>
      <c r="P2" s="4"/>
      <c r="Q2" s="4"/>
      <c r="R2"/>
      <c r="S2"/>
      <c r="T2"/>
      <c r="U2"/>
      <c r="V2"/>
    </row>
    <row r="3" spans="1:22" ht="16">
      <c r="A3" s="15" t="s">
        <v>900</v>
      </c>
      <c r="B3" s="15" t="s">
        <v>881</v>
      </c>
      <c r="C3" s="15" t="s">
        <v>882</v>
      </c>
      <c r="D3" s="15" t="s">
        <v>909</v>
      </c>
      <c r="E3" s="15" t="s">
        <v>883</v>
      </c>
      <c r="F3" s="15" t="s">
        <v>884</v>
      </c>
      <c r="G3" s="15" t="s">
        <v>885</v>
      </c>
      <c r="H3" s="15" t="s">
        <v>886</v>
      </c>
      <c r="I3" s="15" t="s">
        <v>887</v>
      </c>
      <c r="J3" s="15" t="s">
        <v>888</v>
      </c>
      <c r="K3" s="16" t="s">
        <v>889</v>
      </c>
      <c r="L3" s="15" t="s">
        <v>890</v>
      </c>
      <c r="N3" s="31" t="s">
        <v>871</v>
      </c>
    </row>
    <row r="4" spans="1:22" ht="16">
      <c r="A4" s="12">
        <v>4000001</v>
      </c>
      <c r="B4" s="12" t="s">
        <v>115</v>
      </c>
      <c r="C4" s="12" t="s">
        <v>116</v>
      </c>
      <c r="D4" s="12" t="s">
        <v>1037</v>
      </c>
      <c r="E4" s="12" t="b">
        <v>0</v>
      </c>
      <c r="F4" s="12">
        <v>10</v>
      </c>
      <c r="G4" s="12">
        <v>1</v>
      </c>
      <c r="H4" s="12"/>
      <c r="I4" s="12"/>
      <c r="J4" s="12">
        <v>1</v>
      </c>
      <c r="K4" s="12" t="s">
        <v>118</v>
      </c>
      <c r="L4" s="12"/>
      <c r="N4" s="30">
        <v>1</v>
      </c>
    </row>
    <row r="5" spans="1:22" ht="16">
      <c r="A5" s="12">
        <v>4000002</v>
      </c>
      <c r="B5" s="12" t="s">
        <v>146</v>
      </c>
      <c r="C5" s="12" t="s">
        <v>148</v>
      </c>
      <c r="D5" s="12" t="s">
        <v>1038</v>
      </c>
      <c r="E5" s="12" t="b">
        <v>0</v>
      </c>
      <c r="F5" s="12">
        <v>10</v>
      </c>
      <c r="G5" s="12">
        <v>10</v>
      </c>
      <c r="H5" s="12"/>
      <c r="I5" s="12"/>
      <c r="J5" s="12">
        <v>1</v>
      </c>
      <c r="K5" s="12" t="s">
        <v>521</v>
      </c>
      <c r="L5" s="12"/>
      <c r="N5" s="30">
        <v>2</v>
      </c>
    </row>
    <row r="6" spans="1:22" ht="16">
      <c r="A6" s="12">
        <v>4000003</v>
      </c>
      <c r="B6" s="12" t="s">
        <v>150</v>
      </c>
      <c r="C6" s="12" t="s">
        <v>151</v>
      </c>
      <c r="D6" s="12" t="s">
        <v>1039</v>
      </c>
      <c r="E6" s="12" t="b">
        <v>0</v>
      </c>
      <c r="F6" s="12">
        <v>10</v>
      </c>
      <c r="G6" s="12">
        <v>10</v>
      </c>
      <c r="H6" s="12"/>
      <c r="I6" s="12"/>
      <c r="J6" s="12">
        <v>1</v>
      </c>
      <c r="K6" s="12" t="s">
        <v>133</v>
      </c>
      <c r="L6" s="12"/>
      <c r="N6" s="30">
        <v>3</v>
      </c>
    </row>
    <row r="7" spans="1:22" ht="16">
      <c r="A7" s="12">
        <v>4000004</v>
      </c>
      <c r="B7" s="12" t="s">
        <v>162</v>
      </c>
      <c r="C7" s="12" t="s">
        <v>163</v>
      </c>
      <c r="D7" s="12" t="s">
        <v>1040</v>
      </c>
      <c r="E7" s="12" t="b">
        <v>0</v>
      </c>
      <c r="F7" s="12">
        <v>10</v>
      </c>
      <c r="G7" s="12">
        <v>10</v>
      </c>
      <c r="H7" s="12"/>
      <c r="I7" s="12"/>
      <c r="J7" s="12">
        <v>1</v>
      </c>
      <c r="K7" s="12" t="s">
        <v>144</v>
      </c>
      <c r="L7" s="12"/>
      <c r="N7" s="30">
        <v>4</v>
      </c>
    </row>
    <row r="8" spans="1:22" ht="16">
      <c r="A8" s="12">
        <v>4000005</v>
      </c>
      <c r="B8" s="12" t="s">
        <v>187</v>
      </c>
      <c r="C8" s="12" t="s">
        <v>188</v>
      </c>
      <c r="D8" s="12" t="s">
        <v>1041</v>
      </c>
      <c r="E8" s="12" t="b">
        <v>0</v>
      </c>
      <c r="F8" s="12">
        <v>10</v>
      </c>
      <c r="G8" s="12">
        <v>99</v>
      </c>
      <c r="H8" s="12"/>
      <c r="I8" s="12"/>
      <c r="J8" s="12">
        <v>1</v>
      </c>
      <c r="K8" s="12" t="s">
        <v>189</v>
      </c>
      <c r="L8" s="12" t="s">
        <v>809</v>
      </c>
      <c r="N8" s="30">
        <v>5</v>
      </c>
    </row>
    <row r="9" spans="1:22" ht="16">
      <c r="A9" s="12">
        <v>4100027</v>
      </c>
      <c r="B9" s="12" t="s">
        <v>520</v>
      </c>
      <c r="C9" s="12" t="s">
        <v>511</v>
      </c>
      <c r="D9" s="12" t="s">
        <v>1042</v>
      </c>
      <c r="E9" s="12" t="b">
        <v>0</v>
      </c>
      <c r="F9" s="12">
        <v>10</v>
      </c>
      <c r="G9" s="12">
        <v>5</v>
      </c>
      <c r="H9" s="12"/>
      <c r="I9" s="12"/>
      <c r="J9" s="12">
        <v>1</v>
      </c>
      <c r="K9" s="12" t="s">
        <v>133</v>
      </c>
      <c r="L9" s="12"/>
      <c r="N9" s="30">
        <v>6</v>
      </c>
    </row>
    <row r="10" spans="1:22" ht="16">
      <c r="A10" s="12">
        <v>4100028</v>
      </c>
      <c r="B10" s="12" t="s">
        <v>520</v>
      </c>
      <c r="C10" s="12" t="s">
        <v>512</v>
      </c>
      <c r="D10" s="12" t="s">
        <v>1043</v>
      </c>
      <c r="E10" s="12" t="b">
        <v>0</v>
      </c>
      <c r="F10" s="12">
        <v>10</v>
      </c>
      <c r="G10" s="12">
        <v>8</v>
      </c>
      <c r="H10" s="12"/>
      <c r="I10" s="12"/>
      <c r="J10" s="12">
        <v>1</v>
      </c>
      <c r="K10" s="12" t="s">
        <v>133</v>
      </c>
      <c r="L10" s="12"/>
      <c r="N10" s="30">
        <v>7</v>
      </c>
    </row>
    <row r="11" spans="1:22" ht="16">
      <c r="A11" s="12">
        <v>4100029</v>
      </c>
      <c r="B11" s="12" t="s">
        <v>520</v>
      </c>
      <c r="C11" s="12" t="s">
        <v>513</v>
      </c>
      <c r="D11" s="12" t="s">
        <v>1044</v>
      </c>
      <c r="E11" s="12" t="b">
        <v>0</v>
      </c>
      <c r="F11" s="12">
        <v>10</v>
      </c>
      <c r="G11" s="12">
        <v>12</v>
      </c>
      <c r="H11" s="12"/>
      <c r="I11" s="12"/>
      <c r="J11" s="12">
        <v>1</v>
      </c>
      <c r="K11" s="12" t="s">
        <v>133</v>
      </c>
      <c r="L11" s="12"/>
      <c r="N11" s="30">
        <v>8</v>
      </c>
    </row>
    <row r="12" spans="1:22" ht="16">
      <c r="A12" s="12">
        <v>4100030</v>
      </c>
      <c r="B12" s="12" t="s">
        <v>520</v>
      </c>
      <c r="C12" s="12" t="s">
        <v>514</v>
      </c>
      <c r="D12" s="12" t="s">
        <v>1045</v>
      </c>
      <c r="E12" s="12" t="b">
        <v>0</v>
      </c>
      <c r="F12" s="12">
        <v>10</v>
      </c>
      <c r="G12" s="12">
        <v>15</v>
      </c>
      <c r="H12" s="12"/>
      <c r="I12" s="12"/>
      <c r="J12" s="12">
        <v>1</v>
      </c>
      <c r="K12" s="12" t="s">
        <v>133</v>
      </c>
      <c r="L12" s="12"/>
      <c r="N12" s="30">
        <v>9</v>
      </c>
    </row>
    <row r="13" spans="1:22" ht="16">
      <c r="A13" s="12">
        <v>4100039</v>
      </c>
      <c r="B13" s="12" t="s">
        <v>557</v>
      </c>
      <c r="C13" s="12" t="s">
        <v>559</v>
      </c>
      <c r="D13" s="12" t="s">
        <v>1046</v>
      </c>
      <c r="E13" s="12" t="b">
        <v>0</v>
      </c>
      <c r="F13" s="12">
        <v>5</v>
      </c>
      <c r="G13" s="12">
        <v>99</v>
      </c>
      <c r="H13" s="12">
        <v>1</v>
      </c>
      <c r="I13" s="12"/>
      <c r="J13" s="12">
        <v>1</v>
      </c>
      <c r="K13" s="12" t="s">
        <v>388</v>
      </c>
      <c r="L13" s="12" t="s">
        <v>810</v>
      </c>
      <c r="N13" s="30">
        <v>10</v>
      </c>
    </row>
    <row r="14" spans="1:22" ht="16">
      <c r="A14" s="12">
        <v>4100040</v>
      </c>
      <c r="B14" s="12" t="s">
        <v>557</v>
      </c>
      <c r="C14" s="12" t="s">
        <v>1036</v>
      </c>
      <c r="D14" s="12" t="s">
        <v>1047</v>
      </c>
      <c r="E14" s="12" t="b">
        <v>0</v>
      </c>
      <c r="F14" s="12">
        <v>5</v>
      </c>
      <c r="G14" s="12">
        <v>99</v>
      </c>
      <c r="H14" s="12">
        <v>1</v>
      </c>
      <c r="I14" s="12"/>
      <c r="J14" s="12">
        <v>1</v>
      </c>
      <c r="K14" s="12" t="s">
        <v>388</v>
      </c>
      <c r="L14" s="12" t="s">
        <v>811</v>
      </c>
      <c r="N14" s="30">
        <v>11</v>
      </c>
    </row>
    <row r="15" spans="1:22" ht="16">
      <c r="A15" s="12">
        <v>4100041</v>
      </c>
      <c r="B15" s="12" t="s">
        <v>557</v>
      </c>
      <c r="C15" s="12" t="s">
        <v>560</v>
      </c>
      <c r="D15" s="12" t="s">
        <v>1048</v>
      </c>
      <c r="E15" s="12" t="b">
        <v>0</v>
      </c>
      <c r="F15" s="12">
        <v>5</v>
      </c>
      <c r="G15" s="12">
        <v>99</v>
      </c>
      <c r="H15" s="12">
        <v>1</v>
      </c>
      <c r="I15" s="12"/>
      <c r="J15" s="12">
        <v>1</v>
      </c>
      <c r="K15" s="12" t="s">
        <v>388</v>
      </c>
      <c r="L15" s="12" t="s">
        <v>812</v>
      </c>
      <c r="N15" s="30">
        <v>12</v>
      </c>
    </row>
    <row r="16" spans="1:22" ht="16">
      <c r="A16" s="12">
        <v>4100042</v>
      </c>
      <c r="B16" s="12" t="s">
        <v>557</v>
      </c>
      <c r="C16" s="12" t="s">
        <v>559</v>
      </c>
      <c r="D16" s="12" t="s">
        <v>1049</v>
      </c>
      <c r="E16" s="12" t="b">
        <v>0</v>
      </c>
      <c r="F16" s="12">
        <v>5</v>
      </c>
      <c r="G16" s="12">
        <v>99</v>
      </c>
      <c r="H16" s="12">
        <v>1</v>
      </c>
      <c r="I16" s="12"/>
      <c r="J16" s="12">
        <v>1</v>
      </c>
      <c r="K16" s="12" t="s">
        <v>388</v>
      </c>
      <c r="L16" s="12" t="s">
        <v>813</v>
      </c>
      <c r="N16" s="30">
        <v>13</v>
      </c>
    </row>
    <row r="17" spans="1:14" ht="16">
      <c r="A17" s="12">
        <v>4100043</v>
      </c>
      <c r="B17" s="12" t="s">
        <v>574</v>
      </c>
      <c r="C17" s="12" t="s">
        <v>560</v>
      </c>
      <c r="D17" s="12" t="s">
        <v>1050</v>
      </c>
      <c r="E17" s="12" t="b">
        <v>0</v>
      </c>
      <c r="F17" s="12">
        <v>10</v>
      </c>
      <c r="G17" s="12">
        <v>10</v>
      </c>
      <c r="H17" s="12">
        <v>2</v>
      </c>
      <c r="I17" s="12"/>
      <c r="J17" s="12">
        <v>1</v>
      </c>
      <c r="K17" s="12" t="s">
        <v>388</v>
      </c>
      <c r="L17" s="12" t="s">
        <v>814</v>
      </c>
      <c r="N17" s="30">
        <v>14</v>
      </c>
    </row>
    <row r="18" spans="1:14" ht="16">
      <c r="A18" s="12">
        <v>4000006</v>
      </c>
      <c r="B18" s="12" t="s">
        <v>203</v>
      </c>
      <c r="C18" s="12" t="s">
        <v>204</v>
      </c>
      <c r="D18" s="12" t="s">
        <v>1051</v>
      </c>
      <c r="E18" s="12" t="b">
        <v>1</v>
      </c>
      <c r="F18" s="12">
        <v>1</v>
      </c>
      <c r="G18" s="12">
        <v>10</v>
      </c>
      <c r="H18" s="12"/>
      <c r="I18" s="12"/>
      <c r="J18" s="12">
        <v>1</v>
      </c>
      <c r="K18" s="12" t="s">
        <v>420</v>
      </c>
      <c r="L18" s="12" t="s">
        <v>815</v>
      </c>
      <c r="N18" s="30">
        <v>1</v>
      </c>
    </row>
    <row r="19" spans="1:14" ht="16">
      <c r="A19" s="12">
        <v>4000007</v>
      </c>
      <c r="B19" s="12" t="s">
        <v>208</v>
      </c>
      <c r="C19" s="12" t="s">
        <v>210</v>
      </c>
      <c r="D19" s="12" t="s">
        <v>1052</v>
      </c>
      <c r="E19" s="12" t="b">
        <v>1</v>
      </c>
      <c r="F19" s="12">
        <v>1</v>
      </c>
      <c r="G19" s="12">
        <v>10</v>
      </c>
      <c r="H19" s="12"/>
      <c r="I19" s="12"/>
      <c r="J19" s="12">
        <v>1</v>
      </c>
      <c r="K19" s="12" t="s">
        <v>207</v>
      </c>
      <c r="L19" s="12" t="s">
        <v>816</v>
      </c>
      <c r="N19" s="30">
        <v>2</v>
      </c>
    </row>
    <row r="20" spans="1:14" ht="16">
      <c r="A20" s="12">
        <v>4000008</v>
      </c>
      <c r="B20" s="12" t="s">
        <v>218</v>
      </c>
      <c r="C20" s="12" t="s">
        <v>219</v>
      </c>
      <c r="D20" s="12" t="s">
        <v>1053</v>
      </c>
      <c r="E20" s="12" t="b">
        <v>1</v>
      </c>
      <c r="F20" s="12">
        <v>1</v>
      </c>
      <c r="G20" s="12">
        <v>10</v>
      </c>
      <c r="H20" s="12"/>
      <c r="I20" s="12"/>
      <c r="J20" s="12">
        <v>1</v>
      </c>
      <c r="K20" s="12" t="s">
        <v>216</v>
      </c>
      <c r="L20" s="12" t="s">
        <v>817</v>
      </c>
      <c r="N20" s="30">
        <v>3</v>
      </c>
    </row>
    <row r="21" spans="1:14" ht="16">
      <c r="A21" s="12">
        <v>4000009</v>
      </c>
      <c r="B21" s="12" t="s">
        <v>199</v>
      </c>
      <c r="C21" s="12" t="s">
        <v>200</v>
      </c>
      <c r="D21" s="12" t="s">
        <v>1054</v>
      </c>
      <c r="E21" s="12" t="b">
        <v>1</v>
      </c>
      <c r="F21" s="12">
        <v>10</v>
      </c>
      <c r="G21" s="12">
        <v>99</v>
      </c>
      <c r="H21" s="12"/>
      <c r="I21" s="12"/>
      <c r="J21" s="12">
        <v>1</v>
      </c>
      <c r="K21" s="12" t="s">
        <v>417</v>
      </c>
      <c r="L21" s="12" t="s">
        <v>818</v>
      </c>
      <c r="N21" s="30">
        <v>4</v>
      </c>
    </row>
    <row r="22" spans="1:14" ht="16">
      <c r="A22" s="12">
        <v>4000010</v>
      </c>
      <c r="B22" s="12" t="s">
        <v>201</v>
      </c>
      <c r="C22" s="12" t="s">
        <v>202</v>
      </c>
      <c r="D22" s="12" t="s">
        <v>1055</v>
      </c>
      <c r="E22" s="12" t="b">
        <v>1</v>
      </c>
      <c r="F22" s="12">
        <v>10</v>
      </c>
      <c r="G22" s="12">
        <v>99</v>
      </c>
      <c r="H22" s="12"/>
      <c r="I22" s="12"/>
      <c r="J22" s="12">
        <v>1</v>
      </c>
      <c r="K22" s="12" t="s">
        <v>415</v>
      </c>
      <c r="L22" s="12" t="s">
        <v>819</v>
      </c>
      <c r="N22" s="30">
        <v>5</v>
      </c>
    </row>
    <row r="23" spans="1:14" ht="16">
      <c r="A23" s="12">
        <v>4000011</v>
      </c>
      <c r="B23" s="12" t="s">
        <v>224</v>
      </c>
      <c r="C23" s="12" t="s">
        <v>225</v>
      </c>
      <c r="D23" s="12" t="s">
        <v>1056</v>
      </c>
      <c r="E23" s="12" t="b">
        <v>1</v>
      </c>
      <c r="F23" s="12">
        <v>10</v>
      </c>
      <c r="G23" s="12">
        <v>99</v>
      </c>
      <c r="H23" s="12"/>
      <c r="I23" s="12"/>
      <c r="J23" s="12">
        <v>1</v>
      </c>
      <c r="K23" s="12" t="s">
        <v>223</v>
      </c>
      <c r="L23" s="12" t="s">
        <v>820</v>
      </c>
      <c r="N23" s="30">
        <v>6</v>
      </c>
    </row>
    <row r="24" spans="1:14" ht="16">
      <c r="A24" s="12">
        <v>4000012</v>
      </c>
      <c r="B24" s="12" t="s">
        <v>226</v>
      </c>
      <c r="C24" s="12" t="s">
        <v>227</v>
      </c>
      <c r="D24" s="12" t="s">
        <v>1057</v>
      </c>
      <c r="E24" s="12" t="b">
        <v>1</v>
      </c>
      <c r="F24" s="12">
        <v>10</v>
      </c>
      <c r="G24" s="12">
        <v>99</v>
      </c>
      <c r="H24" s="12"/>
      <c r="I24" s="12"/>
      <c r="J24" s="12">
        <v>1</v>
      </c>
      <c r="K24" s="12" t="s">
        <v>416</v>
      </c>
      <c r="L24" s="12" t="s">
        <v>821</v>
      </c>
      <c r="N24" s="30">
        <v>7</v>
      </c>
    </row>
    <row r="25" spans="1:14" ht="16">
      <c r="A25" s="12">
        <v>4000013</v>
      </c>
      <c r="B25" s="12" t="s">
        <v>229</v>
      </c>
      <c r="C25" s="12" t="s">
        <v>228</v>
      </c>
      <c r="D25" s="12" t="s">
        <v>1058</v>
      </c>
      <c r="E25" s="12" t="b">
        <v>1</v>
      </c>
      <c r="F25" s="12">
        <v>10</v>
      </c>
      <c r="G25" s="12">
        <v>99</v>
      </c>
      <c r="H25" s="12"/>
      <c r="I25" s="12"/>
      <c r="J25" s="12">
        <v>1</v>
      </c>
      <c r="K25" s="12" t="s">
        <v>376</v>
      </c>
      <c r="L25" s="12" t="s">
        <v>822</v>
      </c>
      <c r="N25" s="30">
        <v>8</v>
      </c>
    </row>
    <row r="26" spans="1:14" ht="16">
      <c r="A26" s="12">
        <v>4000014</v>
      </c>
      <c r="B26" s="12" t="s">
        <v>238</v>
      </c>
      <c r="C26" s="12" t="s">
        <v>477</v>
      </c>
      <c r="D26" s="12" t="s">
        <v>1059</v>
      </c>
      <c r="E26" s="12" t="b">
        <v>1</v>
      </c>
      <c r="F26" s="12">
        <v>3</v>
      </c>
      <c r="G26" s="12">
        <v>99</v>
      </c>
      <c r="H26" s="12">
        <v>1</v>
      </c>
      <c r="I26" s="12"/>
      <c r="J26" s="12">
        <v>1</v>
      </c>
      <c r="K26" s="12" t="s">
        <v>406</v>
      </c>
      <c r="L26" s="12" t="s">
        <v>823</v>
      </c>
      <c r="N26" s="30">
        <v>9</v>
      </c>
    </row>
    <row r="27" spans="1:14" ht="16">
      <c r="A27" s="12">
        <v>4000015</v>
      </c>
      <c r="B27" s="12" t="s">
        <v>245</v>
      </c>
      <c r="C27" s="12" t="s">
        <v>248</v>
      </c>
      <c r="D27" s="12" t="s">
        <v>1060</v>
      </c>
      <c r="E27" s="12" t="b">
        <v>1</v>
      </c>
      <c r="F27" s="12">
        <v>5</v>
      </c>
      <c r="G27" s="12">
        <v>99</v>
      </c>
      <c r="H27" s="12"/>
      <c r="I27" s="12"/>
      <c r="J27" s="12">
        <v>1</v>
      </c>
      <c r="K27" s="12" t="s">
        <v>247</v>
      </c>
      <c r="L27" s="12" t="s">
        <v>824</v>
      </c>
      <c r="N27" s="30">
        <v>10</v>
      </c>
    </row>
    <row r="28" spans="1:14" ht="16">
      <c r="A28" s="12">
        <v>4100001</v>
      </c>
      <c r="B28" s="12" t="s">
        <v>396</v>
      </c>
      <c r="C28" s="12" t="s">
        <v>397</v>
      </c>
      <c r="D28" s="12" t="s">
        <v>1061</v>
      </c>
      <c r="E28" s="12" t="b">
        <v>1</v>
      </c>
      <c r="F28" s="12">
        <v>1</v>
      </c>
      <c r="G28" s="12">
        <v>99</v>
      </c>
      <c r="H28" s="12"/>
      <c r="I28" s="12"/>
      <c r="J28" s="12">
        <v>1</v>
      </c>
      <c r="K28" s="12" t="s">
        <v>398</v>
      </c>
      <c r="L28" s="12"/>
      <c r="N28" s="30">
        <v>11</v>
      </c>
    </row>
    <row r="29" spans="1:14" ht="16">
      <c r="A29" s="12">
        <v>4100002</v>
      </c>
      <c r="B29" s="12" t="s">
        <v>404</v>
      </c>
      <c r="C29" s="12" t="s">
        <v>405</v>
      </c>
      <c r="D29" s="12" t="s">
        <v>1062</v>
      </c>
      <c r="E29" s="12" t="b">
        <v>1</v>
      </c>
      <c r="F29" s="12">
        <v>5</v>
      </c>
      <c r="G29" s="12">
        <v>99</v>
      </c>
      <c r="H29" s="12"/>
      <c r="I29" s="12"/>
      <c r="J29" s="12">
        <v>1</v>
      </c>
      <c r="K29" s="12" t="s">
        <v>537</v>
      </c>
      <c r="L29" s="12" t="s">
        <v>825</v>
      </c>
      <c r="N29" s="30">
        <v>12</v>
      </c>
    </row>
    <row r="30" spans="1:14" ht="16">
      <c r="A30" s="12">
        <v>4100003</v>
      </c>
      <c r="B30" s="12" t="s">
        <v>410</v>
      </c>
      <c r="C30" s="12" t="s">
        <v>407</v>
      </c>
      <c r="D30" s="12" t="s">
        <v>1063</v>
      </c>
      <c r="E30" s="12" t="b">
        <v>1</v>
      </c>
      <c r="F30" s="12">
        <v>5</v>
      </c>
      <c r="G30" s="12">
        <v>99</v>
      </c>
      <c r="H30" s="12"/>
      <c r="I30" s="12"/>
      <c r="J30" s="12">
        <v>1</v>
      </c>
      <c r="K30" s="12" t="s">
        <v>414</v>
      </c>
      <c r="L30" s="12" t="s">
        <v>826</v>
      </c>
      <c r="N30" s="30">
        <v>13</v>
      </c>
    </row>
    <row r="31" spans="1:14" ht="16">
      <c r="A31" s="12">
        <v>4100004</v>
      </c>
      <c r="B31" s="12" t="s">
        <v>411</v>
      </c>
      <c r="C31" s="12" t="s">
        <v>408</v>
      </c>
      <c r="D31" s="12" t="s">
        <v>1064</v>
      </c>
      <c r="E31" s="12" t="b">
        <v>1</v>
      </c>
      <c r="F31" s="12">
        <v>5</v>
      </c>
      <c r="G31" s="12">
        <v>99</v>
      </c>
      <c r="H31" s="12"/>
      <c r="I31" s="12"/>
      <c r="J31" s="12">
        <v>1</v>
      </c>
      <c r="K31" s="12" t="s">
        <v>414</v>
      </c>
      <c r="L31" s="12" t="s">
        <v>827</v>
      </c>
      <c r="N31" s="30">
        <v>14</v>
      </c>
    </row>
    <row r="32" spans="1:14" ht="16">
      <c r="A32" s="12">
        <v>4100005</v>
      </c>
      <c r="B32" s="12" t="s">
        <v>413</v>
      </c>
      <c r="C32" s="12" t="s">
        <v>422</v>
      </c>
      <c r="D32" s="12" t="s">
        <v>1065</v>
      </c>
      <c r="E32" s="12" t="b">
        <v>1</v>
      </c>
      <c r="F32" s="12">
        <v>1</v>
      </c>
      <c r="G32" s="12">
        <v>99</v>
      </c>
      <c r="H32" s="12"/>
      <c r="I32" s="12"/>
      <c r="J32" s="12">
        <v>1</v>
      </c>
      <c r="K32" s="12" t="s">
        <v>421</v>
      </c>
      <c r="L32" s="12" t="s">
        <v>828</v>
      </c>
      <c r="N32" s="30">
        <v>15</v>
      </c>
    </row>
    <row r="33" spans="1:14" ht="16">
      <c r="A33" s="12">
        <v>4100006</v>
      </c>
      <c r="B33" s="12" t="s">
        <v>413</v>
      </c>
      <c r="C33" s="12" t="s">
        <v>427</v>
      </c>
      <c r="D33" s="12" t="s">
        <v>1066</v>
      </c>
      <c r="E33" s="12" t="b">
        <v>1</v>
      </c>
      <c r="F33" s="12">
        <v>1</v>
      </c>
      <c r="G33" s="12">
        <v>99</v>
      </c>
      <c r="H33" s="12"/>
      <c r="I33" s="12"/>
      <c r="J33" s="12">
        <v>1</v>
      </c>
      <c r="K33" s="12" t="s">
        <v>421</v>
      </c>
      <c r="L33" s="12" t="s">
        <v>829</v>
      </c>
      <c r="N33" s="30">
        <v>16</v>
      </c>
    </row>
    <row r="34" spans="1:14" ht="16">
      <c r="A34" s="12">
        <v>4100007</v>
      </c>
      <c r="B34" s="12" t="s">
        <v>429</v>
      </c>
      <c r="C34" s="12" t="s">
        <v>430</v>
      </c>
      <c r="D34" s="12" t="s">
        <v>1067</v>
      </c>
      <c r="E34" s="12" t="b">
        <v>1</v>
      </c>
      <c r="F34" s="12">
        <v>5</v>
      </c>
      <c r="G34" s="12">
        <v>99</v>
      </c>
      <c r="H34" s="12"/>
      <c r="I34" s="12"/>
      <c r="J34" s="12">
        <v>1</v>
      </c>
      <c r="K34" s="12" t="s">
        <v>433</v>
      </c>
      <c r="L34" s="12" t="s">
        <v>830</v>
      </c>
      <c r="N34" s="30">
        <v>17</v>
      </c>
    </row>
    <row r="35" spans="1:14" ht="16">
      <c r="A35" s="12">
        <v>4100008</v>
      </c>
      <c r="B35" s="12" t="s">
        <v>428</v>
      </c>
      <c r="C35" s="12" t="s">
        <v>435</v>
      </c>
      <c r="D35" s="12" t="s">
        <v>1068</v>
      </c>
      <c r="E35" s="12" t="b">
        <v>1</v>
      </c>
      <c r="F35" s="12">
        <v>5</v>
      </c>
      <c r="G35" s="12">
        <v>99</v>
      </c>
      <c r="H35" s="12"/>
      <c r="I35" s="12"/>
      <c r="J35" s="12">
        <v>1</v>
      </c>
      <c r="K35" s="12" t="s">
        <v>415</v>
      </c>
      <c r="L35" s="12" t="s">
        <v>831</v>
      </c>
      <c r="N35" s="30">
        <v>18</v>
      </c>
    </row>
    <row r="36" spans="1:14" ht="16">
      <c r="A36" s="12">
        <v>4100009</v>
      </c>
      <c r="B36" s="12" t="s">
        <v>436</v>
      </c>
      <c r="C36" s="12" t="s">
        <v>432</v>
      </c>
      <c r="D36" s="12" t="s">
        <v>1069</v>
      </c>
      <c r="E36" s="12" t="b">
        <v>1</v>
      </c>
      <c r="F36" s="12">
        <v>1</v>
      </c>
      <c r="G36" s="12">
        <v>99</v>
      </c>
      <c r="H36" s="12"/>
      <c r="I36" s="12"/>
      <c r="J36" s="12">
        <v>1</v>
      </c>
      <c r="K36" s="12" t="s">
        <v>414</v>
      </c>
      <c r="L36" s="12" t="s">
        <v>832</v>
      </c>
      <c r="N36" s="30">
        <v>19</v>
      </c>
    </row>
    <row r="37" spans="1:14" ht="16">
      <c r="A37" s="12">
        <v>4100010</v>
      </c>
      <c r="B37" s="12" t="s">
        <v>438</v>
      </c>
      <c r="C37" s="12" t="s">
        <v>439</v>
      </c>
      <c r="D37" s="12" t="s">
        <v>1070</v>
      </c>
      <c r="E37" s="12" t="b">
        <v>1</v>
      </c>
      <c r="F37" s="12">
        <v>10</v>
      </c>
      <c r="G37" s="12">
        <v>5</v>
      </c>
      <c r="H37" s="12"/>
      <c r="I37" s="12"/>
      <c r="J37" s="12">
        <v>1</v>
      </c>
      <c r="K37" s="12" t="s">
        <v>437</v>
      </c>
      <c r="L37" s="12" t="s">
        <v>833</v>
      </c>
      <c r="N37" s="30">
        <v>20</v>
      </c>
    </row>
    <row r="38" spans="1:14" ht="16">
      <c r="A38" s="12">
        <v>4100011</v>
      </c>
      <c r="B38" s="12" t="s">
        <v>438</v>
      </c>
      <c r="C38" s="12" t="s">
        <v>440</v>
      </c>
      <c r="D38" s="12" t="s">
        <v>1071</v>
      </c>
      <c r="E38" s="12" t="b">
        <v>1</v>
      </c>
      <c r="F38" s="12">
        <v>10</v>
      </c>
      <c r="G38" s="12">
        <v>4</v>
      </c>
      <c r="H38" s="12"/>
      <c r="I38" s="12"/>
      <c r="J38" s="12">
        <v>1</v>
      </c>
      <c r="K38" s="12" t="s">
        <v>437</v>
      </c>
      <c r="L38" s="12" t="s">
        <v>834</v>
      </c>
      <c r="N38" s="30">
        <v>21</v>
      </c>
    </row>
    <row r="39" spans="1:14" ht="16">
      <c r="A39" s="12">
        <v>4100012</v>
      </c>
      <c r="B39" s="12" t="s">
        <v>438</v>
      </c>
      <c r="C39" s="12" t="s">
        <v>441</v>
      </c>
      <c r="D39" s="12" t="s">
        <v>1072</v>
      </c>
      <c r="E39" s="12" t="b">
        <v>1</v>
      </c>
      <c r="F39" s="12">
        <v>10</v>
      </c>
      <c r="G39" s="12">
        <v>3</v>
      </c>
      <c r="H39" s="12"/>
      <c r="I39" s="12"/>
      <c r="J39" s="12">
        <v>1</v>
      </c>
      <c r="K39" s="12" t="s">
        <v>437</v>
      </c>
      <c r="L39" s="12" t="s">
        <v>835</v>
      </c>
      <c r="N39" s="30">
        <v>22</v>
      </c>
    </row>
    <row r="40" spans="1:14" ht="16">
      <c r="A40" s="12">
        <v>4100013</v>
      </c>
      <c r="B40" s="12" t="s">
        <v>438</v>
      </c>
      <c r="C40" s="12" t="s">
        <v>442</v>
      </c>
      <c r="D40" s="12" t="s">
        <v>1073</v>
      </c>
      <c r="E40" s="12" t="b">
        <v>1</v>
      </c>
      <c r="F40" s="12">
        <v>10</v>
      </c>
      <c r="G40" s="12">
        <v>2</v>
      </c>
      <c r="H40" s="12"/>
      <c r="I40" s="12"/>
      <c r="J40" s="12">
        <v>1</v>
      </c>
      <c r="K40" s="12" t="s">
        <v>437</v>
      </c>
      <c r="L40" s="12" t="s">
        <v>836</v>
      </c>
      <c r="N40" s="30">
        <v>23</v>
      </c>
    </row>
    <row r="41" spans="1:14" ht="16">
      <c r="A41" s="12">
        <v>4100014</v>
      </c>
      <c r="B41" s="12" t="s">
        <v>448</v>
      </c>
      <c r="C41" s="12" t="s">
        <v>449</v>
      </c>
      <c r="D41" s="12" t="s">
        <v>1074</v>
      </c>
      <c r="E41" s="12" t="b">
        <v>1</v>
      </c>
      <c r="F41" s="12">
        <v>1</v>
      </c>
      <c r="G41" s="12">
        <v>99</v>
      </c>
      <c r="H41" s="12"/>
      <c r="I41" s="12"/>
      <c r="J41" s="12">
        <v>1</v>
      </c>
      <c r="K41" s="12" t="s">
        <v>452</v>
      </c>
      <c r="L41" s="12"/>
      <c r="N41" s="30">
        <v>24</v>
      </c>
    </row>
    <row r="42" spans="1:14" ht="16">
      <c r="A42" s="12">
        <v>4100015</v>
      </c>
      <c r="B42" s="12" t="s">
        <v>453</v>
      </c>
      <c r="C42" s="12" t="s">
        <v>454</v>
      </c>
      <c r="D42" s="12" t="s">
        <v>1075</v>
      </c>
      <c r="E42" s="12" t="b">
        <v>1</v>
      </c>
      <c r="F42" s="12">
        <v>10</v>
      </c>
      <c r="G42" s="12">
        <v>99</v>
      </c>
      <c r="H42" s="12"/>
      <c r="I42" s="12"/>
      <c r="J42" s="12">
        <v>1</v>
      </c>
      <c r="K42" s="12" t="s">
        <v>495</v>
      </c>
      <c r="L42" s="12" t="s">
        <v>837</v>
      </c>
      <c r="N42" s="30">
        <v>25</v>
      </c>
    </row>
    <row r="43" spans="1:14" ht="16">
      <c r="A43" s="12">
        <v>4100016</v>
      </c>
      <c r="B43" s="12" t="s">
        <v>457</v>
      </c>
      <c r="C43" s="12" t="s">
        <v>458</v>
      </c>
      <c r="D43" s="12" t="s">
        <v>1076</v>
      </c>
      <c r="E43" s="12" t="b">
        <v>1</v>
      </c>
      <c r="F43" s="12">
        <v>10</v>
      </c>
      <c r="G43" s="12">
        <v>5</v>
      </c>
      <c r="H43" s="12"/>
      <c r="I43" s="12"/>
      <c r="J43" s="12">
        <v>1</v>
      </c>
      <c r="K43" s="12" t="s">
        <v>463</v>
      </c>
      <c r="L43" s="12" t="s">
        <v>838</v>
      </c>
      <c r="N43" s="30">
        <v>26</v>
      </c>
    </row>
    <row r="44" spans="1:14" ht="16">
      <c r="A44" s="12">
        <v>4100017</v>
      </c>
      <c r="B44" s="12" t="s">
        <v>457</v>
      </c>
      <c r="C44" s="12" t="s">
        <v>459</v>
      </c>
      <c r="D44" s="12" t="s">
        <v>1077</v>
      </c>
      <c r="E44" s="12" t="b">
        <v>1</v>
      </c>
      <c r="F44" s="12">
        <v>10</v>
      </c>
      <c r="G44" s="12">
        <v>4</v>
      </c>
      <c r="H44" s="12"/>
      <c r="I44" s="12"/>
      <c r="J44" s="12">
        <v>1</v>
      </c>
      <c r="K44" s="12" t="s">
        <v>463</v>
      </c>
      <c r="L44" s="12" t="s">
        <v>839</v>
      </c>
      <c r="N44" s="30">
        <v>27</v>
      </c>
    </row>
    <row r="45" spans="1:14" ht="16">
      <c r="A45" s="12">
        <v>4100018</v>
      </c>
      <c r="B45" s="12" t="s">
        <v>457</v>
      </c>
      <c r="C45" s="12" t="s">
        <v>460</v>
      </c>
      <c r="D45" s="12" t="s">
        <v>1078</v>
      </c>
      <c r="E45" s="12" t="b">
        <v>1</v>
      </c>
      <c r="F45" s="12">
        <v>10</v>
      </c>
      <c r="G45" s="12">
        <v>3</v>
      </c>
      <c r="H45" s="12"/>
      <c r="I45" s="12"/>
      <c r="J45" s="12">
        <v>1</v>
      </c>
      <c r="K45" s="12" t="s">
        <v>463</v>
      </c>
      <c r="L45" s="12" t="s">
        <v>840</v>
      </c>
      <c r="N45" s="30">
        <v>28</v>
      </c>
    </row>
    <row r="46" spans="1:14" ht="16">
      <c r="A46" s="12">
        <v>4100019</v>
      </c>
      <c r="B46" s="12" t="s">
        <v>457</v>
      </c>
      <c r="C46" s="12" t="s">
        <v>461</v>
      </c>
      <c r="D46" s="12" t="s">
        <v>1079</v>
      </c>
      <c r="E46" s="12" t="b">
        <v>1</v>
      </c>
      <c r="F46" s="12">
        <v>10</v>
      </c>
      <c r="G46" s="12">
        <v>2</v>
      </c>
      <c r="H46" s="12"/>
      <c r="I46" s="12"/>
      <c r="J46" s="12">
        <v>1</v>
      </c>
      <c r="K46" s="12" t="s">
        <v>463</v>
      </c>
      <c r="L46" s="12" t="s">
        <v>841</v>
      </c>
      <c r="N46" s="30">
        <v>29</v>
      </c>
    </row>
    <row r="47" spans="1:14" ht="16">
      <c r="A47" s="12">
        <v>4100020</v>
      </c>
      <c r="B47" s="12" t="s">
        <v>466</v>
      </c>
      <c r="C47" s="12" t="s">
        <v>467</v>
      </c>
      <c r="D47" s="12" t="s">
        <v>1080</v>
      </c>
      <c r="E47" s="12" t="b">
        <v>1</v>
      </c>
      <c r="F47" s="12">
        <v>10</v>
      </c>
      <c r="G47" s="12">
        <v>5</v>
      </c>
      <c r="H47" s="12"/>
      <c r="I47" s="12"/>
      <c r="J47" s="12">
        <v>1</v>
      </c>
      <c r="K47" s="12" t="s">
        <v>463</v>
      </c>
      <c r="L47" s="12" t="s">
        <v>842</v>
      </c>
      <c r="N47" s="30">
        <v>30</v>
      </c>
    </row>
    <row r="48" spans="1:14" ht="16">
      <c r="A48" s="12">
        <v>4100021</v>
      </c>
      <c r="B48" s="12" t="s">
        <v>480</v>
      </c>
      <c r="C48" s="12" t="s">
        <v>481</v>
      </c>
      <c r="D48" s="12" t="s">
        <v>1081</v>
      </c>
      <c r="E48" s="12" t="b">
        <v>1</v>
      </c>
      <c r="F48" s="12">
        <v>10</v>
      </c>
      <c r="G48" s="12">
        <v>99</v>
      </c>
      <c r="H48" s="12"/>
      <c r="I48" s="12"/>
      <c r="J48" s="12">
        <v>1</v>
      </c>
      <c r="K48" s="12" t="s">
        <v>479</v>
      </c>
      <c r="L48" s="12" t="s">
        <v>843</v>
      </c>
      <c r="N48" s="30">
        <v>31</v>
      </c>
    </row>
    <row r="49" spans="1:14" ht="16">
      <c r="A49" s="12">
        <v>4100022</v>
      </c>
      <c r="B49" s="12" t="s">
        <v>480</v>
      </c>
      <c r="C49" s="12" t="s">
        <v>482</v>
      </c>
      <c r="D49" s="12" t="s">
        <v>1082</v>
      </c>
      <c r="E49" s="12" t="b">
        <v>1</v>
      </c>
      <c r="F49" s="12">
        <v>10</v>
      </c>
      <c r="G49" s="12">
        <v>99</v>
      </c>
      <c r="H49" s="12"/>
      <c r="I49" s="12"/>
      <c r="J49" s="12">
        <v>1</v>
      </c>
      <c r="K49" s="12" t="s">
        <v>479</v>
      </c>
      <c r="L49" s="12" t="s">
        <v>844</v>
      </c>
      <c r="N49" s="30">
        <v>32</v>
      </c>
    </row>
    <row r="50" spans="1:14" ht="16">
      <c r="A50" s="12">
        <v>4100023</v>
      </c>
      <c r="B50" s="12" t="s">
        <v>483</v>
      </c>
      <c r="C50" s="12" t="s">
        <v>502</v>
      </c>
      <c r="D50" s="12" t="s">
        <v>1083</v>
      </c>
      <c r="E50" s="12" t="b">
        <v>1</v>
      </c>
      <c r="F50" s="12">
        <v>10</v>
      </c>
      <c r="G50" s="12">
        <v>99</v>
      </c>
      <c r="H50" s="12"/>
      <c r="I50" s="12"/>
      <c r="J50" s="12">
        <v>1</v>
      </c>
      <c r="K50" s="12" t="s">
        <v>488</v>
      </c>
      <c r="L50" s="12" t="s">
        <v>845</v>
      </c>
      <c r="N50" s="30">
        <v>33</v>
      </c>
    </row>
    <row r="51" spans="1:14" ht="16">
      <c r="A51" s="12">
        <v>4100024</v>
      </c>
      <c r="B51" s="12" t="s">
        <v>483</v>
      </c>
      <c r="C51" s="12" t="s">
        <v>485</v>
      </c>
      <c r="D51" s="12" t="s">
        <v>1084</v>
      </c>
      <c r="E51" s="12" t="b">
        <v>1</v>
      </c>
      <c r="F51" s="12">
        <v>10</v>
      </c>
      <c r="G51" s="12">
        <v>99</v>
      </c>
      <c r="H51" s="12"/>
      <c r="I51" s="12"/>
      <c r="J51" s="12">
        <v>1</v>
      </c>
      <c r="K51" s="12" t="s">
        <v>488</v>
      </c>
      <c r="L51" s="12" t="s">
        <v>846</v>
      </c>
      <c r="N51" s="30">
        <v>34</v>
      </c>
    </row>
    <row r="52" spans="1:14" ht="16">
      <c r="A52" s="12">
        <v>4100025</v>
      </c>
      <c r="B52" s="12" t="s">
        <v>483</v>
      </c>
      <c r="C52" s="12" t="s">
        <v>486</v>
      </c>
      <c r="D52" s="12" t="s">
        <v>1085</v>
      </c>
      <c r="E52" s="12" t="b">
        <v>1</v>
      </c>
      <c r="F52" s="12">
        <v>10</v>
      </c>
      <c r="G52" s="12">
        <v>99</v>
      </c>
      <c r="H52" s="12"/>
      <c r="I52" s="12"/>
      <c r="J52" s="12">
        <v>1</v>
      </c>
      <c r="K52" s="12" t="s">
        <v>488</v>
      </c>
      <c r="L52" s="12" t="s">
        <v>847</v>
      </c>
      <c r="N52" s="30">
        <v>35</v>
      </c>
    </row>
    <row r="53" spans="1:14" ht="16">
      <c r="A53" s="12">
        <v>4100026</v>
      </c>
      <c r="B53" s="12" t="s">
        <v>483</v>
      </c>
      <c r="C53" s="12" t="s">
        <v>487</v>
      </c>
      <c r="D53" s="12" t="s">
        <v>1086</v>
      </c>
      <c r="E53" s="12" t="b">
        <v>1</v>
      </c>
      <c r="F53" s="12">
        <v>10</v>
      </c>
      <c r="G53" s="12">
        <v>99</v>
      </c>
      <c r="H53" s="12"/>
      <c r="I53" s="12"/>
      <c r="J53" s="12">
        <v>1</v>
      </c>
      <c r="K53" s="12" t="s">
        <v>488</v>
      </c>
      <c r="L53" s="12" t="s">
        <v>848</v>
      </c>
      <c r="N53" s="30">
        <v>36</v>
      </c>
    </row>
    <row r="54" spans="1:14" ht="16">
      <c r="A54" s="12">
        <v>4100031</v>
      </c>
      <c r="B54" s="12" t="s">
        <v>536</v>
      </c>
      <c r="C54" s="12" t="s">
        <v>561</v>
      </c>
      <c r="D54" s="12" t="s">
        <v>1087</v>
      </c>
      <c r="E54" s="12" t="b">
        <v>1</v>
      </c>
      <c r="F54" s="12">
        <v>1</v>
      </c>
      <c r="G54" s="12">
        <v>99</v>
      </c>
      <c r="H54" s="12">
        <v>5</v>
      </c>
      <c r="I54" s="12"/>
      <c r="J54" s="12">
        <v>1</v>
      </c>
      <c r="K54" s="12" t="s">
        <v>535</v>
      </c>
      <c r="L54" s="12" t="s">
        <v>849</v>
      </c>
      <c r="N54" s="30">
        <v>37</v>
      </c>
    </row>
    <row r="55" spans="1:14" ht="16">
      <c r="A55" s="12">
        <v>4100032</v>
      </c>
      <c r="B55" s="12" t="s">
        <v>536</v>
      </c>
      <c r="C55" s="12" t="s">
        <v>562</v>
      </c>
      <c r="D55" s="12" t="s">
        <v>1088</v>
      </c>
      <c r="E55" s="12" t="b">
        <v>1</v>
      </c>
      <c r="F55" s="12">
        <v>1</v>
      </c>
      <c r="G55" s="12">
        <v>99</v>
      </c>
      <c r="H55" s="12">
        <v>4</v>
      </c>
      <c r="I55" s="12"/>
      <c r="J55" s="12">
        <v>1</v>
      </c>
      <c r="K55" s="12" t="s">
        <v>535</v>
      </c>
      <c r="L55" s="12" t="s">
        <v>850</v>
      </c>
      <c r="N55" s="30">
        <v>38</v>
      </c>
    </row>
    <row r="56" spans="1:14" ht="16">
      <c r="A56" s="12">
        <v>4100033</v>
      </c>
      <c r="B56" s="12" t="s">
        <v>536</v>
      </c>
      <c r="C56" s="12" t="s">
        <v>563</v>
      </c>
      <c r="D56" s="12" t="s">
        <v>1089</v>
      </c>
      <c r="E56" s="12" t="b">
        <v>1</v>
      </c>
      <c r="F56" s="12">
        <v>1</v>
      </c>
      <c r="G56" s="12">
        <v>99</v>
      </c>
      <c r="H56" s="12">
        <v>3</v>
      </c>
      <c r="I56" s="12"/>
      <c r="J56" s="12">
        <v>1</v>
      </c>
      <c r="K56" s="12" t="s">
        <v>535</v>
      </c>
      <c r="L56" s="12" t="s">
        <v>851</v>
      </c>
      <c r="N56" s="30">
        <v>39</v>
      </c>
    </row>
    <row r="57" spans="1:14" ht="16">
      <c r="A57" s="12">
        <v>4100034</v>
      </c>
      <c r="B57" s="12" t="s">
        <v>536</v>
      </c>
      <c r="C57" s="12" t="s">
        <v>564</v>
      </c>
      <c r="D57" s="12" t="s">
        <v>1090</v>
      </c>
      <c r="E57" s="12" t="b">
        <v>1</v>
      </c>
      <c r="F57" s="12">
        <v>1</v>
      </c>
      <c r="G57" s="12">
        <v>99</v>
      </c>
      <c r="H57" s="12">
        <v>2</v>
      </c>
      <c r="I57" s="12"/>
      <c r="J57" s="12">
        <v>1</v>
      </c>
      <c r="K57" s="12" t="s">
        <v>535</v>
      </c>
      <c r="L57" s="12" t="s">
        <v>852</v>
      </c>
      <c r="N57" s="30">
        <v>40</v>
      </c>
    </row>
    <row r="58" spans="1:14" ht="16">
      <c r="A58" s="12">
        <v>4100035</v>
      </c>
      <c r="B58" s="12" t="s">
        <v>548</v>
      </c>
      <c r="C58" s="12" t="s">
        <v>554</v>
      </c>
      <c r="D58" s="12" t="s">
        <v>1091</v>
      </c>
      <c r="E58" s="12" t="b">
        <v>1</v>
      </c>
      <c r="F58" s="12">
        <v>1</v>
      </c>
      <c r="G58" s="12">
        <v>99</v>
      </c>
      <c r="H58" s="12"/>
      <c r="I58" s="12"/>
      <c r="J58" s="12">
        <v>1</v>
      </c>
      <c r="K58" s="12" t="s">
        <v>550</v>
      </c>
      <c r="L58" s="12" t="s">
        <v>853</v>
      </c>
      <c r="N58" s="30">
        <v>41</v>
      </c>
    </row>
    <row r="59" spans="1:14" ht="16">
      <c r="A59" s="12">
        <v>4100036</v>
      </c>
      <c r="B59" s="12" t="s">
        <v>548</v>
      </c>
      <c r="C59" s="12" t="s">
        <v>555</v>
      </c>
      <c r="D59" s="12" t="s">
        <v>1092</v>
      </c>
      <c r="E59" s="12" t="b">
        <v>1</v>
      </c>
      <c r="F59" s="12">
        <v>1</v>
      </c>
      <c r="G59" s="12">
        <v>99</v>
      </c>
      <c r="H59" s="12"/>
      <c r="I59" s="12"/>
      <c r="J59" s="12">
        <v>1</v>
      </c>
      <c r="K59" s="12" t="s">
        <v>550</v>
      </c>
      <c r="L59" s="12" t="s">
        <v>854</v>
      </c>
      <c r="N59" s="30">
        <v>42</v>
      </c>
    </row>
    <row r="60" spans="1:14" ht="16">
      <c r="A60" s="12">
        <v>4100037</v>
      </c>
      <c r="B60" s="12" t="s">
        <v>548</v>
      </c>
      <c r="C60" s="12" t="s">
        <v>556</v>
      </c>
      <c r="D60" s="12" t="s">
        <v>1093</v>
      </c>
      <c r="E60" s="12" t="b">
        <v>1</v>
      </c>
      <c r="F60" s="12">
        <v>1</v>
      </c>
      <c r="G60" s="12">
        <v>99</v>
      </c>
      <c r="H60" s="12"/>
      <c r="I60" s="12"/>
      <c r="J60" s="12">
        <v>1</v>
      </c>
      <c r="K60" s="12" t="s">
        <v>550</v>
      </c>
      <c r="L60" s="12" t="s">
        <v>855</v>
      </c>
      <c r="N60" s="30">
        <v>43</v>
      </c>
    </row>
    <row r="61" spans="1:14" ht="16">
      <c r="A61" s="12">
        <v>4100038</v>
      </c>
      <c r="B61" s="12" t="s">
        <v>548</v>
      </c>
      <c r="C61" s="12" t="s">
        <v>549</v>
      </c>
      <c r="D61" s="12" t="s">
        <v>1094</v>
      </c>
      <c r="E61" s="12" t="b">
        <v>1</v>
      </c>
      <c r="F61" s="12">
        <v>1</v>
      </c>
      <c r="G61" s="12">
        <v>99</v>
      </c>
      <c r="H61" s="12"/>
      <c r="I61" s="12"/>
      <c r="J61" s="12">
        <v>1</v>
      </c>
      <c r="K61" s="12" t="s">
        <v>550</v>
      </c>
      <c r="L61" s="12" t="s">
        <v>856</v>
      </c>
      <c r="N61" s="30">
        <v>44</v>
      </c>
    </row>
    <row r="62" spans="1:14" ht="16">
      <c r="A62" s="12">
        <v>4100044</v>
      </c>
      <c r="B62" s="12" t="s">
        <v>577</v>
      </c>
      <c r="C62" s="12" t="s">
        <v>578</v>
      </c>
      <c r="D62" s="12" t="s">
        <v>1095</v>
      </c>
      <c r="E62" s="12" t="b">
        <v>1</v>
      </c>
      <c r="F62" s="12">
        <v>1</v>
      </c>
      <c r="G62" s="12">
        <v>99</v>
      </c>
      <c r="H62" s="12"/>
      <c r="I62" s="12"/>
      <c r="J62" s="12">
        <v>1</v>
      </c>
      <c r="K62" s="12" t="s">
        <v>575</v>
      </c>
      <c r="L62" s="12" t="s">
        <v>857</v>
      </c>
      <c r="N62" s="30">
        <v>45</v>
      </c>
    </row>
    <row r="63" spans="1:14" ht="16">
      <c r="A63" s="12">
        <v>4100045</v>
      </c>
      <c r="B63" s="12" t="s">
        <v>577</v>
      </c>
      <c r="C63" s="12" t="s">
        <v>579</v>
      </c>
      <c r="D63" s="12" t="s">
        <v>1096</v>
      </c>
      <c r="E63" s="12" t="b">
        <v>1</v>
      </c>
      <c r="F63" s="12">
        <v>1</v>
      </c>
      <c r="G63" s="12">
        <v>99</v>
      </c>
      <c r="H63" s="12"/>
      <c r="I63" s="12"/>
      <c r="J63" s="12">
        <v>1</v>
      </c>
      <c r="K63" s="12" t="s">
        <v>575</v>
      </c>
      <c r="L63" s="12" t="s">
        <v>858</v>
      </c>
      <c r="N63" s="30">
        <v>46</v>
      </c>
    </row>
    <row r="64" spans="1:14" ht="16">
      <c r="A64" s="12">
        <v>4100046</v>
      </c>
      <c r="B64" s="12" t="s">
        <v>577</v>
      </c>
      <c r="C64" s="12" t="s">
        <v>580</v>
      </c>
      <c r="D64" s="12" t="s">
        <v>1097</v>
      </c>
      <c r="E64" s="12" t="b">
        <v>1</v>
      </c>
      <c r="F64" s="12">
        <v>1</v>
      </c>
      <c r="G64" s="12">
        <v>99</v>
      </c>
      <c r="H64" s="12"/>
      <c r="I64" s="12"/>
      <c r="J64" s="12">
        <v>1</v>
      </c>
      <c r="K64" s="12" t="s">
        <v>575</v>
      </c>
      <c r="L64" s="12" t="s">
        <v>859</v>
      </c>
      <c r="N64" s="30">
        <v>47</v>
      </c>
    </row>
    <row r="65" spans="1:14" ht="16">
      <c r="A65" s="12">
        <v>4100047</v>
      </c>
      <c r="B65" s="12" t="s">
        <v>577</v>
      </c>
      <c r="C65" s="12" t="s">
        <v>581</v>
      </c>
      <c r="D65" s="12" t="s">
        <v>1098</v>
      </c>
      <c r="E65" s="12" t="b">
        <v>1</v>
      </c>
      <c r="F65" s="12">
        <v>1</v>
      </c>
      <c r="G65" s="12">
        <v>99</v>
      </c>
      <c r="H65" s="12"/>
      <c r="I65" s="12"/>
      <c r="J65" s="12">
        <v>1</v>
      </c>
      <c r="K65" s="12" t="s">
        <v>575</v>
      </c>
      <c r="L65" s="12" t="s">
        <v>860</v>
      </c>
      <c r="N65" s="30">
        <v>48</v>
      </c>
    </row>
    <row r="66" spans="1:14" ht="16">
      <c r="A66" s="12">
        <v>4100048</v>
      </c>
      <c r="B66" s="12" t="s">
        <v>585</v>
      </c>
      <c r="C66" s="12" t="s">
        <v>586</v>
      </c>
      <c r="D66" s="12" t="s">
        <v>1099</v>
      </c>
      <c r="E66" s="12" t="b">
        <v>1</v>
      </c>
      <c r="F66" s="12">
        <v>1</v>
      </c>
      <c r="G66" s="12">
        <v>99</v>
      </c>
      <c r="H66" s="12"/>
      <c r="I66" s="12"/>
      <c r="J66" s="12">
        <v>1</v>
      </c>
      <c r="K66" s="12" t="s">
        <v>590</v>
      </c>
      <c r="L66" s="12" t="s">
        <v>861</v>
      </c>
      <c r="N66" s="30">
        <v>49</v>
      </c>
    </row>
    <row r="67" spans="1:14" ht="16">
      <c r="A67" s="12">
        <v>4100049</v>
      </c>
      <c r="B67" s="12" t="s">
        <v>585</v>
      </c>
      <c r="C67" s="12" t="s">
        <v>587</v>
      </c>
      <c r="D67" s="12" t="s">
        <v>1100</v>
      </c>
      <c r="E67" s="12" t="b">
        <v>1</v>
      </c>
      <c r="F67" s="12">
        <v>1</v>
      </c>
      <c r="G67" s="12">
        <v>99</v>
      </c>
      <c r="H67" s="12"/>
      <c r="I67" s="12"/>
      <c r="J67" s="12">
        <v>1</v>
      </c>
      <c r="K67" s="12" t="s">
        <v>590</v>
      </c>
      <c r="L67" s="12" t="s">
        <v>862</v>
      </c>
      <c r="N67" s="30">
        <v>50</v>
      </c>
    </row>
    <row r="68" spans="1:14" ht="16">
      <c r="A68" s="12">
        <v>4100050</v>
      </c>
      <c r="B68" s="12" t="s">
        <v>585</v>
      </c>
      <c r="C68" s="12" t="s">
        <v>588</v>
      </c>
      <c r="D68" s="12" t="s">
        <v>1101</v>
      </c>
      <c r="E68" s="12" t="b">
        <v>1</v>
      </c>
      <c r="F68" s="12">
        <v>1</v>
      </c>
      <c r="G68" s="12">
        <v>99</v>
      </c>
      <c r="H68" s="12"/>
      <c r="I68" s="12"/>
      <c r="J68" s="12">
        <v>1</v>
      </c>
      <c r="K68" s="12" t="s">
        <v>590</v>
      </c>
      <c r="L68" s="12" t="s">
        <v>863</v>
      </c>
      <c r="N68" s="30">
        <v>51</v>
      </c>
    </row>
    <row r="69" spans="1:14" ht="16">
      <c r="A69" s="12">
        <v>4100051</v>
      </c>
      <c r="B69" s="12" t="s">
        <v>585</v>
      </c>
      <c r="C69" s="12" t="s">
        <v>589</v>
      </c>
      <c r="D69" s="12" t="s">
        <v>1102</v>
      </c>
      <c r="E69" s="12" t="b">
        <v>1</v>
      </c>
      <c r="F69" s="12">
        <v>1</v>
      </c>
      <c r="G69" s="12">
        <v>99</v>
      </c>
      <c r="H69" s="12"/>
      <c r="I69" s="12"/>
      <c r="J69" s="12">
        <v>1</v>
      </c>
      <c r="K69" s="12" t="s">
        <v>590</v>
      </c>
      <c r="L69" s="12" t="s">
        <v>864</v>
      </c>
      <c r="N69" s="30">
        <v>52</v>
      </c>
    </row>
    <row r="70" spans="1:14" ht="16">
      <c r="A70" s="12">
        <v>4100052</v>
      </c>
      <c r="B70" s="12" t="s">
        <v>593</v>
      </c>
      <c r="C70" s="12" t="s">
        <v>594</v>
      </c>
      <c r="D70" s="12" t="s">
        <v>1103</v>
      </c>
      <c r="E70" s="12" t="b">
        <v>1</v>
      </c>
      <c r="F70" s="12">
        <v>1</v>
      </c>
      <c r="G70" s="12">
        <v>1</v>
      </c>
      <c r="H70" s="12"/>
      <c r="I70" s="12"/>
      <c r="J70" s="12">
        <v>1</v>
      </c>
      <c r="K70" s="12" t="s">
        <v>592</v>
      </c>
      <c r="L70" s="12" t="s">
        <v>865</v>
      </c>
      <c r="N70" s="30">
        <v>53</v>
      </c>
    </row>
    <row r="71" spans="1:14" ht="16">
      <c r="A71" s="12">
        <v>4100053</v>
      </c>
      <c r="B71" s="12" t="s">
        <v>593</v>
      </c>
      <c r="C71" s="12" t="s">
        <v>595</v>
      </c>
      <c r="D71" s="12" t="s">
        <v>1104</v>
      </c>
      <c r="E71" s="12" t="b">
        <v>1</v>
      </c>
      <c r="F71" s="12">
        <v>1</v>
      </c>
      <c r="G71" s="12">
        <v>1</v>
      </c>
      <c r="H71" s="12"/>
      <c r="I71" s="12"/>
      <c r="J71" s="12">
        <v>1</v>
      </c>
      <c r="K71" s="12" t="s">
        <v>592</v>
      </c>
      <c r="L71" s="12" t="s">
        <v>866</v>
      </c>
      <c r="N71" s="30">
        <v>54</v>
      </c>
    </row>
    <row r="72" spans="1:14" ht="16">
      <c r="A72" s="12">
        <v>4100054</v>
      </c>
      <c r="B72" s="12" t="s">
        <v>593</v>
      </c>
      <c r="C72" s="12" t="s">
        <v>596</v>
      </c>
      <c r="D72" s="12" t="s">
        <v>1105</v>
      </c>
      <c r="E72" s="12" t="b">
        <v>1</v>
      </c>
      <c r="F72" s="12">
        <v>1</v>
      </c>
      <c r="G72" s="12">
        <v>1</v>
      </c>
      <c r="H72" s="12"/>
      <c r="I72" s="12"/>
      <c r="J72" s="12">
        <v>1</v>
      </c>
      <c r="K72" s="12" t="s">
        <v>592</v>
      </c>
      <c r="L72" s="12" t="s">
        <v>867</v>
      </c>
      <c r="N72" s="30">
        <v>55</v>
      </c>
    </row>
    <row r="73" spans="1:14" ht="16">
      <c r="A73" s="12">
        <v>4100055</v>
      </c>
      <c r="B73" s="12" t="s">
        <v>593</v>
      </c>
      <c r="C73" s="12" t="s">
        <v>597</v>
      </c>
      <c r="D73" s="12" t="s">
        <v>1106</v>
      </c>
      <c r="E73" s="12" t="b">
        <v>1</v>
      </c>
      <c r="F73" s="12">
        <v>1</v>
      </c>
      <c r="G73" s="12">
        <v>1</v>
      </c>
      <c r="H73" s="12"/>
      <c r="I73" s="12"/>
      <c r="J73" s="12">
        <v>1</v>
      </c>
      <c r="K73" s="12" t="s">
        <v>592</v>
      </c>
      <c r="L73" s="12" t="s">
        <v>868</v>
      </c>
      <c r="N73" s="30">
        <v>56</v>
      </c>
    </row>
  </sheetData>
  <phoneticPr fontId="1" type="noConversion"/>
  <conditionalFormatting sqref="A3:L3">
    <cfRule type="duplicateValues" dxfId="17" priority="2"/>
  </conditionalFormatting>
  <conditionalFormatting sqref="A4:A73">
    <cfRule type="duplicateValues" dxfId="16" priority="1"/>
  </conditionalFormatting>
  <dataValidations count="2">
    <dataValidation type="list" allowBlank="1" showInputMessage="1" showErrorMessage="1" sqref="M5:M7">
      <formula1>StateEffect</formula1>
    </dataValidation>
    <dataValidation type="list" allowBlank="1" showInputMessage="1" showErrorMessage="1" sqref="E4:E73">
      <formula1>"TRUE,FALSE"</formula1>
    </dataValidation>
  </dataValidations>
  <hyperlinks>
    <hyperlink ref="K2" location="StateEffect" display="StateEffect"/>
    <hyperlink ref="K3" location="StateEffect" display="StateEffect"/>
  </hyperlinks>
  <pageMargins left="0.7" right="0.7" top="0.75" bottom="0.75" header="0.3" footer="0.3"/>
  <pageSetup paperSize="9" orientation="portrait"/>
  <tableParts count="1">
    <tablePart r:id="rId1"/>
  </tableParts>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dimension ref="A1:S24"/>
  <sheetViews>
    <sheetView showGridLines="0" topLeftCell="J1" zoomScale="145" zoomScaleNormal="145" zoomScalePageLayoutView="145" workbookViewId="0">
      <selection activeCell="O12" sqref="O12"/>
    </sheetView>
  </sheetViews>
  <sheetFormatPr baseColWidth="10" defaultColWidth="8.7109375" defaultRowHeight="16" x14ac:dyDescent="0"/>
  <cols>
    <col min="1" max="1" width="15.85546875" style="7" bestFit="1" customWidth="1"/>
    <col min="2" max="2" width="9.140625" style="7" customWidth="1"/>
    <col min="3" max="3" width="10.85546875" style="7" customWidth="1"/>
    <col min="4" max="4" width="20.7109375" style="7" bestFit="1" customWidth="1"/>
    <col min="5" max="6" width="8.7109375" style="7"/>
    <col min="7" max="7" width="14.5703125" style="7" bestFit="1" customWidth="1"/>
    <col min="8" max="9" width="8.7109375" style="7"/>
    <col min="10" max="10" width="25.7109375" style="7" bestFit="1" customWidth="1"/>
    <col min="11" max="11" width="8.7109375" style="7"/>
    <col min="12" max="12" width="7.42578125" style="7" customWidth="1"/>
    <col min="13" max="13" width="20.140625" style="7" bestFit="1" customWidth="1"/>
    <col min="14" max="14" width="14.85546875" style="7" customWidth="1"/>
    <col min="15" max="15" width="17.42578125" style="7" bestFit="1" customWidth="1"/>
    <col min="16" max="16" width="8.7109375" style="7"/>
    <col min="17" max="17" width="14.140625" style="7" bestFit="1" customWidth="1"/>
    <col min="18" max="18" width="8.7109375" style="7"/>
    <col min="19" max="19" width="21.42578125" style="7" bestFit="1" customWidth="1"/>
    <col min="20" max="16384" width="8.7109375" style="7"/>
  </cols>
  <sheetData>
    <row r="1" spans="1:19">
      <c r="A1" s="28" t="s">
        <v>612</v>
      </c>
      <c r="D1" s="28" t="s">
        <v>613</v>
      </c>
      <c r="G1" s="28" t="s">
        <v>614</v>
      </c>
      <c r="J1" s="28" t="s">
        <v>613</v>
      </c>
      <c r="M1" s="28" t="s">
        <v>613</v>
      </c>
      <c r="O1" s="28" t="s">
        <v>612</v>
      </c>
      <c r="Q1" s="28" t="s">
        <v>613</v>
      </c>
      <c r="S1" s="28" t="s">
        <v>612</v>
      </c>
    </row>
    <row r="2" spans="1:19">
      <c r="A2" s="25" t="s">
        <v>375</v>
      </c>
      <c r="B2" s="6"/>
      <c r="D2" s="26" t="s">
        <v>374</v>
      </c>
      <c r="G2" s="26" t="s">
        <v>34</v>
      </c>
      <c r="J2" s="26" t="s">
        <v>54</v>
      </c>
      <c r="M2" s="26" t="s">
        <v>423</v>
      </c>
      <c r="O2" s="26" t="s">
        <v>73</v>
      </c>
      <c r="Q2" s="26" t="s">
        <v>419</v>
      </c>
      <c r="S2" s="26" t="s">
        <v>652</v>
      </c>
    </row>
    <row r="3" spans="1:19">
      <c r="A3" s="24" t="s">
        <v>27</v>
      </c>
      <c r="B3" s="6"/>
      <c r="D3" s="24" t="s">
        <v>373</v>
      </c>
      <c r="G3" s="24" t="s">
        <v>78</v>
      </c>
      <c r="J3" s="24" t="s">
        <v>604</v>
      </c>
      <c r="M3" s="24" t="s">
        <v>384</v>
      </c>
      <c r="O3" s="24" t="s">
        <v>117</v>
      </c>
      <c r="Q3" s="24" t="s">
        <v>69</v>
      </c>
      <c r="S3" s="24" t="s">
        <v>117</v>
      </c>
    </row>
    <row r="4" spans="1:19">
      <c r="A4" s="24" t="s">
        <v>28</v>
      </c>
      <c r="B4" s="6"/>
      <c r="D4" s="24" t="s">
        <v>369</v>
      </c>
      <c r="G4" s="24" t="s">
        <v>79</v>
      </c>
      <c r="J4" s="24" t="s">
        <v>360</v>
      </c>
      <c r="M4" s="24" t="s">
        <v>495</v>
      </c>
      <c r="O4" s="24" t="s">
        <v>74</v>
      </c>
      <c r="Q4" s="24" t="s">
        <v>418</v>
      </c>
      <c r="S4" s="24" t="s">
        <v>651</v>
      </c>
    </row>
    <row r="5" spans="1:19">
      <c r="A5" s="24" t="s">
        <v>104</v>
      </c>
      <c r="B5" s="6"/>
      <c r="D5" s="24" t="s">
        <v>528</v>
      </c>
      <c r="J5" s="24" t="s">
        <v>361</v>
      </c>
      <c r="M5" s="27" t="s">
        <v>381</v>
      </c>
      <c r="O5" s="24" t="s">
        <v>145</v>
      </c>
      <c r="Q5" s="24" t="s">
        <v>68</v>
      </c>
      <c r="S5" s="24" t="s">
        <v>650</v>
      </c>
    </row>
    <row r="6" spans="1:19">
      <c r="A6" s="24" t="s">
        <v>17</v>
      </c>
      <c r="B6" s="6"/>
      <c r="D6" s="24" t="s">
        <v>530</v>
      </c>
      <c r="J6" s="24" t="s">
        <v>362</v>
      </c>
      <c r="M6" s="24" t="s">
        <v>382</v>
      </c>
      <c r="O6" s="24" t="s">
        <v>119</v>
      </c>
      <c r="S6" s="24" t="s">
        <v>406</v>
      </c>
    </row>
    <row r="7" spans="1:19">
      <c r="A7" s="24" t="s">
        <v>101</v>
      </c>
      <c r="B7" s="6"/>
      <c r="D7" s="24" t="s">
        <v>370</v>
      </c>
      <c r="J7" s="24" t="s">
        <v>363</v>
      </c>
      <c r="M7" s="24" t="s">
        <v>213</v>
      </c>
      <c r="O7" s="24" t="s">
        <v>522</v>
      </c>
      <c r="S7" s="24" t="s">
        <v>643</v>
      </c>
    </row>
    <row r="8" spans="1:19">
      <c r="A8" s="24" t="s">
        <v>174</v>
      </c>
      <c r="B8" s="6"/>
      <c r="D8" s="24" t="s">
        <v>19</v>
      </c>
      <c r="J8" s="24" t="s">
        <v>364</v>
      </c>
      <c r="M8" s="24" t="s">
        <v>425</v>
      </c>
      <c r="O8" s="24" t="s">
        <v>495</v>
      </c>
      <c r="S8" s="24" t="s">
        <v>649</v>
      </c>
    </row>
    <row r="9" spans="1:19">
      <c r="A9" s="24" t="s">
        <v>29</v>
      </c>
      <c r="B9" s="6"/>
      <c r="D9" s="24" t="s">
        <v>20</v>
      </c>
      <c r="J9" s="24" t="s">
        <v>365</v>
      </c>
      <c r="M9" s="24" t="s">
        <v>426</v>
      </c>
      <c r="O9" s="24" t="s">
        <v>391</v>
      </c>
      <c r="S9" s="24" t="s">
        <v>648</v>
      </c>
    </row>
    <row r="10" spans="1:19">
      <c r="A10" s="24" t="s">
        <v>30</v>
      </c>
      <c r="B10" s="6"/>
      <c r="D10" s="24" t="s">
        <v>21</v>
      </c>
      <c r="M10" s="24" t="s">
        <v>608</v>
      </c>
      <c r="O10" s="24" t="s">
        <v>576</v>
      </c>
      <c r="S10" s="24" t="s">
        <v>71</v>
      </c>
    </row>
    <row r="11" spans="1:19">
      <c r="A11" s="24" t="s">
        <v>175</v>
      </c>
      <c r="B11" s="6"/>
      <c r="D11" s="24" t="s">
        <v>22</v>
      </c>
      <c r="M11" s="24" t="s">
        <v>241</v>
      </c>
      <c r="O11" s="24" t="s">
        <v>390</v>
      </c>
      <c r="S11" s="24" t="s">
        <v>647</v>
      </c>
    </row>
    <row r="12" spans="1:19">
      <c r="A12" s="24" t="s">
        <v>31</v>
      </c>
      <c r="D12" s="24" t="s">
        <v>52</v>
      </c>
      <c r="M12" s="24" t="s">
        <v>267</v>
      </c>
      <c r="O12" s="24" t="s">
        <v>591</v>
      </c>
      <c r="S12" s="24" t="s">
        <v>75</v>
      </c>
    </row>
    <row r="13" spans="1:19">
      <c r="A13" s="24" t="s">
        <v>32</v>
      </c>
      <c r="D13" s="24" t="s">
        <v>16</v>
      </c>
      <c r="M13" s="24" t="s">
        <v>272</v>
      </c>
      <c r="O13" s="24" t="s">
        <v>415</v>
      </c>
      <c r="S13" s="24" t="s">
        <v>646</v>
      </c>
    </row>
    <row r="14" spans="1:19">
      <c r="A14" s="24" t="s">
        <v>171</v>
      </c>
      <c r="D14" s="24" t="s">
        <v>23</v>
      </c>
      <c r="M14" s="24" t="s">
        <v>273</v>
      </c>
      <c r="O14" s="24" t="s">
        <v>451</v>
      </c>
      <c r="S14" s="24" t="s">
        <v>645</v>
      </c>
    </row>
    <row r="15" spans="1:19" ht="15" customHeight="1">
      <c r="A15" s="24" t="s">
        <v>172</v>
      </c>
      <c r="D15" s="24" t="s">
        <v>55</v>
      </c>
      <c r="O15" s="24" t="s">
        <v>696</v>
      </c>
      <c r="S15" s="24" t="s">
        <v>193</v>
      </c>
    </row>
    <row r="16" spans="1:19">
      <c r="A16" s="24" t="s">
        <v>173</v>
      </c>
      <c r="D16" s="24" t="s">
        <v>51</v>
      </c>
      <c r="O16" s="24" t="s">
        <v>462</v>
      </c>
      <c r="S16" s="24" t="s">
        <v>644</v>
      </c>
    </row>
    <row r="17" spans="4:15">
      <c r="D17" s="24" t="s">
        <v>99</v>
      </c>
      <c r="O17" s="24" t="s">
        <v>450</v>
      </c>
    </row>
    <row r="18" spans="4:15">
      <c r="D18" s="24" t="s">
        <v>130</v>
      </c>
      <c r="O18" s="24" t="s">
        <v>190</v>
      </c>
    </row>
    <row r="19" spans="4:15">
      <c r="D19" s="24" t="s">
        <v>132</v>
      </c>
      <c r="O19" s="24" t="s">
        <v>217</v>
      </c>
    </row>
    <row r="20" spans="4:15">
      <c r="O20" s="24" t="s">
        <v>695</v>
      </c>
    </row>
    <row r="21" spans="4:15">
      <c r="O21" s="24" t="s">
        <v>478</v>
      </c>
    </row>
    <row r="22" spans="4:15">
      <c r="O22" s="24" t="s">
        <v>488</v>
      </c>
    </row>
    <row r="23" spans="4:15">
      <c r="O23" s="24" t="s">
        <v>246</v>
      </c>
    </row>
    <row r="24" spans="4:15">
      <c r="O24" s="24" t="s">
        <v>694</v>
      </c>
    </row>
  </sheetData>
  <phoneticPr fontId="1" type="noConversion"/>
  <pageMargins left="0.7" right="0.7" top="0.75" bottom="0.75" header="0.3" footer="0.3"/>
  <pageSetup paperSize="9" orientation="portrait"/>
  <legacy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工作表</vt:lpstr>
      </vt:variant>
      <vt:variant>
        <vt:i4>8</vt:i4>
      </vt:variant>
    </vt:vector>
  </HeadingPairs>
  <TitlesOfParts>
    <vt:vector size="8" baseType="lpstr">
      <vt:lpstr>技能点</vt:lpstr>
      <vt:lpstr>主动技能</vt:lpstr>
      <vt:lpstr>计算草稿</vt:lpstr>
      <vt:lpstr>召唤技能</vt:lpstr>
      <vt:lpstr>召唤只能索敌流程</vt:lpstr>
      <vt:lpstr>被动技能</vt:lpstr>
      <vt:lpstr>状态</vt:lpstr>
      <vt:lpstr>枚举参数</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2017-10-22T14:37:17Z</dcterms:modified>
</cp:coreProperties>
</file>