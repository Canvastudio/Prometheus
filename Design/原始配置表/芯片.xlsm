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  <sheet name="芯片数值计算" sheetId="7" r:id="rId6"/>
  </sheets>
  <functionGroups builtInGroupCount="19"/>
  <externalReferences>
    <externalReference r:id="rId7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AV78" i="7" l="1"/>
  <c r="AV77" i="7"/>
  <c r="AV76" i="7"/>
  <c r="AV75" i="7"/>
  <c r="AV74" i="7"/>
  <c r="AV73" i="7"/>
  <c r="AV72" i="7"/>
  <c r="AV71" i="7"/>
  <c r="AV70" i="7"/>
  <c r="AV69" i="7"/>
  <c r="AV68" i="7"/>
  <c r="AV67" i="7"/>
  <c r="AV66" i="7"/>
  <c r="AV65" i="7"/>
  <c r="AV64" i="7"/>
  <c r="AV63" i="7"/>
  <c r="AV62" i="7"/>
  <c r="AV61" i="7"/>
  <c r="AV60" i="7"/>
  <c r="AV59" i="7"/>
  <c r="AV58" i="7"/>
  <c r="AV57" i="7"/>
  <c r="AV56" i="7"/>
  <c r="AV55" i="7"/>
  <c r="AV54" i="7"/>
  <c r="AV53" i="7"/>
  <c r="AV52" i="7"/>
  <c r="AV51" i="7"/>
  <c r="AV50" i="7"/>
  <c r="AV49" i="7"/>
  <c r="AV48" i="7"/>
  <c r="AV47" i="7"/>
  <c r="AV46" i="7"/>
  <c r="AV45" i="7"/>
  <c r="AV44" i="7"/>
  <c r="AV43" i="7"/>
  <c r="AV42" i="7"/>
  <c r="AV41" i="7"/>
  <c r="AV40" i="7"/>
  <c r="AV39" i="7"/>
  <c r="AV38" i="7"/>
  <c r="AV37" i="7"/>
  <c r="AV36" i="7"/>
  <c r="AV35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V13" i="7"/>
  <c r="AV12" i="7"/>
  <c r="AV11" i="7"/>
  <c r="AV10" i="7"/>
  <c r="AV9" i="7"/>
  <c r="B9" i="7"/>
  <c r="B12" i="7" s="1"/>
  <c r="AW12" i="7" s="1"/>
  <c r="AV8" i="7"/>
  <c r="B8" i="7"/>
  <c r="AW8" i="7" s="1"/>
  <c r="AV7" i="7"/>
  <c r="B7" i="7"/>
  <c r="B10" i="7" s="1"/>
  <c r="AW10" i="7" s="1"/>
  <c r="AW6" i="7"/>
  <c r="AV6" i="7"/>
  <c r="AW5" i="7"/>
  <c r="AV5" i="7"/>
  <c r="AW4" i="7"/>
  <c r="AV4" i="7"/>
  <c r="BB5" i="7"/>
  <c r="BB9" i="7"/>
  <c r="BB13" i="7"/>
  <c r="BB17" i="7"/>
  <c r="BB21" i="7"/>
  <c r="BB25" i="7"/>
  <c r="BB29" i="7"/>
  <c r="BB33" i="7"/>
  <c r="BB37" i="7"/>
  <c r="BB41" i="7"/>
  <c r="BB45" i="7"/>
  <c r="BB49" i="7"/>
  <c r="BB53" i="7"/>
  <c r="BB57" i="7"/>
  <c r="BB61" i="7"/>
  <c r="BB65" i="7"/>
  <c r="BB69" i="7"/>
  <c r="BB73" i="7"/>
  <c r="BB77" i="7"/>
  <c r="BB11" i="7"/>
  <c r="BB15" i="7"/>
  <c r="BB23" i="7"/>
  <c r="BB31" i="7"/>
  <c r="BB39" i="7"/>
  <c r="BB47" i="7"/>
  <c r="BB55" i="7"/>
  <c r="BB63" i="7"/>
  <c r="BB71" i="7"/>
  <c r="BB8" i="7"/>
  <c r="BB16" i="7"/>
  <c r="BB24" i="7"/>
  <c r="BB32" i="7"/>
  <c r="BB40" i="7"/>
  <c r="BB52" i="7"/>
  <c r="BB64" i="7"/>
  <c r="BB68" i="7"/>
  <c r="BB76" i="7"/>
  <c r="BB6" i="7"/>
  <c r="BB10" i="7"/>
  <c r="BB14" i="7"/>
  <c r="BB18" i="7"/>
  <c r="BB22" i="7"/>
  <c r="BB26" i="7"/>
  <c r="BB30" i="7"/>
  <c r="BB34" i="7"/>
  <c r="BB38" i="7"/>
  <c r="BB42" i="7"/>
  <c r="BB46" i="7"/>
  <c r="BB50" i="7"/>
  <c r="BB54" i="7"/>
  <c r="BB58" i="7"/>
  <c r="BB62" i="7"/>
  <c r="BB66" i="7"/>
  <c r="BB70" i="7"/>
  <c r="BB74" i="7"/>
  <c r="BB78" i="7"/>
  <c r="BB7" i="7"/>
  <c r="BB19" i="7"/>
  <c r="BB27" i="7"/>
  <c r="BB35" i="7"/>
  <c r="BB43" i="7"/>
  <c r="BB51" i="7"/>
  <c r="BB59" i="7"/>
  <c r="BB67" i="7"/>
  <c r="BB75" i="7"/>
  <c r="BB12" i="7"/>
  <c r="BB20" i="7"/>
  <c r="BB28" i="7"/>
  <c r="BB36" i="7"/>
  <c r="BB44" i="7"/>
  <c r="BB48" i="7"/>
  <c r="BB56" i="7"/>
  <c r="BB60" i="7"/>
  <c r="BB72" i="7"/>
  <c r="BB4" i="7"/>
  <c r="BA5" i="7"/>
  <c r="BA9" i="7"/>
  <c r="BA13" i="7"/>
  <c r="BA17" i="7"/>
  <c r="BA21" i="7"/>
  <c r="BA25" i="7"/>
  <c r="BA29" i="7"/>
  <c r="BA33" i="7"/>
  <c r="BA37" i="7"/>
  <c r="BA41" i="7"/>
  <c r="BA45" i="7"/>
  <c r="BA49" i="7"/>
  <c r="BA53" i="7"/>
  <c r="BA57" i="7"/>
  <c r="BA61" i="7"/>
  <c r="BA65" i="7"/>
  <c r="BA69" i="7"/>
  <c r="BA73" i="7"/>
  <c r="BA77" i="7"/>
  <c r="BA10" i="7"/>
  <c r="BA30" i="7"/>
  <c r="BA38" i="7"/>
  <c r="BA42" i="7"/>
  <c r="BA54" i="7"/>
  <c r="BA62" i="7"/>
  <c r="BA70" i="7"/>
  <c r="BA78" i="7"/>
  <c r="BA6" i="7"/>
  <c r="BA14" i="7"/>
  <c r="BA18" i="7"/>
  <c r="BA22" i="7"/>
  <c r="BA26" i="7"/>
  <c r="BA34" i="7"/>
  <c r="BA46" i="7"/>
  <c r="BA58" i="7"/>
  <c r="BA66" i="7"/>
  <c r="BA7" i="7"/>
  <c r="BA11" i="7"/>
  <c r="BA15" i="7"/>
  <c r="BA19" i="7"/>
  <c r="BA23" i="7"/>
  <c r="BA27" i="7"/>
  <c r="BA31" i="7"/>
  <c r="BA35" i="7"/>
  <c r="BA39" i="7"/>
  <c r="BA43" i="7"/>
  <c r="BA47" i="7"/>
  <c r="BA51" i="7"/>
  <c r="BA55" i="7"/>
  <c r="BA59" i="7"/>
  <c r="BA63" i="7"/>
  <c r="BA67" i="7"/>
  <c r="BA71" i="7"/>
  <c r="BA75" i="7"/>
  <c r="BA8" i="7"/>
  <c r="BA12" i="7"/>
  <c r="BA16" i="7"/>
  <c r="BA20" i="7"/>
  <c r="BA24" i="7"/>
  <c r="BA28" i="7"/>
  <c r="BA32" i="7"/>
  <c r="BA36" i="7"/>
  <c r="BA40" i="7"/>
  <c r="BA44" i="7"/>
  <c r="BA48" i="7"/>
  <c r="BA52" i="7"/>
  <c r="BA56" i="7"/>
  <c r="BA60" i="7"/>
  <c r="BA64" i="7"/>
  <c r="BA68" i="7"/>
  <c r="BA72" i="7"/>
  <c r="BA76" i="7"/>
  <c r="BA50" i="7"/>
  <c r="BA74" i="7"/>
  <c r="BA4" i="7"/>
  <c r="AX5" i="7"/>
  <c r="AX9" i="7"/>
  <c r="AX13" i="7"/>
  <c r="AX17" i="7"/>
  <c r="AX21" i="7"/>
  <c r="AX25" i="7"/>
  <c r="AX29" i="7"/>
  <c r="AX33" i="7"/>
  <c r="AX37" i="7"/>
  <c r="AX41" i="7"/>
  <c r="AX45" i="7"/>
  <c r="AX49" i="7"/>
  <c r="AX53" i="7"/>
  <c r="AX57" i="7"/>
  <c r="AX61" i="7"/>
  <c r="AX65" i="7"/>
  <c r="AX69" i="7"/>
  <c r="AX73" i="7"/>
  <c r="AX77" i="7"/>
  <c r="AX6" i="7"/>
  <c r="AX10" i="7"/>
  <c r="AX14" i="7"/>
  <c r="AX18" i="7"/>
  <c r="AX22" i="7"/>
  <c r="AX26" i="7"/>
  <c r="AX30" i="7"/>
  <c r="AX34" i="7"/>
  <c r="AX38" i="7"/>
  <c r="AX42" i="7"/>
  <c r="AX46" i="7"/>
  <c r="AX50" i="7"/>
  <c r="AX54" i="7"/>
  <c r="AX58" i="7"/>
  <c r="AX62" i="7"/>
  <c r="AX66" i="7"/>
  <c r="AX70" i="7"/>
  <c r="AX74" i="7"/>
  <c r="AX78" i="7"/>
  <c r="AX12" i="7"/>
  <c r="AX16" i="7"/>
  <c r="AX24" i="7"/>
  <c r="AX32" i="7"/>
  <c r="AX40" i="7"/>
  <c r="AX48" i="7"/>
  <c r="AX56" i="7"/>
  <c r="AX64" i="7"/>
  <c r="AX68" i="7"/>
  <c r="AX76" i="7"/>
  <c r="AX7" i="7"/>
  <c r="AX11" i="7"/>
  <c r="AX15" i="7"/>
  <c r="AX19" i="7"/>
  <c r="AX23" i="7"/>
  <c r="AX27" i="7"/>
  <c r="AX31" i="7"/>
  <c r="AX35" i="7"/>
  <c r="AX39" i="7"/>
  <c r="AX43" i="7"/>
  <c r="AX47" i="7"/>
  <c r="AX51" i="7"/>
  <c r="AX55" i="7"/>
  <c r="AX59" i="7"/>
  <c r="AX63" i="7"/>
  <c r="AX67" i="7"/>
  <c r="AX71" i="7"/>
  <c r="AX75" i="7"/>
  <c r="AX8" i="7"/>
  <c r="AX20" i="7"/>
  <c r="AX28" i="7"/>
  <c r="AX36" i="7"/>
  <c r="AX44" i="7"/>
  <c r="AX52" i="7"/>
  <c r="AX60" i="7"/>
  <c r="AX72" i="7"/>
  <c r="AX4" i="7"/>
  <c r="AY76" i="7"/>
  <c r="AY72" i="7"/>
  <c r="AY68" i="7"/>
  <c r="AY64" i="7"/>
  <c r="AY60" i="7"/>
  <c r="AY56" i="7"/>
  <c r="AY52" i="7"/>
  <c r="AY48" i="7"/>
  <c r="AY44" i="7"/>
  <c r="AY40" i="7"/>
  <c r="AY36" i="7"/>
  <c r="AY32" i="7"/>
  <c r="AY28" i="7"/>
  <c r="AY24" i="7"/>
  <c r="AY20" i="7"/>
  <c r="AY16" i="7"/>
  <c r="AY12" i="7"/>
  <c r="AY8" i="7"/>
  <c r="AY77" i="7"/>
  <c r="AY73" i="7"/>
  <c r="AY69" i="7"/>
  <c r="AY65" i="7"/>
  <c r="AY61" i="7"/>
  <c r="AY57" i="7"/>
  <c r="AY53" i="7"/>
  <c r="AY49" i="7"/>
  <c r="AY45" i="7"/>
  <c r="AY41" i="7"/>
  <c r="AY37" i="7"/>
  <c r="AY78" i="7"/>
  <c r="AY74" i="7"/>
  <c r="AY70" i="7"/>
  <c r="AY66" i="7"/>
  <c r="AY62" i="7"/>
  <c r="AY58" i="7"/>
  <c r="AY54" i="7"/>
  <c r="AY50" i="7"/>
  <c r="AY46" i="7"/>
  <c r="AY42" i="7"/>
  <c r="AY38" i="7"/>
  <c r="AY34" i="7"/>
  <c r="AY30" i="7"/>
  <c r="AY26" i="7"/>
  <c r="AY22" i="7"/>
  <c r="AY18" i="7"/>
  <c r="AY14" i="7"/>
  <c r="AY10" i="7"/>
  <c r="AY6" i="7"/>
  <c r="AY4" i="7"/>
  <c r="AY23" i="7"/>
  <c r="AY19" i="7"/>
  <c r="AY11" i="7"/>
  <c r="AY9" i="7"/>
  <c r="AY67" i="7"/>
  <c r="AY43" i="7"/>
  <c r="AY35" i="7"/>
  <c r="AY71" i="7"/>
  <c r="AY63" i="7"/>
  <c r="AY55" i="7"/>
  <c r="AY47" i="7"/>
  <c r="AY39" i="7"/>
  <c r="AY33" i="7"/>
  <c r="AY31" i="7"/>
  <c r="AY29" i="7"/>
  <c r="AY27" i="7"/>
  <c r="AY25" i="7"/>
  <c r="AY21" i="7"/>
  <c r="AY17" i="7"/>
  <c r="AY15" i="7"/>
  <c r="AY13" i="7"/>
  <c r="AY5" i="7"/>
  <c r="AY75" i="7"/>
  <c r="AY59" i="7"/>
  <c r="AY51" i="7"/>
  <c r="AY7" i="7"/>
  <c r="B11" i="7" l="1"/>
  <c r="B14" i="7" s="1"/>
  <c r="AW14" i="7" s="1"/>
  <c r="AW9" i="7"/>
  <c r="B13" i="7"/>
  <c r="B15" i="7"/>
  <c r="AW7" i="7"/>
  <c r="AW11" i="7" l="1"/>
  <c r="B17" i="7"/>
  <c r="B20" i="7"/>
  <c r="AW17" i="7"/>
  <c r="B18" i="7"/>
  <c r="AW15" i="7"/>
  <c r="B16" i="7"/>
  <c r="AW13" i="7"/>
  <c r="AW18" i="7" l="1"/>
  <c r="B21" i="7"/>
  <c r="AW16" i="7"/>
  <c r="B19" i="7"/>
  <c r="AW20" i="7"/>
  <c r="B23" i="7"/>
  <c r="B22" i="7" l="1"/>
  <c r="AW19" i="7"/>
  <c r="B26" i="7"/>
  <c r="AW23" i="7"/>
  <c r="B24" i="7"/>
  <c r="AW21" i="7"/>
  <c r="AW26" i="7" l="1"/>
  <c r="B29" i="7"/>
  <c r="AW24" i="7"/>
  <c r="B27" i="7"/>
  <c r="AW22" i="7"/>
  <c r="B25" i="7"/>
  <c r="B30" i="7" l="1"/>
  <c r="AW27" i="7"/>
  <c r="B28" i="7"/>
  <c r="AW25" i="7"/>
  <c r="B32" i="7"/>
  <c r="AW29" i="7"/>
  <c r="AW28" i="7" l="1"/>
  <c r="B31" i="7"/>
  <c r="AW32" i="7"/>
  <c r="B35" i="7"/>
  <c r="AW30" i="7"/>
  <c r="B33" i="7"/>
  <c r="B36" i="7" l="1"/>
  <c r="AW33" i="7"/>
  <c r="B34" i="7"/>
  <c r="AW31" i="7"/>
  <c r="AW35" i="7"/>
  <c r="B38" i="7"/>
  <c r="AW34" i="7" l="1"/>
  <c r="B37" i="7"/>
  <c r="AW38" i="7"/>
  <c r="B41" i="7"/>
  <c r="AW36" i="7"/>
  <c r="B39" i="7"/>
  <c r="AW39" i="7" l="1"/>
  <c r="B42" i="7"/>
  <c r="B40" i="7"/>
  <c r="AW37" i="7"/>
  <c r="B44" i="7"/>
  <c r="AW41" i="7"/>
  <c r="AW40" i="7" l="1"/>
  <c r="B43" i="7"/>
  <c r="AW42" i="7"/>
  <c r="B45" i="7"/>
  <c r="AW44" i="7"/>
  <c r="B47" i="7"/>
  <c r="B48" i="7" l="1"/>
  <c r="AW45" i="7"/>
  <c r="AW47" i="7"/>
  <c r="B50" i="7"/>
  <c r="AW43" i="7"/>
  <c r="B46" i="7"/>
  <c r="AW50" i="7" l="1"/>
  <c r="B53" i="7"/>
  <c r="AW46" i="7"/>
  <c r="B49" i="7"/>
  <c r="AW48" i="7"/>
  <c r="B51" i="7"/>
  <c r="B52" i="7" l="1"/>
  <c r="AW49" i="7"/>
  <c r="AW51" i="7"/>
  <c r="B54" i="7"/>
  <c r="B56" i="7"/>
  <c r="AW53" i="7"/>
  <c r="AW54" i="7" l="1"/>
  <c r="B57" i="7"/>
  <c r="AW56" i="7"/>
  <c r="B59" i="7"/>
  <c r="AW52" i="7"/>
  <c r="B55" i="7"/>
  <c r="AW55" i="7" l="1"/>
  <c r="B58" i="7"/>
  <c r="B60" i="7"/>
  <c r="AW57" i="7"/>
  <c r="AW59" i="7"/>
  <c r="B62" i="7"/>
  <c r="AW60" i="7" l="1"/>
  <c r="B63" i="7"/>
  <c r="AW62" i="7"/>
  <c r="B65" i="7"/>
  <c r="AW58" i="7"/>
  <c r="B61" i="7"/>
  <c r="B64" i="7" l="1"/>
  <c r="AW61" i="7"/>
  <c r="AW63" i="7"/>
  <c r="B66" i="7"/>
  <c r="B68" i="7"/>
  <c r="AW65" i="7"/>
  <c r="AW66" i="7" l="1"/>
  <c r="B69" i="7"/>
  <c r="AW68" i="7"/>
  <c r="B71" i="7"/>
  <c r="AW64" i="7"/>
  <c r="B67" i="7"/>
  <c r="AW67" i="7" l="1"/>
  <c r="B70" i="7"/>
  <c r="B72" i="7"/>
  <c r="AW69" i="7"/>
  <c r="AW71" i="7"/>
  <c r="B74" i="7"/>
  <c r="AW72" i="7" l="1"/>
  <c r="B75" i="7"/>
  <c r="AW74" i="7"/>
  <c r="B77" i="7"/>
  <c r="AW77" i="7" s="1"/>
  <c r="AW70" i="7"/>
  <c r="B73" i="7"/>
  <c r="B76" i="7" l="1"/>
  <c r="AW76" i="7" s="1"/>
  <c r="AW73" i="7"/>
  <c r="AW75" i="7"/>
  <c r="B78" i="7"/>
  <c r="AW78" i="7" s="1"/>
  <c r="S76" i="1" l="1"/>
  <c r="S73" i="1"/>
  <c r="S70" i="1"/>
  <c r="S67" i="1"/>
  <c r="S64" i="1"/>
  <c r="S61" i="1"/>
  <c r="S58" i="1"/>
  <c r="Q57" i="1"/>
  <c r="Q60" i="1" s="1"/>
  <c r="Q56" i="1"/>
  <c r="R56" i="1" s="1"/>
  <c r="S55" i="1"/>
  <c r="Q55" i="1"/>
  <c r="Q58" i="1" s="1"/>
  <c r="R53" i="1"/>
  <c r="R54" i="1" s="1"/>
  <c r="S52" i="1"/>
  <c r="S53" i="1" s="1"/>
  <c r="S49" i="1"/>
  <c r="S46" i="1"/>
  <c r="S43" i="1"/>
  <c r="S40" i="1"/>
  <c r="S37" i="1"/>
  <c r="S34" i="1"/>
  <c r="Q33" i="1"/>
  <c r="Q36" i="1" s="1"/>
  <c r="Q32" i="1"/>
  <c r="Q35" i="1" s="1"/>
  <c r="S31" i="1"/>
  <c r="Q31" i="1"/>
  <c r="Q34" i="1" s="1"/>
  <c r="R29" i="1"/>
  <c r="R30" i="1" s="1"/>
  <c r="S28" i="1"/>
  <c r="S29" i="1" s="1"/>
  <c r="E7" i="1"/>
  <c r="E10" i="1" s="1"/>
  <c r="E13" i="1" s="1"/>
  <c r="E16" i="1" s="1"/>
  <c r="E19" i="1" s="1"/>
  <c r="E22" i="1" s="1"/>
  <c r="E25" i="1" s="1"/>
  <c r="E28" i="1" s="1"/>
  <c r="E31" i="1" s="1"/>
  <c r="E34" i="1" s="1"/>
  <c r="E37" i="1" s="1"/>
  <c r="E40" i="1" s="1"/>
  <c r="E43" i="1" s="1"/>
  <c r="E46" i="1" s="1"/>
  <c r="E49" i="1" s="1"/>
  <c r="E52" i="1" s="1"/>
  <c r="E55" i="1" s="1"/>
  <c r="E58" i="1" s="1"/>
  <c r="E61" i="1" s="1"/>
  <c r="E64" i="1" s="1"/>
  <c r="E67" i="1" s="1"/>
  <c r="E70" i="1" s="1"/>
  <c r="E73" i="1" s="1"/>
  <c r="E76" i="1" s="1"/>
  <c r="A8" i="1"/>
  <c r="A11" i="1" s="1"/>
  <c r="A14" i="1" s="1"/>
  <c r="A17" i="1" s="1"/>
  <c r="A20" i="1" s="1"/>
  <c r="A23" i="1" s="1"/>
  <c r="A26" i="1" s="1"/>
  <c r="A29" i="1" s="1"/>
  <c r="A32" i="1" s="1"/>
  <c r="A35" i="1" s="1"/>
  <c r="A38" i="1" s="1"/>
  <c r="A41" i="1" s="1"/>
  <c r="A44" i="1" s="1"/>
  <c r="A47" i="1" s="1"/>
  <c r="A50" i="1" s="1"/>
  <c r="A53" i="1" s="1"/>
  <c r="A56" i="1" s="1"/>
  <c r="A59" i="1" s="1"/>
  <c r="A62" i="1" s="1"/>
  <c r="A65" i="1" s="1"/>
  <c r="A68" i="1" s="1"/>
  <c r="A71" i="1" s="1"/>
  <c r="A74" i="1" s="1"/>
  <c r="A77" i="1" s="1"/>
  <c r="A9" i="1"/>
  <c r="A12" i="1" s="1"/>
  <c r="A15" i="1" s="1"/>
  <c r="A18" i="1" s="1"/>
  <c r="A21" i="1" s="1"/>
  <c r="A24" i="1" s="1"/>
  <c r="A27" i="1" s="1"/>
  <c r="A30" i="1" s="1"/>
  <c r="A33" i="1" s="1"/>
  <c r="A36" i="1" s="1"/>
  <c r="A39" i="1" s="1"/>
  <c r="A42" i="1" s="1"/>
  <c r="A45" i="1" s="1"/>
  <c r="A48" i="1" s="1"/>
  <c r="A51" i="1" s="1"/>
  <c r="A54" i="1" s="1"/>
  <c r="A57" i="1" s="1"/>
  <c r="A60" i="1" s="1"/>
  <c r="A63" i="1" s="1"/>
  <c r="A66" i="1" s="1"/>
  <c r="A69" i="1" s="1"/>
  <c r="A72" i="1" s="1"/>
  <c r="A75" i="1" s="1"/>
  <c r="A78" i="1" s="1"/>
  <c r="A7" i="1"/>
  <c r="A10" i="1" s="1"/>
  <c r="A13" i="1" s="1"/>
  <c r="A16" i="1" s="1"/>
  <c r="A19" i="1" s="1"/>
  <c r="A22" i="1" s="1"/>
  <c r="A25" i="1" s="1"/>
  <c r="A28" i="1" s="1"/>
  <c r="A31" i="1" s="1"/>
  <c r="A34" i="1" s="1"/>
  <c r="A37" i="1" s="1"/>
  <c r="A40" i="1" s="1"/>
  <c r="A43" i="1" s="1"/>
  <c r="A46" i="1" s="1"/>
  <c r="A49" i="1" s="1"/>
  <c r="A52" i="1" s="1"/>
  <c r="A55" i="1" s="1"/>
  <c r="A58" i="1" s="1"/>
  <c r="A61" i="1" s="1"/>
  <c r="A64" i="1" s="1"/>
  <c r="A67" i="1" s="1"/>
  <c r="A70" i="1" s="1"/>
  <c r="A73" i="1" s="1"/>
  <c r="A76" i="1" s="1"/>
  <c r="D55" i="1"/>
  <c r="D69" i="1"/>
  <c r="D65" i="1"/>
  <c r="D30" i="1"/>
  <c r="D32" i="1"/>
  <c r="D37" i="1"/>
  <c r="D41" i="1"/>
  <c r="D22" i="1"/>
  <c r="D75" i="1"/>
  <c r="D34" i="1"/>
  <c r="D45" i="1"/>
  <c r="D43" i="1"/>
  <c r="D68" i="1"/>
  <c r="D63" i="1"/>
  <c r="D35" i="1"/>
  <c r="D61" i="1"/>
  <c r="D38" i="1"/>
  <c r="D33" i="1"/>
  <c r="D25" i="1"/>
  <c r="D29" i="1"/>
  <c r="D73" i="1"/>
  <c r="D59" i="1"/>
  <c r="D56" i="1"/>
  <c r="D51" i="1"/>
  <c r="D23" i="1"/>
  <c r="D70" i="1"/>
  <c r="D42" i="1"/>
  <c r="D47" i="1"/>
  <c r="D64" i="1"/>
  <c r="D40" i="1"/>
  <c r="D66" i="1"/>
  <c r="D72" i="1"/>
  <c r="D58" i="1"/>
  <c r="D76" i="1"/>
  <c r="D39" i="1"/>
  <c r="D36" i="1"/>
  <c r="D78" i="1"/>
  <c r="D49" i="1"/>
  <c r="D74" i="1"/>
  <c r="D24" i="1"/>
  <c r="D77" i="1"/>
  <c r="D31" i="1"/>
  <c r="D27" i="1"/>
  <c r="D28" i="1"/>
  <c r="D46" i="1"/>
  <c r="D53" i="1"/>
  <c r="D67" i="1"/>
  <c r="D48" i="1"/>
  <c r="D44" i="1"/>
  <c r="D60" i="1"/>
  <c r="D71" i="1"/>
  <c r="D26" i="1"/>
  <c r="D57" i="1"/>
  <c r="D52" i="1"/>
  <c r="D62" i="1"/>
  <c r="D50" i="1"/>
  <c r="D54" i="1"/>
  <c r="R32" i="1" l="1"/>
  <c r="R33" i="1" s="1"/>
  <c r="S32" i="1"/>
  <c r="S33" i="1" s="1"/>
  <c r="T33" i="1" s="1"/>
  <c r="R57" i="1"/>
  <c r="T52" i="1"/>
  <c r="S56" i="1"/>
  <c r="S57" i="1" s="1"/>
  <c r="T57" i="1" s="1"/>
  <c r="Q63" i="1"/>
  <c r="T53" i="1"/>
  <c r="S54" i="1"/>
  <c r="T54" i="1" s="1"/>
  <c r="T58" i="1"/>
  <c r="Q61" i="1"/>
  <c r="S62" i="1" s="1"/>
  <c r="S59" i="1"/>
  <c r="T55" i="1"/>
  <c r="Q59" i="1"/>
  <c r="R35" i="1"/>
  <c r="R36" i="1" s="1"/>
  <c r="Q38" i="1"/>
  <c r="Q37" i="1"/>
  <c r="S38" i="1" s="1"/>
  <c r="T34" i="1"/>
  <c r="Q39" i="1"/>
  <c r="T29" i="1"/>
  <c r="S30" i="1"/>
  <c r="T30" i="1" s="1"/>
  <c r="S35" i="1"/>
  <c r="S36" i="1" s="1"/>
  <c r="T36" i="1" s="1"/>
  <c r="T28" i="1"/>
  <c r="T31" i="1"/>
  <c r="S39" i="1" l="1"/>
  <c r="T39" i="1" s="1"/>
  <c r="S60" i="1"/>
  <c r="T60" i="1" s="1"/>
  <c r="T32" i="1"/>
  <c r="T56" i="1"/>
  <c r="Q62" i="1"/>
  <c r="S63" i="1" s="1"/>
  <c r="T63" i="1" s="1"/>
  <c r="R59" i="1"/>
  <c r="R60" i="1" s="1"/>
  <c r="T59" i="1"/>
  <c r="T61" i="1"/>
  <c r="Q64" i="1"/>
  <c r="Q66" i="1"/>
  <c r="T35" i="1"/>
  <c r="Q42" i="1"/>
  <c r="T37" i="1"/>
  <c r="Q40" i="1"/>
  <c r="Q41" i="1"/>
  <c r="T38" i="1"/>
  <c r="R38" i="1"/>
  <c r="R39" i="1" s="1"/>
  <c r="Q69" i="1" l="1"/>
  <c r="Q67" i="1"/>
  <c r="T64" i="1"/>
  <c r="S65" i="1"/>
  <c r="Q65" i="1"/>
  <c r="T62" i="1"/>
  <c r="R62" i="1"/>
  <c r="R63" i="1" s="1"/>
  <c r="Q44" i="1"/>
  <c r="R41" i="1"/>
  <c r="R42" i="1" s="1"/>
  <c r="Q45" i="1"/>
  <c r="Q43" i="1"/>
  <c r="T40" i="1"/>
  <c r="S41" i="1"/>
  <c r="S42" i="1" s="1"/>
  <c r="T42" i="1" s="1"/>
  <c r="S66" i="1" l="1"/>
  <c r="T66" i="1" s="1"/>
  <c r="Q70" i="1"/>
  <c r="T67" i="1"/>
  <c r="S68" i="1"/>
  <c r="Q68" i="1"/>
  <c r="T65" i="1"/>
  <c r="R65" i="1"/>
  <c r="R66" i="1" s="1"/>
  <c r="Q72" i="1"/>
  <c r="Q46" i="1"/>
  <c r="T43" i="1"/>
  <c r="S44" i="1"/>
  <c r="S45" i="1" s="1"/>
  <c r="T45" i="1" s="1"/>
  <c r="T41" i="1"/>
  <c r="Q48" i="1"/>
  <c r="R44" i="1"/>
  <c r="R45" i="1" s="1"/>
  <c r="Q47" i="1"/>
  <c r="Q8" i="1"/>
  <c r="Q11" i="1" s="1"/>
  <c r="Q14" i="1" s="1"/>
  <c r="Q17" i="1" s="1"/>
  <c r="Q20" i="1" s="1"/>
  <c r="Q23" i="1" s="1"/>
  <c r="Q26" i="1" s="1"/>
  <c r="Q9" i="1"/>
  <c r="Q12" i="1" s="1"/>
  <c r="Q15" i="1" s="1"/>
  <c r="Q18" i="1" s="1"/>
  <c r="Q21" i="1" s="1"/>
  <c r="Q24" i="1" s="1"/>
  <c r="Q27" i="1" s="1"/>
  <c r="Q7" i="1"/>
  <c r="Q10" i="1" s="1"/>
  <c r="Q13" i="1" s="1"/>
  <c r="Q16" i="1" s="1"/>
  <c r="Q19" i="1" s="1"/>
  <c r="Q22" i="1" s="1"/>
  <c r="Q25" i="1" s="1"/>
  <c r="Q75" i="1" l="1"/>
  <c r="Q78" i="1" s="1"/>
  <c r="S69" i="1"/>
  <c r="T69" i="1" s="1"/>
  <c r="R68" i="1"/>
  <c r="R69" i="1" s="1"/>
  <c r="Q71" i="1"/>
  <c r="T68" i="1"/>
  <c r="Q73" i="1"/>
  <c r="Q76" i="1" s="1"/>
  <c r="T70" i="1"/>
  <c r="S71" i="1"/>
  <c r="S72" i="1" s="1"/>
  <c r="T72" i="1" s="1"/>
  <c r="R47" i="1"/>
  <c r="R48" i="1" s="1"/>
  <c r="Q50" i="1"/>
  <c r="T44" i="1"/>
  <c r="Q51" i="1"/>
  <c r="Q49" i="1"/>
  <c r="T46" i="1"/>
  <c r="S47" i="1"/>
  <c r="S48" i="1" s="1"/>
  <c r="T48" i="1" s="1"/>
  <c r="T76" i="1" l="1"/>
  <c r="S77" i="1"/>
  <c r="T73" i="1"/>
  <c r="S74" i="1"/>
  <c r="R71" i="1"/>
  <c r="R72" i="1" s="1"/>
  <c r="Q74" i="1"/>
  <c r="Q77" i="1" s="1"/>
  <c r="T71" i="1"/>
  <c r="T47" i="1"/>
  <c r="R50" i="1"/>
  <c r="R51" i="1" s="1"/>
  <c r="T49" i="1"/>
  <c r="S50" i="1"/>
  <c r="S51" i="1" s="1"/>
  <c r="T51" i="1" s="1"/>
  <c r="AB6" i="1"/>
  <c r="D15" i="1"/>
  <c r="D21" i="1"/>
  <c r="D19" i="1"/>
  <c r="D11" i="1"/>
  <c r="D12" i="1"/>
  <c r="D18" i="1"/>
  <c r="D6" i="1"/>
  <c r="D9" i="1"/>
  <c r="D16" i="1"/>
  <c r="D4" i="1"/>
  <c r="D13" i="1"/>
  <c r="D7" i="1"/>
  <c r="D14" i="1"/>
  <c r="D5" i="1"/>
  <c r="D10" i="1"/>
  <c r="D8" i="1"/>
  <c r="D20" i="1"/>
  <c r="D17" i="1"/>
  <c r="T50" i="1" l="1"/>
  <c r="S78" i="1"/>
  <c r="T78" i="1" s="1"/>
  <c r="T77" i="1"/>
  <c r="R77" i="1"/>
  <c r="R78" i="1" s="1"/>
  <c r="T74" i="1"/>
  <c r="R74" i="1"/>
  <c r="R75" i="1" s="1"/>
  <c r="S75" i="1"/>
  <c r="T75" i="1" s="1"/>
  <c r="H57" i="3"/>
  <c r="N57" i="3" s="1"/>
  <c r="T57" i="3" s="1"/>
  <c r="H51" i="3"/>
  <c r="N51" i="3" s="1"/>
  <c r="T51" i="3" s="1"/>
  <c r="T33" i="3"/>
  <c r="N33" i="3"/>
  <c r="H33" i="3"/>
  <c r="H3" i="3"/>
  <c r="N3" i="3"/>
  <c r="E5" i="1" l="1"/>
  <c r="R26" i="1"/>
  <c r="R27" i="1" s="1"/>
  <c r="S25" i="1"/>
  <c r="R23" i="1"/>
  <c r="R24" i="1" s="1"/>
  <c r="S22" i="1"/>
  <c r="R20" i="1"/>
  <c r="R21" i="1" s="1"/>
  <c r="S19" i="1"/>
  <c r="R17" i="1"/>
  <c r="R18" i="1" s="1"/>
  <c r="S16" i="1"/>
  <c r="R14" i="1"/>
  <c r="R15" i="1" s="1"/>
  <c r="S13" i="1"/>
  <c r="R11" i="1"/>
  <c r="R12" i="1" s="1"/>
  <c r="S10" i="1"/>
  <c r="R8" i="1"/>
  <c r="R9" i="1" s="1"/>
  <c r="S7" i="1"/>
  <c r="E6" i="1" l="1"/>
  <c r="F5" i="1" s="1"/>
  <c r="E8" i="1"/>
  <c r="S11" i="1"/>
  <c r="S17" i="1"/>
  <c r="S23" i="1"/>
  <c r="H40" i="1"/>
  <c r="H50" i="1"/>
  <c r="H60" i="1"/>
  <c r="H70" i="1"/>
  <c r="S8" i="1"/>
  <c r="S14" i="1"/>
  <c r="S20" i="1"/>
  <c r="S26" i="1"/>
  <c r="H45" i="1"/>
  <c r="H55" i="1"/>
  <c r="H65" i="1"/>
  <c r="H75" i="1"/>
  <c r="AX4" i="6"/>
  <c r="AX7" i="6"/>
  <c r="AX3" i="6"/>
  <c r="AX6" i="6"/>
  <c r="AX5" i="6"/>
  <c r="E11" i="1" l="1"/>
  <c r="F7" i="1"/>
  <c r="F6" i="1"/>
  <c r="E9" i="1"/>
  <c r="F8" i="1" s="1"/>
  <c r="H46" i="1"/>
  <c r="S27" i="1"/>
  <c r="S15" i="1"/>
  <c r="H71" i="1"/>
  <c r="H56" i="1"/>
  <c r="H41" i="1"/>
  <c r="S24" i="1"/>
  <c r="S12" i="1"/>
  <c r="H66" i="1"/>
  <c r="S21" i="1"/>
  <c r="S9" i="1"/>
  <c r="H51" i="1"/>
  <c r="H76" i="1"/>
  <c r="H61" i="1"/>
  <c r="S18" i="1"/>
  <c r="E12" i="1" l="1"/>
  <c r="F9" i="1"/>
  <c r="E14" i="1"/>
  <c r="F10" i="1"/>
  <c r="F11" i="1"/>
  <c r="H77" i="1"/>
  <c r="H72" i="1"/>
  <c r="H47" i="1"/>
  <c r="H57" i="1"/>
  <c r="H52" i="1"/>
  <c r="H42" i="1"/>
  <c r="H62" i="1"/>
  <c r="H67" i="1"/>
  <c r="E17" i="1" l="1"/>
  <c r="F13" i="1"/>
  <c r="E15" i="1"/>
  <c r="F14" i="1" s="1"/>
  <c r="F12" i="1"/>
  <c r="H58" i="1"/>
  <c r="H78" i="1"/>
  <c r="H53" i="1"/>
  <c r="H73" i="1"/>
  <c r="H63" i="1"/>
  <c r="H68" i="1"/>
  <c r="H43" i="1"/>
  <c r="H48" i="1"/>
  <c r="F4" i="1"/>
  <c r="E18" i="1" l="1"/>
  <c r="F17" i="1" s="1"/>
  <c r="F15" i="1"/>
  <c r="E20" i="1"/>
  <c r="F16" i="1"/>
  <c r="H59" i="1"/>
  <c r="H49" i="1"/>
  <c r="H44" i="1"/>
  <c r="H74" i="1"/>
  <c r="H54" i="1"/>
  <c r="H69" i="1"/>
  <c r="H64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E23" i="1" l="1"/>
  <c r="F19" i="1"/>
  <c r="E21" i="1"/>
  <c r="F20" i="1" s="1"/>
  <c r="F18" i="1"/>
  <c r="T10" i="1"/>
  <c r="H10" i="1" s="1"/>
  <c r="S4" i="1"/>
  <c r="R5" i="1"/>
  <c r="R6" i="1" s="1"/>
  <c r="E24" i="1" l="1"/>
  <c r="F21" i="1"/>
  <c r="E26" i="1"/>
  <c r="F22" i="1"/>
  <c r="F23" i="1"/>
  <c r="T11" i="1"/>
  <c r="H11" i="1" s="1"/>
  <c r="T4" i="1"/>
  <c r="H4" i="1" s="1"/>
  <c r="S5" i="1"/>
  <c r="H31" i="1"/>
  <c r="H30" i="1"/>
  <c r="T23" i="1"/>
  <c r="H23" i="1" s="1"/>
  <c r="T22" i="1"/>
  <c r="H22" i="1" s="1"/>
  <c r="T17" i="1"/>
  <c r="H17" i="1" s="1"/>
  <c r="T16" i="1"/>
  <c r="H16" i="1" s="1"/>
  <c r="E29" i="1" l="1"/>
  <c r="F25" i="1"/>
  <c r="E27" i="1"/>
  <c r="F26" i="1" s="1"/>
  <c r="F24" i="1"/>
  <c r="S6" i="1"/>
  <c r="T5" i="1"/>
  <c r="H5" i="1" s="1"/>
  <c r="H32" i="1"/>
  <c r="T24" i="1"/>
  <c r="H24" i="1" s="1"/>
  <c r="T18" i="1"/>
  <c r="H18" i="1" s="1"/>
  <c r="E30" i="1" l="1"/>
  <c r="F29" i="1" s="1"/>
  <c r="F27" i="1"/>
  <c r="E32" i="1"/>
  <c r="F28" i="1"/>
  <c r="T12" i="1"/>
  <c r="H12" i="1" s="1"/>
  <c r="T6" i="1"/>
  <c r="H6" i="1" s="1"/>
  <c r="H33" i="1"/>
  <c r="E35" i="1" l="1"/>
  <c r="F31" i="1"/>
  <c r="E33" i="1"/>
  <c r="F32" i="1" s="1"/>
  <c r="F30" i="1"/>
  <c r="H34" i="1"/>
  <c r="E36" i="1" l="1"/>
  <c r="F33" i="1"/>
  <c r="E38" i="1"/>
  <c r="F34" i="1"/>
  <c r="F35" i="1"/>
  <c r="H35" i="1"/>
  <c r="T25" i="1"/>
  <c r="H25" i="1" s="1"/>
  <c r="T19" i="1"/>
  <c r="H19" i="1" s="1"/>
  <c r="T13" i="1"/>
  <c r="H13" i="1" s="1"/>
  <c r="E41" i="1" l="1"/>
  <c r="F37" i="1"/>
  <c r="E39" i="1"/>
  <c r="F38" i="1" s="1"/>
  <c r="F36" i="1"/>
  <c r="T7" i="1"/>
  <c r="H7" i="1" s="1"/>
  <c r="H36" i="1"/>
  <c r="T26" i="1"/>
  <c r="H26" i="1" s="1"/>
  <c r="T20" i="1"/>
  <c r="H20" i="1" s="1"/>
  <c r="T14" i="1"/>
  <c r="H14" i="1" s="1"/>
  <c r="E42" i="1" l="1"/>
  <c r="F41" i="1" s="1"/>
  <c r="F39" i="1"/>
  <c r="E44" i="1"/>
  <c r="F40" i="1"/>
  <c r="T8" i="1"/>
  <c r="H8" i="1" s="1"/>
  <c r="H37" i="1"/>
  <c r="T27" i="1"/>
  <c r="H27" i="1" s="1"/>
  <c r="T21" i="1"/>
  <c r="H21" i="1" s="1"/>
  <c r="T15" i="1"/>
  <c r="H15" i="1" s="1"/>
  <c r="E47" i="1" l="1"/>
  <c r="F43" i="1"/>
  <c r="E45" i="1"/>
  <c r="F44" i="1" s="1"/>
  <c r="F42" i="1"/>
  <c r="T9" i="1"/>
  <c r="H9" i="1" s="1"/>
  <c r="H39" i="1"/>
  <c r="H38" i="1"/>
  <c r="H29" i="1"/>
  <c r="H28" i="1"/>
  <c r="E48" i="1" l="1"/>
  <c r="F45" i="1"/>
  <c r="E50" i="1"/>
  <c r="F46" i="1"/>
  <c r="F47" i="1"/>
  <c r="E53" i="1" l="1"/>
  <c r="F49" i="1"/>
  <c r="E51" i="1"/>
  <c r="F50" i="1" s="1"/>
  <c r="F48" i="1"/>
  <c r="E54" i="1" l="1"/>
  <c r="F53" i="1" s="1"/>
  <c r="F51" i="1"/>
  <c r="E56" i="1"/>
  <c r="F52" i="1"/>
  <c r="E59" i="1" l="1"/>
  <c r="F55" i="1"/>
  <c r="E57" i="1"/>
  <c r="F56" i="1" s="1"/>
  <c r="F54" i="1"/>
  <c r="E60" i="1" l="1"/>
  <c r="F57" i="1"/>
  <c r="E62" i="1"/>
  <c r="F58" i="1"/>
  <c r="F59" i="1"/>
  <c r="E65" i="1" l="1"/>
  <c r="F61" i="1"/>
  <c r="E63" i="1"/>
  <c r="F62" i="1" s="1"/>
  <c r="F60" i="1"/>
  <c r="E66" i="1" l="1"/>
  <c r="F65" i="1" s="1"/>
  <c r="F63" i="1"/>
  <c r="E68" i="1"/>
  <c r="F64" i="1"/>
  <c r="E71" i="1" l="1"/>
  <c r="F67" i="1"/>
  <c r="E69" i="1"/>
  <c r="F68" i="1" s="1"/>
  <c r="F66" i="1"/>
  <c r="E72" i="1" l="1"/>
  <c r="F71" i="1" s="1"/>
  <c r="F69" i="1"/>
  <c r="E74" i="1"/>
  <c r="F70" i="1"/>
  <c r="E77" i="1" l="1"/>
  <c r="F73" i="1"/>
  <c r="E75" i="1"/>
  <c r="F74" i="1" s="1"/>
  <c r="F72" i="1"/>
  <c r="E78" i="1" l="1"/>
  <c r="F78" i="1" s="1"/>
  <c r="F75" i="1"/>
  <c r="F76" i="1"/>
  <c r="F77" i="1" l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<sst xmlns="http://schemas.openxmlformats.org/spreadsheetml/2006/main" count="750" uniqueCount="439">
  <si>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</si>
  <si>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</si>
  <si>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</si>
  <si>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</si>
  <si>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</si>
  <si>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</si>
  <si>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</si>
  <si>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</si>
  <si>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</si>
  <si>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</si>
  <si>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</si>
  <si>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</si>
  <si>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</si>
  <si>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</si>
  <si>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</si>
  <si>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</si>
  <si>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</si>
  <si>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</si>
  <si>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</si>
  <si>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</si>
  <si>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</si>
  <si>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</si>
  <si>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</si>
  <si>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</si>
  <si>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</si>
  <si>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</si>
  <si>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</si>
  <si>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</si>
  <si>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</si>
  <si>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</si>
  <si>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</si>
  <si>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</si>
  <si>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</si>
  <si>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</si>
  <si>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</si>
  <si>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</si>
  <si>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</si>
  <si>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</si>
  <si>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</si>
  <si>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</si>
  <si>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</si>
  <si>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</si>
  <si>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</si>
  <si>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</si>
  <si>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</si>
  <si>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</si>
  <si>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</si>
  <si>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</si>
  <si>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</si>
  <si>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</si>
  <si>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</si>
  <si>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</si>
  <si>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</si>
  <si>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</si>
  <si>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</si>
  <si>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</si>
  <si>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</si>
  <si>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</si>
  <si>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</si>
  <si>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</si>
  <si>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</si>
  <si>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</si>
  <si>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</si>
  <si>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</si>
  <si>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</si>
  <si>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</si>
  <si>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</si>
  <si>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</si>
  <si>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</si>
  <si>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</si>
  <si>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</si>
  <si>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</si>
  <si>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</si>
  <si>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</si>
  <si>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</si>
  <si>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</si>
  <si>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</si>
  <si>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</si>
  <si>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</si>
  <si>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</si>
  <si>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</si>
  <si>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</si>
  <si>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</si>
  <si>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</si>
  <si>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</si>
  <si>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</si>
  <si>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</si>
  <si>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</si>
  <si>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</si>
  <si>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</si>
  <si>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</si>
  <si>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</si>
  <si>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</si>
  <si>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</si>
  <si>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</si>
  <si>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</si>
  <si>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</si>
  <si>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</si>
  <si>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</si>
  <si>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</si>
  <si>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</si>
  <si>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</si>
  <si>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</si>
  <si>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</si>
  <si>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</si>
  <si>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</si>
  <si>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</si>
  <si>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</si>
  <si>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</si>
  <si>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</si>
  <si>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</si>
  <si>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</si>
  <si>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</si>
  <si>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</si>
  <si>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</si>
  <si>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</si>
  <si>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</si>
  <si>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</si>
  <si>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</si>
  <si>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</si>
  <si>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</si>
  <si>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</si>
  <si>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</si>
  <si>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</si>
  <si>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</si>
  <si>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</si>
  <si>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</si>
  <si>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</si>
  <si>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</si>
  <si>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</si>
  <si>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</si>
  <si>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</si>
  <si>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</si>
  <si>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</si>
  <si>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</si>
  <si>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</si>
  <si>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</si>
  <si>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</si>
  <si>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</si>
  <si>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</si>
  <si>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</si>
  <si>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</si>
  <si>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</si>
  <si>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</si>
  <si>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</si>
  <si>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</si>
  <si>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</si>
  <si>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</si>
  <si>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</si>
  <si>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</si>
  <si>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</si>
  <si>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</si>
  <si>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</si>
  <si>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</si>
  <si>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</si>
  <si>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</si>
  <si>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</si>
  <si>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</si>
  <si>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</si>
  <si>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</si>
  <si>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</si>
  <si>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</si>
  <si>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</si>
  <si>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</si>
  <si>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</si>
  <si>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</si>
  <si>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</si>
  <si>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</si>
  <si>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</si>
  <si>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</si>
  <si>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</si>
  <si>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</si>
  <si>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</si>
  <si>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</si>
  <si>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</si>
  <si>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</si>
  <si>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</si>
  <si>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</si>
  <si>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</si>
  <si>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</si>
  <si>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</si>
  <si>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</si>
  <si>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</si>
  <si>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</si>
  <si>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</si>
  <si>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</si>
  <si>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</si>
  <si>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</si>
  <si>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</si>
  <si>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</si>
  <si>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</si>
  <si>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</si>
  <si>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</si>
  <si>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</si>
  <si>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</si>
  <si>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</si>
  <si>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</si>
  <si>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</si>
  <si>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</si>
  <si>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</si>
  <si>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</si>
  <si>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</si>
  <si>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</si>
  <si>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</si>
  <si>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</si>
  <si>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</si>
  <si>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</si>
  <si>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</si>
  <si>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</si>
  <si>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</si>
  <si>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</si>
  <si>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t>1001:5|1023:3|1026:3|1035:2</t>
  </si>
  <si>
    <t>1002:5|1022:3|1027:3|1036:2</t>
  </si>
  <si>
    <t>1006:5|1015:3|1025:3|1037:2</t>
  </si>
  <si>
    <t>1004:5|1022:3|1029:3|1038:2</t>
  </si>
  <si>
    <t>1007:5|1023:3|1032:3|1039:2</t>
  </si>
  <si>
    <t>1003:5|1020:2|1028:3|1040:2</t>
  </si>
  <si>
    <t>1014:5|1031:3|1036:2</t>
  </si>
  <si>
    <t>1016:4|1018:2|1029:2|1033:3</t>
  </si>
  <si>
    <t>1005:5|1012:3|1034:3|1038:2</t>
  </si>
  <si>
    <t>1009:3|1035:3|1039:2|1040:2</t>
  </si>
  <si>
    <t>1001:5|1008:3|1015:3|1036:2|1038:3</t>
  </si>
  <si>
    <t>1003:4|1007:4|1019:2|1037:2|1040:5</t>
  </si>
  <si>
    <t>1010:3|1018:2|1025:2|1031:2|1039:3</t>
  </si>
  <si>
    <t>1004:5|1013:2|1028:3|1032:2</t>
  </si>
  <si>
    <t>1002:5|1008:2|1017:2|1034:2|1037:3</t>
  </si>
  <si>
    <t>1005:4|1011:3|1018:2|1039:3|1040:2</t>
  </si>
  <si>
    <t>1006:5|1019:2|1031:3|1036:2|1038:2</t>
  </si>
  <si>
    <t>1008:3|1012:3|1020:2|1027:2|1028:3|1035:2</t>
  </si>
  <si>
    <t>1004:3|1005:3|1021:2|1029:2|1032:3</t>
  </si>
  <si>
    <t>1006:3|1007:5|1014:2|1035:3|1037:2</t>
  </si>
  <si>
    <t>1003:5|1020:3|1025:3|1026:3|1033:2</t>
  </si>
  <si>
    <t>1002:5|1017:3|1028:2|1030:3</t>
  </si>
  <si>
    <t>1004:3|1021:3|1030:3|1035:2</t>
  </si>
  <si>
    <t>1010:3|1011:5|1023:3|1031:3|1040:2</t>
  </si>
  <si>
    <t>1012:3|1013:3|1022:3|1036:2|1039:3</t>
  </si>
  <si>
    <t>芯片1_1</t>
  </si>
  <si>
    <t>芯片1_2</t>
  </si>
  <si>
    <t>芯片1_3</t>
  </si>
  <si>
    <t>芯片2_1</t>
  </si>
  <si>
    <t>芯片2_2</t>
  </si>
  <si>
    <t>芯片2_3</t>
  </si>
  <si>
    <t>芯片3_1</t>
  </si>
  <si>
    <t>芯片3_2</t>
  </si>
  <si>
    <t>芯片3_3</t>
  </si>
  <si>
    <t>芯片4_1</t>
  </si>
  <si>
    <t>芯片4_2</t>
  </si>
  <si>
    <t>芯片4_3</t>
  </si>
  <si>
    <t>芯片5_1</t>
  </si>
  <si>
    <t>芯片5_2</t>
  </si>
  <si>
    <t>芯片5_3</t>
  </si>
  <si>
    <t>芯片6_1</t>
  </si>
  <si>
    <t>芯片6_2</t>
  </si>
  <si>
    <t>芯片6_3</t>
  </si>
  <si>
    <t>芯片7_1</t>
  </si>
  <si>
    <t>芯片7_2</t>
  </si>
  <si>
    <t>芯片7_3</t>
  </si>
  <si>
    <t>芯片8_1</t>
  </si>
  <si>
    <t>芯片8_2</t>
  </si>
  <si>
    <t>芯片8_3</t>
  </si>
  <si>
    <t>芯片9_1</t>
  </si>
  <si>
    <t>芯片9_2</t>
  </si>
  <si>
    <t>芯片9_3</t>
  </si>
  <si>
    <t>芯片10_1</t>
  </si>
  <si>
    <t>芯片10_2</t>
  </si>
  <si>
    <t>芯片10_3</t>
  </si>
  <si>
    <t>芯片11_1</t>
  </si>
  <si>
    <t>芯片11_2</t>
  </si>
  <si>
    <t>芯片11_3</t>
  </si>
  <si>
    <t>芯片12_1</t>
  </si>
  <si>
    <t>芯片12_2</t>
  </si>
  <si>
    <t>芯片12_3</t>
  </si>
  <si>
    <t>芯片13_1</t>
  </si>
  <si>
    <t>芯片13_2</t>
  </si>
  <si>
    <t>芯片13_3</t>
  </si>
  <si>
    <t>芯片14_1</t>
  </si>
  <si>
    <t>芯片14_2</t>
  </si>
  <si>
    <t>芯片14_3</t>
  </si>
  <si>
    <t>芯片15_1</t>
  </si>
  <si>
    <t>芯片15_2</t>
  </si>
  <si>
    <t>芯片15_3</t>
  </si>
  <si>
    <t>芯片16_1</t>
  </si>
  <si>
    <t>芯片16_2</t>
  </si>
  <si>
    <t>芯片16_3</t>
  </si>
  <si>
    <t>芯片17_1</t>
  </si>
  <si>
    <t>芯片17_2</t>
  </si>
  <si>
    <t>芯片17_3</t>
  </si>
  <si>
    <t>芯片18_1</t>
  </si>
  <si>
    <t>芯片18_2</t>
  </si>
  <si>
    <t>芯片18_3</t>
  </si>
  <si>
    <t>芯片19_1</t>
  </si>
  <si>
    <t>芯片19_2</t>
  </si>
  <si>
    <t>芯片19_3</t>
  </si>
  <si>
    <t>芯片20_1</t>
  </si>
  <si>
    <t>芯片20_2</t>
  </si>
  <si>
    <t>芯片20_3</t>
  </si>
  <si>
    <t>芯片21_1</t>
  </si>
  <si>
    <t>芯片21_2</t>
  </si>
  <si>
    <t>芯片21_3</t>
  </si>
  <si>
    <t>芯片22_1</t>
  </si>
  <si>
    <t>芯片22_2</t>
  </si>
  <si>
    <t>芯片22_3</t>
  </si>
  <si>
    <t>芯片23_1</t>
  </si>
  <si>
    <t>芯片23_2</t>
  </si>
  <si>
    <t>芯片23_3</t>
  </si>
  <si>
    <t>芯片24_1</t>
  </si>
  <si>
    <t>芯片24_2</t>
  </si>
  <si>
    <t>芯片24_3</t>
  </si>
  <si>
    <t>芯片25_1</t>
  </si>
  <si>
    <t>芯片25_2</t>
  </si>
  <si>
    <t>芯片25_3</t>
  </si>
  <si>
    <t>属性</t>
    <phoneticPr fontId="1" type="noConversion"/>
  </si>
  <si>
    <t>技能点</t>
    <phoneticPr fontId="1" type="noConversion"/>
  </si>
  <si>
    <t>mhp</t>
    <phoneticPr fontId="1" type="noConversion"/>
  </si>
  <si>
    <t>melee</t>
    <phoneticPr fontId="1" type="noConversion"/>
  </si>
  <si>
    <t>speed</t>
    <phoneticPr fontId="1" type="noConversion"/>
  </si>
  <si>
    <t>reloadSpeed</t>
    <phoneticPr fontId="1" type="noConversion"/>
  </si>
  <si>
    <t>motorized</t>
    <phoneticPr fontId="1" type="noConversion"/>
  </si>
  <si>
    <t>芯片编号</t>
    <phoneticPr fontId="1" type="noConversion"/>
  </si>
  <si>
    <t>芯片等级</t>
    <phoneticPr fontId="1" type="noConversion"/>
  </si>
  <si>
    <t>生命值</t>
  </si>
  <si>
    <t>攻击力</t>
  </si>
  <si>
    <t>先攻</t>
  </si>
  <si>
    <t>填装速度</t>
    <phoneticPr fontId="1" type="noConversion"/>
  </si>
  <si>
    <t>机动</t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</si>
  <si>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</si>
  <si>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</si>
  <si>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</si>
  <si>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</si>
  <si>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</si>
  <si>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</si>
  <si>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</si>
  <si>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</si>
  <si>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</si>
  <si>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</si>
  <si>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</si>
  <si>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</si>
  <si>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</si>
  <si>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</si>
  <si>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</si>
  <si>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</si>
  <si>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</si>
  <si>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</si>
  <si>
    <t>死亡标记</t>
  </si>
  <si>
    <t>虫洞</t>
  </si>
  <si>
    <t>偏转涂层</t>
  </si>
  <si>
    <t>伤痛记忆</t>
  </si>
  <si>
    <t>急速填装</t>
  </si>
  <si>
    <t>先发制人</t>
  </si>
  <si>
    <t>反应装甲</t>
  </si>
  <si>
    <t>纳米涂层</t>
  </si>
  <si>
    <t>冲锋</t>
  </si>
  <si>
    <t>实弹增强</t>
  </si>
  <si>
    <t>光线增强</t>
  </si>
  <si>
    <t>斩杀</t>
  </si>
  <si>
    <t>强击光线</t>
  </si>
  <si>
    <t>燃料引爆</t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</si>
  <si>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</si>
  <si>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</si>
  <si>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</si>
  <si>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</si>
  <si>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</si>
  <si>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</si>
  <si>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</si>
  <si>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&lt;color=#FFCB00FF&gt;南瓜+5,急速填装+3,反应装甲+3,生命工程+2&lt;/color&gt;;&lt;color=#FFEFAEFF &gt;攻击力+10,填装速度+5&lt;/color&gt;</t>
  </si>
  <si>
    <t>&lt;color=#FFCB00FF&gt;南瓜+5,急速填装+3,反应装甲+3,生命工程+2&lt;/color&gt;;&lt;color=#FFEFAEFF &gt;攻击力+20,填装速度+10&lt;/color&gt;</t>
  </si>
  <si>
    <t>&lt;color=#FFCB00FF&gt;南瓜+5,急速填装+3,反应装甲+3,生命工程+2&lt;/color&gt;;&lt;color=#FFEFAEFF &gt;攻击力+30,填装速度+15&lt;/color&gt;</t>
  </si>
  <si>
    <t>&lt;color=#FFCB00FF&gt;榴弹+5,伤痛记忆+3,纳米涂层+3,热力追踪+2&lt;/color&gt;;&lt;color=#FFEFAEFF &gt;攻击力+10,填装速度+5&lt;/color&gt;</t>
  </si>
  <si>
    <t>&lt;color=#FFCB00FF&gt;榴弹+5,伤痛记忆+3,纳米涂层+3,热力追踪+2&lt;/color&gt;;&lt;color=#FFEFAEFF &gt;攻击力+20,填装速度+10&lt;/color&gt;</t>
  </si>
  <si>
    <t>&lt;color=#FFCB00FF&gt;榴弹+5,伤痛记忆+3,纳米涂层+3,热力追踪+2&lt;/color&gt;;&lt;color=#FFEFAEFF &gt;攻击力+30,填装速度+15&lt;/color&gt;</t>
  </si>
  <si>
    <t>&lt;color=#FFCB00FF&gt;汽油弹+5,中子弹+3,先发制人+3,没有雾霾+2&lt;/color&gt;;&lt;color=#FFEFAEFF &gt;生命值+40,先攻+2&lt;/color&gt;</t>
  </si>
  <si>
    <t>&lt;color=#FFCB00FF&gt;汽油弹+5,中子弹+3,先发制人+3,没有雾霾+2&lt;/color&gt;;&lt;color=#FFEFAEFF &gt;生命值+80,先攻+4&lt;/color&gt;</t>
  </si>
  <si>
    <t>&lt;color=#FFCB00FF&gt;汽油弹+5,中子弹+3,先发制人+3,没有雾霾+2&lt;/color&gt;;&lt;color=#FFEFAEFF &gt;生命值+120,先攻+5&lt;/color&gt;</t>
  </si>
  <si>
    <t>&lt;color=#FFCB00FF&gt;全弹齐发+5,伤痛记忆+3,实弹增强+3,纳米修复+2&lt;/color&gt;;&lt;color=#FFEFAEFF &gt;生命值+20,攻击力+5,填装速度+5&lt;/color&gt;</t>
  </si>
  <si>
    <t>&lt;color=#FFCB00FF&gt;全弹齐发+5,伤痛记忆+3,实弹增强+3,纳米修复+2&lt;/color&gt;;&lt;color=#FFEFAEFF &gt;生命值+40,攻击力+10,填装速度+10&lt;/color&gt;</t>
  </si>
  <si>
    <t>&lt;color=#FFCB00FF&gt;全弹齐发+5,伤痛记忆+3,实弹增强+3,纳米修复+2&lt;/color&gt;;&lt;color=#FFEFAEFF &gt;生命值+60,攻击力+15,填装速度+15&lt;/color&gt;</t>
  </si>
  <si>
    <t>&lt;color=#FFCB00FF&gt;炫光射线+5,急速填装+3,强击光线+3,灵魂修复+2&lt;/color&gt;;&lt;color=#FFEFAEFF &gt;生命值+10,先攻+2,机动+5&lt;/color&gt;</t>
  </si>
  <si>
    <t>&lt;color=#FFCB00FF&gt;炫光射线+5,急速填装+3,强击光线+3,灵魂修复+2&lt;/color&gt;;&lt;color=#FFEFAEFF &gt;生命值+20,先攻+2,机动+10&lt;/color&gt;</t>
  </si>
  <si>
    <t>&lt;color=#FFCB00FF&gt;炫光射线+5,急速填装+3,强击光线+3,灵魂修复+2&lt;/color&gt;;&lt;color=#FFEFAEFF &gt;生命值+30,先攻+4,机动+15&lt;/color&gt;</t>
  </si>
  <si>
    <t>&lt;color=#FFCB00FF&gt;贯通射线+5,虫洞+2,冲锋+3,晕眩攻击+2&lt;/color&gt;;&lt;color=#FFEFAEFF &gt;生命值+20,攻击力+10&lt;/color&gt;</t>
  </si>
  <si>
    <t>&lt;color=#FFCB00FF&gt;贯通射线+5,虫洞+2,冲锋+3,晕眩攻击+2&lt;/color&gt;;&lt;color=#FFEFAEFF &gt;生命值+40,攻击力+20&lt;/color&gt;</t>
  </si>
  <si>
    <t>&lt;color=#FFCB00FF&gt;贯通射线+5,虫洞+2,冲锋+3,晕眩攻击+2&lt;/color&gt;;&lt;color=#FFEFAEFF &gt;生命值+60,攻击力+30&lt;/color&gt;</t>
  </si>
  <si>
    <t>&lt;color=#FFCB00FF&gt;生命抽取+5,斩杀+3,热力追踪+2&lt;/color&gt;;&lt;color=#FFEFAEFF &gt;填装速度+7,机动+5&lt;/color&gt;</t>
  </si>
  <si>
    <t>&lt;color=#FFCB00FF&gt;生命抽取+5,斩杀+3,热力追踪+2&lt;/color&gt;;&lt;color=#FFEFAEFF &gt;填装速度+15,机动+10&lt;/color&gt;</t>
  </si>
  <si>
    <t>&lt;color=#FFCB00FF&gt;生命抽取+5,斩杀+3,热力追踪+2&lt;/color&gt;;&lt;color=#FFEFAEFF &gt;填装速度+20,机动+15&lt;/color&gt;</t>
  </si>
  <si>
    <t>&lt;color=#FFCB00FF&gt;干扰弹+4,时空转移+2,实弹增强+2,燃料引爆+3&lt;/color&gt;;&lt;color=#FFEFAEFF &gt;生命值+10,攻击力+7,先攻+2&lt;/color&gt;</t>
  </si>
  <si>
    <t>&lt;color=#FFCB00FF&gt;干扰弹+4,时空转移+2,实弹增强+2,燃料引爆+3&lt;/color&gt;;&lt;color=#FFEFAEFF &gt;生命值+20,攻击力+15,先攻+4&lt;/color&gt;</t>
  </si>
  <si>
    <t>&lt;color=#FFCB00FF&gt;干扰弹+4,时空转移+2,实弹增强+2,燃料引爆+3&lt;/color&gt;;&lt;color=#FFEFAEFF &gt;生命值+30,攻击力+20,先攻+5&lt;/color&gt;</t>
  </si>
  <si>
    <t>&lt;color=#FFCB00FF&gt;散射+5,沉默+3,机械工程+3,纳米修复+2&lt;/color&gt;;&lt;color=#FFEFAEFF &gt;生命值+20,攻击力+7,机动+5&lt;/color&gt;</t>
  </si>
  <si>
    <t>&lt;color=#FFCB00FF&gt;散射+5,沉默+3,机械工程+3,纳米修复+2&lt;/color&gt;;&lt;color=#FFEFAEFF &gt;生命值+40,攻击力+15,机动+10&lt;/color&gt;</t>
  </si>
  <si>
    <t>&lt;color=#FFCB00FF&gt;散射+5,沉默+3,机械工程+3,纳米修复+2&lt;/color&gt;;&lt;color=#FFEFAEFF &gt;生命值+60,攻击力+20,机动+15&lt;/color&gt;</t>
  </si>
  <si>
    <t>&lt;color=#FFCB00FF&gt;变形+3,生命工程+3,灵魂修复+2,晕眩攻击+2&lt;/color&gt;;&lt;color=#FFEFAEFF &gt;攻击力+5,先攻+3&lt;/color&gt;</t>
  </si>
  <si>
    <t>&lt;color=#FFCB00FF&gt;变形+3,生命工程+3,灵魂修复+2,晕眩攻击+2&lt;/color&gt;;&lt;color=#FFEFAEFF &gt;攻击力+10,先攻+6&lt;/color&gt;</t>
  </si>
  <si>
    <t>&lt;color=#FFCB00FF&gt;变形+3,生命工程+3,灵魂修复+2,晕眩攻击+2&lt;/color&gt;;&lt;color=#FFEFAEFF &gt;攻击力+15,先攻+9&lt;/color&gt;</t>
  </si>
  <si>
    <t>&lt;color=#FFCB00FF&gt;南瓜+5,精神错乱+3,中子弹+3,热力追踪+2,纳米修复+3&lt;/color&gt;;&lt;color=#FFEFAEFF &gt;生命值+10,填装速度+7,机动+5&lt;/color&gt;</t>
  </si>
  <si>
    <t>&lt;color=#FFCB00FF&gt;南瓜+5,精神错乱+3,中子弹+3,热力追踪+2,纳米修复+3&lt;/color&gt;;&lt;color=#FFEFAEFF &gt;生命值+20,填装速度+15,机动+10&lt;/color&gt;</t>
  </si>
  <si>
    <t>&lt;color=#FFCB00FF&gt;南瓜+5,精神错乱+3,中子弹+3,热力追踪+2,纳米修复+3&lt;/color&gt;;&lt;color=#FFEFAEFF &gt;生命值+30,填装速度+20,机动+15&lt;/color&gt;</t>
  </si>
  <si>
    <t>&lt;color=#FFCB00FF&gt;贯通射线+4,炫光射线+4,死亡标记+2,没有雾霾+2,晕眩攻击+5&lt;/color&gt;;&lt;color=#FFEFAEFF &gt;生命值+10,先攻+2,机动+5&lt;/color&gt;</t>
  </si>
  <si>
    <t>&lt;color=#FFCB00FF&gt;贯通射线+4,炫光射线+4,死亡标记+2,没有雾霾+2,晕眩攻击+5&lt;/color&gt;;&lt;color=#FFEFAEFF &gt;生命值+20,先攻+4,机动+10&lt;/color&gt;</t>
  </si>
  <si>
    <t>&lt;color=#FFCB00FF&gt;贯通射线+4,炫光射线+4,死亡标记+2,没有雾霾+2,晕眩攻击+5&lt;/color&gt;;&lt;color=#FFEFAEFF &gt;生命值+30,先攻+5,机动+15&lt;/color&gt;</t>
  </si>
  <si>
    <t>&lt;color=#FFCB00FF&gt;奴役+3,时空转移+2,先发制人+2,斩杀+2,灵魂修复+3&lt;/color&gt;;&lt;color=#FFEFAEFF &gt;生命值+20,攻击力+10&lt;/color&gt;</t>
  </si>
  <si>
    <t>&lt;color=#FFCB00FF&gt;奴役+3,时空转移+2,先发制人+2,斩杀+2,灵魂修复+3&lt;/color&gt;;&lt;color=#FFEFAEFF &gt;生命值+40,攻击力+20&lt;/color&gt;</t>
  </si>
  <si>
    <t>&lt;color=#FFCB00FF&gt;奴役+3,时空转移+2,先发制人+2,斩杀+2,灵魂修复+3&lt;/color&gt;;&lt;color=#FFEFAEFF &gt;生命值+60,攻击力+30&lt;/color&gt;</t>
  </si>
  <si>
    <t>&lt;color=#FFCB00FF&gt;全弹齐发+5,镜花水月+2,冲锋+3,强击光线+2&lt;/color&gt;;&lt;color=#FFEFAEFF &gt;攻击力+10,先攻+2&lt;/color&gt;</t>
  </si>
  <si>
    <t>&lt;color=#FFCB00FF&gt;全弹齐发+5,镜花水月+2,冲锋+3,强击光线+2&lt;/color&gt;;&lt;color=#FFEFAEFF &gt;攻击力+20,先攻+4&lt;/color&gt;</t>
  </si>
  <si>
    <t>&lt;color=#FFCB00FF&gt;全弹齐发+5,镜花水月+2,冲锋+3,强击光线+2&lt;/color&gt;;&lt;color=#FFEFAEFF &gt;攻击力+30,先攻+5&lt;/color&gt;</t>
  </si>
  <si>
    <t>&lt;color=#FFCB00FF&gt;榴弹+5,精神错乱+2,神威+2,机械工程+2,没有雾霾+3&lt;/color&gt;;&lt;color=#FFEFAEFF &gt;生命值+10,填装速度+7,机动+5&lt;/color&gt;</t>
  </si>
  <si>
    <t>&lt;color=#FFCB00FF&gt;榴弹+5,精神错乱+2,神威+2,机械工程+2,没有雾霾+3&lt;/color&gt;;&lt;color=#FFEFAEFF &gt;生命值+20,填装速度+15,机动+10&lt;/color&gt;</t>
  </si>
  <si>
    <t>&lt;color=#FFCB00FF&gt;榴弹+5,精神错乱+2,神威+2,机械工程+2,没有雾霾+3&lt;/color&gt;;&lt;color=#FFEFAEFF &gt;生命值+30,填装速度+20,机动+15&lt;/color&gt;</t>
  </si>
  <si>
    <t>&lt;color=#FFCB00FF&gt;散射+4,催眠+3,时空转移+2,灵魂修复+3,晕眩攻击+2&lt;/color&gt;;&lt;color=#FFEFAEFF &gt;生命值+10,攻击力+7,机动+5&lt;/color&gt;</t>
  </si>
  <si>
    <t>&lt;color=#FFCB00FF&gt;散射+4,催眠+3,时空转移+2,灵魂修复+3,晕眩攻击+2&lt;/color&gt;;&lt;color=#FFEFAEFF &gt;生命值+20,攻击力+15,机动+10&lt;/color&gt;</t>
  </si>
  <si>
    <t>&lt;color=#FFCB00FF&gt;散射+4,催眠+3,时空转移+2,灵魂修复+3,晕眩攻击+2&lt;/color&gt;;&lt;color=#FFEFAEFF &gt;生命值+30,攻击力+20,机动+15&lt;/color&gt;</t>
  </si>
  <si>
    <t>&lt;color=#FFCB00FF&gt;汽油弹+5,死亡标记+2,斩杀+3,热力追踪+2,纳米修复+2&lt;/color&gt;;&lt;color=#FFEFAEFF &gt;攻击力+7,填装速度+5,机动+5&lt;/color&gt;</t>
  </si>
  <si>
    <t>&lt;color=#FFCB00FF&gt;汽油弹+5,死亡标记+2,斩杀+3,热力追踪+2,纳米修复+2&lt;/color&gt;;&lt;color=#FFEFAEFF &gt;攻击力+15,填装速度+10,机动+10&lt;/color&gt;</t>
  </si>
  <si>
    <t>&lt;color=#FFCB00FF&gt;汽油弹+5,死亡标记+2,斩杀+3,热力追踪+2,纳米修复+2&lt;/color&gt;;&lt;color=#FFEFAEFF &gt;攻击力+20,填装速度+15,机动+15&lt;/color&gt;</t>
  </si>
  <si>
    <t>&lt;color=#FFCB00FF&gt;精神错乱+3,沉默+3,虫洞+2,纳米涂层+2,冲锋+3,生命工程+2&lt;/color&gt;;&lt;color=#FFEFAEFF &gt;生命值+40,先攻+2&lt;/color&gt;</t>
  </si>
  <si>
    <t>&lt;color=#FFCB00FF&gt;精神错乱+3,沉默+3,虫洞+2,纳米涂层+2,冲锋+3,生命工程+2&lt;/color&gt;;&lt;color=#FFEFAEFF &gt;生命值+80,先攻+4&lt;/color&gt;</t>
  </si>
  <si>
    <t>&lt;color=#FFCB00FF&gt;精神错乱+3,沉默+3,虫洞+2,纳米涂层+2,冲锋+3,生命工程+2&lt;/color&gt;;&lt;color=#FFEFAEFF &gt;生命值+120,先攻+5&lt;/color&gt;</t>
  </si>
  <si>
    <t>&lt;color=#FFCB00FF&gt;全弹齐发+3,散射+3,偏转涂层+2,实弹增强+2,强击光线+3&lt;/color&gt;;&lt;color=#FFEFAEFF &gt;攻击力+7,先攻+2,机动+5&lt;/color&gt;</t>
  </si>
  <si>
    <t>&lt;color=#FFCB00FF&gt;全弹齐发+3,散射+3,偏转涂层+2,实弹增强+2,强击光线+3&lt;/color&gt;;&lt;color=#FFEFAEFF &gt;攻击力+15,先攻+4,机动+10&lt;/color&gt;</t>
  </si>
  <si>
    <t>&lt;color=#FFCB00FF&gt;全弹齐发+3,散射+3,偏转涂层+2,实弹增强+2,强击光线+3&lt;/color&gt;;&lt;color=#FFEFAEFF &gt;攻击力+20,先攻+5,机动+15&lt;/color&gt;</t>
  </si>
  <si>
    <t>&lt;color=#FFCB00FF&gt;汽油弹+3,炫光射线+5,生命抽取+2,生命工程+3,没有雾霾+2&lt;/color&gt;;&lt;color=#FFEFAEFF &gt;生命值+10,攻击力+7,填装速度+5&lt;/color&gt;</t>
  </si>
  <si>
    <t>&lt;color=#FFCB00FF&gt;汽油弹+3,炫光射线+5,生命抽取+2,生命工程+3,没有雾霾+2&lt;/color&gt;;&lt;color=#FFEFAEFF &gt;生命值+20,攻击力+15,填装速度+10&lt;/color&gt;</t>
  </si>
  <si>
    <t>&lt;color=#FFCB00FF&gt;汽油弹+3,炫光射线+5,生命抽取+2,生命工程+3,没有雾霾+2&lt;/color&gt;;&lt;color=#FFEFAEFF &gt;生命值+30,攻击力+20,填装速度+15&lt;/color&gt;</t>
  </si>
  <si>
    <t>&lt;color=#FFCB00FF&gt;贯通射线+5,虫洞+3,先发制人+3,反应装甲+3,燃料引爆+2&lt;/color&gt;;&lt;color=#FFEFAEFF &gt;生命值+40,机动+5&lt;/color&gt;</t>
  </si>
  <si>
    <t>&lt;color=#FFCB00FF&gt;贯通射线+5,虫洞+3,先发制人+3,反应装甲+3,燃料引爆+2&lt;/color&gt;;&lt;color=#FFEFAEFF &gt;生命值+80,机动+10&lt;/color&gt;</t>
  </si>
  <si>
    <t>&lt;color=#FFCB00FF&gt;贯通射线+5,虫洞+3,先发制人+3,反应装甲+3,燃料引爆+2&lt;/color&gt;;&lt;color=#FFEFAEFF &gt;生命值+120,机动+15&lt;/color&gt;</t>
  </si>
  <si>
    <t>&lt;color=#FFCB00FF&gt;榴弹+5,神威+3,冲锋+2,光线增强+3&lt;/color&gt;;&lt;color=#FFEFAEFF &gt;攻击力+10,先攻+2&lt;/color&gt;</t>
  </si>
  <si>
    <t>&lt;color=#FFCB00FF&gt;榴弹+5,神威+3,冲锋+2,光线增强+3&lt;/color&gt;;&lt;color=#FFEFAEFF &gt;攻击力+20,先攻+4&lt;/color&gt;</t>
  </si>
  <si>
    <t>&lt;color=#FFCB00FF&gt;榴弹+5,神威+3,冲锋+2,光线增强+3&lt;/color&gt;;&lt;color=#FFEFAEFF &gt;攻击力+30,先攻+5&lt;/color&gt;</t>
  </si>
  <si>
    <t>&lt;color=#FFCB00FF&gt;全弹齐发+3,偏转涂层+3,光线增强+3,生命工程+2&lt;/color&gt;;&lt;color=#FFEFAEFF &gt;生命值+10,填装速度+5,机动+5&lt;/color&gt;</t>
  </si>
  <si>
    <t>&lt;color=#FFCB00FF&gt;全弹齐发+3,偏转涂层+3,光线增强+3,生命工程+2&lt;/color&gt;;&lt;color=#FFEFAEFF &gt;生命值+20,填装速度+10,机动+10&lt;/color&gt;</t>
  </si>
  <si>
    <t>&lt;color=#FFCB00FF&gt;全弹齐发+3,偏转涂层+3,光线增强+3,生命工程+2&lt;/color&gt;;&lt;color=#FFEFAEFF &gt;生命值+30,填装速度+15,机动+15&lt;/color&gt;</t>
  </si>
  <si>
    <t>&lt;color=#FFCB00FF&gt;奴役+3,催眠+5,急速填装+3,斩杀+3,晕眩攻击+2&lt;/color&gt;;&lt;color=#FFEFAEFF &gt;生命值+10,攻击力+7,机动+5&lt;/color&gt;</t>
  </si>
  <si>
    <t>&lt;color=#FFCB00FF&gt;奴役+3,催眠+5,急速填装+3,斩杀+3,晕眩攻击+2&lt;/color&gt;;&lt;color=#FFEFAEFF &gt;生命值+20,攻击力+15,机动+10&lt;/color&gt;</t>
  </si>
  <si>
    <t>&lt;color=#FFCB00FF&gt;奴役+3,催眠+5,急速填装+3,斩杀+3,晕眩攻击+2&lt;/color&gt;;&lt;color=#FFEFAEFF &gt;生命值+30,攻击力+20,机动+15&lt;/color&gt;</t>
  </si>
  <si>
    <t>&lt;color=#FFCB00FF&gt;沉默+3,镜花水月+3,伤痛记忆+3,热力追踪+2,灵魂修复+3&lt;/color&gt;;&lt;color=#FFEFAEFF &gt;生命值+10,攻击力+7,填装速度+5&lt;/color&gt;</t>
  </si>
  <si>
    <t>&lt;color=#FFCB00FF&gt;沉默+3,镜花水月+3,伤痛记忆+3,热力追踪+2,灵魂修复+3&lt;/color&gt;;&lt;color=#FFEFAEFF &gt;生命值+20,攻击力+15,填装速度+10&lt;/color&gt;</t>
  </si>
  <si>
    <t>&lt;color=#FFCB00FF&gt;沉默+3,镜花水月+3,伤痛记忆+3,热力追踪+2,灵魂修复+3&lt;/color&gt;;&lt;color=#FFEFAEFF &gt;生命值+30,攻击力+20,填装速度+15&lt;/color&gt;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</si>
</sst>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2" fillId="0" borderId="0" xfId="0" applyFont="1"/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15" borderId="8" xfId="0" applyFont="1" applyFill="1" applyBorder="1" applyAlignment="1">
      <alignment horizontal="center" vertical="center"/>
    </xf>
    <xf numFmtId="0" fontId="2" fillId="16" borderId="8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center" vertical="center"/>
    </xf>
    <xf numFmtId="0" fontId="2" fillId="16" borderId="8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13" fillId="15" borderId="8" xfId="0" applyFont="1" applyFill="1" applyBorder="1" applyAlignment="1">
      <alignment horizontal="center" vertical="center"/>
    </xf>
    <xf numFmtId="0" fontId="13" fillId="16" borderId="8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0" borderId="0" xfId="0" applyFont="1" applyFill="1" applyAlignment="1">
      <alignment vertical="center"/>
    </xf>
    <xf numFmtId="0" fontId="2" fillId="21" borderId="0" xfId="0" applyFont="1" applyFill="1" applyAlignment="1">
      <alignment vertical="center"/>
    </xf>
    <xf numFmtId="0" fontId="2" fillId="22" borderId="0" xfId="0" applyFont="1" applyFill="1" applyAlignment="1">
      <alignment vertical="center"/>
    </xf>
    <xf numFmtId="0" fontId="2" fillId="15" borderId="8" xfId="0" applyFont="1" applyFill="1" applyBorder="1"/>
    <xf numFmtId="0" fontId="2" fillId="16" borderId="8" xfId="0" applyFont="1" applyFill="1" applyBorder="1"/>
    <xf numFmtId="0" fontId="2" fillId="17" borderId="8" xfId="0" applyFont="1" applyFill="1" applyBorder="1"/>
    <xf numFmtId="0" fontId="2" fillId="18" borderId="6" xfId="0" applyFont="1" applyFill="1" applyBorder="1" applyAlignment="1">
      <alignment horizontal="right" vertical="center"/>
    </xf>
  </cellXfs>
  <cellStyles count="2">
    <cellStyle name="常规" xfId="0" builtinId="0"/>
    <cellStyle name="超链接" xfId="1" builtinId="8"/>
  </cellStyles>
  <dxfs count="182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78" totalsRowShown="0" headerRowDxfId="181" dataDxfId="180">
  <autoFilter ref="A3:L78"/>
  <tableColumns count="12">
    <tableColumn id="1" name="id" dataDxfId="179"/>
    <tableColumn id="2" name="name" dataDxfId="178">
      <calculatedColumnFormula>O4</calculatedColumnFormula>
    </tableColumn>
    <tableColumn id="3" name="descrip" dataDxfId="1"/>
    <tableColumn id="9" name="color" dataDxfId="177">
      <calculatedColumnFormula>[1]!颜色转换成内嵌函数()</calculatedColumnFormula>
    </tableColumn>
    <tableColumn id="4" name="level" dataDxfId="176"/>
    <tableColumn id="10" name="upgradeId" dataDxfId="175">
      <calculatedColumnFormula>IF(表1[[#This Row],[level]]+1=E5,A5,"")</calculatedColumnFormula>
    </tableColumn>
    <tableColumn id="7" name="stuffCost" dataDxfId="174"/>
    <tableColumn id="6" name="power" dataDxfId="173">
      <calculatedColumnFormula>ROUND(S4,0)&amp; "~" &amp; ROUND(T4,0)</calculatedColumnFormula>
    </tableColumn>
    <tableColumn id="5" name="skillPoint" dataDxfId="172"/>
    <tableColumn id="11" name="chipGridReqire" dataDxfId="171"/>
    <tableColumn id="12" name="propertyAddition" dataDxfId="170"/>
    <tableColumn id="8" name="model" dataDxfId="16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02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4" sqref="C4:C78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74.7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87</v>
      </c>
      <c r="B1" s="51" t="s">
        <v>81</v>
      </c>
      <c r="C1" s="14" t="s">
        <v>135</v>
      </c>
      <c r="D1" s="51" t="s">
        <v>46</v>
      </c>
      <c r="E1" s="51" t="s">
        <v>88</v>
      </c>
      <c r="F1" s="51" t="s">
        <v>89</v>
      </c>
      <c r="G1" s="51" t="s">
        <v>90</v>
      </c>
      <c r="H1" s="14" t="s">
        <v>92</v>
      </c>
      <c r="I1" s="14" t="s">
        <v>93</v>
      </c>
      <c r="J1" s="51" t="s">
        <v>82</v>
      </c>
      <c r="K1" s="51" t="s">
        <v>91</v>
      </c>
      <c r="L1" s="14" t="s">
        <v>83</v>
      </c>
      <c r="M1" s="6"/>
      <c r="N1" s="6"/>
      <c r="O1" s="53" t="s">
        <v>19</v>
      </c>
      <c r="P1" s="53" t="s">
        <v>21</v>
      </c>
      <c r="Q1" s="53" t="s">
        <v>5</v>
      </c>
      <c r="R1" s="53" t="s">
        <v>11</v>
      </c>
      <c r="S1" s="53" t="s">
        <v>12</v>
      </c>
      <c r="T1" s="53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132</v>
      </c>
      <c r="B2" s="16" t="s">
        <v>1</v>
      </c>
      <c r="C2" s="16" t="s">
        <v>134</v>
      </c>
      <c r="D2" s="16" t="s">
        <v>15</v>
      </c>
      <c r="E2" s="16" t="s">
        <v>3</v>
      </c>
      <c r="F2" s="16" t="s">
        <v>17</v>
      </c>
      <c r="G2" s="16" t="s">
        <v>85</v>
      </c>
      <c r="H2" s="16" t="s">
        <v>47</v>
      </c>
      <c r="I2" s="16" t="s">
        <v>76</v>
      </c>
      <c r="J2" s="22" t="s">
        <v>59</v>
      </c>
      <c r="K2" s="16" t="s">
        <v>84</v>
      </c>
      <c r="L2" s="16" t="s">
        <v>14</v>
      </c>
      <c r="M2" s="6"/>
      <c r="N2" s="6"/>
      <c r="O2" s="54"/>
      <c r="P2" s="54"/>
      <c r="Q2" s="54"/>
      <c r="R2" s="54"/>
      <c r="S2" s="54"/>
      <c r="T2" s="54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67</v>
      </c>
      <c r="D3" s="17" t="s">
        <v>16</v>
      </c>
      <c r="E3" s="17" t="s">
        <v>4</v>
      </c>
      <c r="F3" s="17" t="s">
        <v>18</v>
      </c>
      <c r="G3" s="17" t="s">
        <v>86</v>
      </c>
      <c r="H3" s="17" t="s">
        <v>66</v>
      </c>
      <c r="I3" s="17" t="s">
        <v>20</v>
      </c>
      <c r="J3" s="23" t="s">
        <v>60</v>
      </c>
      <c r="K3" s="17" t="s">
        <v>80</v>
      </c>
      <c r="L3" s="17" t="s">
        <v>10</v>
      </c>
      <c r="M3" s="7"/>
      <c r="N3" s="7"/>
      <c r="O3" s="55"/>
      <c r="P3" s="55"/>
      <c r="Q3" s="55"/>
      <c r="R3" s="55"/>
      <c r="S3" s="55"/>
      <c r="T3" s="55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100011</v>
      </c>
      <c r="B4" s="15" t="s">
        <v>236</v>
      </c>
      <c r="C4" s="52" t="s">
        <v>364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100012</v>
      </c>
      <c r="G4" s="15" t="s">
        <v>133</v>
      </c>
      <c r="H4" s="15" t="str">
        <f t="shared" ref="H4:H53" si="0">ROUND(S4,0)&amp; "~" &amp; ROUND(T4,0)</f>
        <v>5~8</v>
      </c>
      <c r="I4" s="16" t="s">
        <v>211</v>
      </c>
      <c r="J4" s="16" t="s">
        <v>51</v>
      </c>
      <c r="K4" s="15" t="s">
        <v>136</v>
      </c>
      <c r="L4" s="15" t="s">
        <v>98</v>
      </c>
      <c r="M4" s="7"/>
      <c r="N4" s="7"/>
      <c r="O4" s="8"/>
      <c r="P4" s="8" t="s">
        <v>32</v>
      </c>
      <c r="Q4" s="8">
        <v>3</v>
      </c>
      <c r="R4" s="9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100012</v>
      </c>
      <c r="B5" s="15" t="s">
        <v>237</v>
      </c>
      <c r="C5" s="52" t="s">
        <v>365</v>
      </c>
      <c r="D5" s="44" t="str">
        <f>[1]!颜色转换成内嵌函数()</f>
        <v>※color(181,79,79)[]</v>
      </c>
      <c r="E5" s="15">
        <f t="shared" ref="E5:E6" si="1">IF(O5=O4,E4+1,1)</f>
        <v>2</v>
      </c>
      <c r="F5" s="15">
        <f>IF(表1[[#This Row],[level]]+1=E6,A6,"")</f>
        <v>100013</v>
      </c>
      <c r="G5" s="15" t="s">
        <v>133</v>
      </c>
      <c r="H5" s="15" t="str">
        <f t="shared" si="0"/>
        <v>8~12</v>
      </c>
      <c r="I5" s="16" t="s">
        <v>211</v>
      </c>
      <c r="J5" s="16" t="s">
        <v>51</v>
      </c>
      <c r="K5" s="15" t="s">
        <v>137</v>
      </c>
      <c r="L5" s="15" t="s">
        <v>98</v>
      </c>
      <c r="M5" s="7"/>
      <c r="N5" s="7"/>
      <c r="O5" s="8"/>
      <c r="P5" s="8" t="s">
        <v>32</v>
      </c>
      <c r="Q5" s="8">
        <v>4</v>
      </c>
      <c r="R5" s="8">
        <f>R4+Q5/2</f>
        <v>7</v>
      </c>
      <c r="S5" s="8">
        <f>S4+Q4/2+1</f>
        <v>7.5</v>
      </c>
      <c r="T5" s="8">
        <f t="shared" ref="T5:T9" si="2">Q5+S5</f>
        <v>11.5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100013</v>
      </c>
      <c r="B6" s="15" t="s">
        <v>238</v>
      </c>
      <c r="C6" s="52" t="s">
        <v>366</v>
      </c>
      <c r="D6" s="44" t="str">
        <f>[1]!颜色转换成内嵌函数()</f>
        <v>※color(181,79,79)[]</v>
      </c>
      <c r="E6" s="15">
        <f t="shared" si="1"/>
        <v>3</v>
      </c>
      <c r="F6" s="15" t="str">
        <f>IF(表1[[#This Row],[level]]+1=E7,A7,"")</f>
        <v/>
      </c>
      <c r="G6" s="15" t="s">
        <v>133</v>
      </c>
      <c r="H6" s="15" t="str">
        <f t="shared" si="0"/>
        <v>11~16</v>
      </c>
      <c r="I6" s="16" t="s">
        <v>211</v>
      </c>
      <c r="J6" s="16" t="s">
        <v>51</v>
      </c>
      <c r="K6" s="15" t="s">
        <v>138</v>
      </c>
      <c r="L6" s="15" t="s">
        <v>98</v>
      </c>
      <c r="M6" s="7"/>
      <c r="N6" s="7"/>
      <c r="O6" s="8"/>
      <c r="P6" s="8" t="s">
        <v>32</v>
      </c>
      <c r="Q6" s="8">
        <v>5</v>
      </c>
      <c r="R6" s="8">
        <f t="shared" ref="R6" si="3">R5+Q6/2</f>
        <v>9.5</v>
      </c>
      <c r="S6" s="8">
        <f t="shared" ref="S6" si="4">S5+Q5/2+1</f>
        <v>10.5</v>
      </c>
      <c r="T6" s="8">
        <f t="shared" si="2"/>
        <v>15.5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f>A4+10</f>
        <v>100021</v>
      </c>
      <c r="B7" s="15" t="s">
        <v>239</v>
      </c>
      <c r="C7" s="52" t="s">
        <v>367</v>
      </c>
      <c r="D7" s="45" t="str">
        <f>[1]!颜色转换成内嵌函数()</f>
        <v>※color(181,79,162)[]</v>
      </c>
      <c r="E7" s="15">
        <f>E4</f>
        <v>1</v>
      </c>
      <c r="F7" s="15">
        <f>IF(表1[[#This Row],[level]]+1=E8,A8,"")</f>
        <v>100022</v>
      </c>
      <c r="G7" s="15" t="s">
        <v>133</v>
      </c>
      <c r="H7" s="15" t="str">
        <f t="shared" si="0"/>
        <v>5~8</v>
      </c>
      <c r="I7" s="16" t="s">
        <v>212</v>
      </c>
      <c r="J7" s="16" t="s">
        <v>51</v>
      </c>
      <c r="K7" s="15" t="s">
        <v>139</v>
      </c>
      <c r="L7" s="15" t="s">
        <v>100</v>
      </c>
      <c r="M7" s="7"/>
      <c r="N7" s="7"/>
      <c r="O7" s="8"/>
      <c r="P7" s="8" t="s">
        <v>33</v>
      </c>
      <c r="Q7" s="8">
        <f t="shared" ref="Q7:Q27" si="5">Q4</f>
        <v>3</v>
      </c>
      <c r="R7" s="9">
        <v>5</v>
      </c>
      <c r="S7" s="8">
        <f>R7</f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f t="shared" ref="A8:A71" si="6">A5+10</f>
        <v>100022</v>
      </c>
      <c r="B8" s="15" t="s">
        <v>240</v>
      </c>
      <c r="C8" s="52" t="s">
        <v>368</v>
      </c>
      <c r="D8" s="45" t="str">
        <f>[1]!颜色转换成内嵌函数()</f>
        <v>※color(181,79,162)[]</v>
      </c>
      <c r="E8" s="15">
        <f t="shared" ref="E8:E71" si="7">E5</f>
        <v>2</v>
      </c>
      <c r="F8" s="15">
        <f>IF(表1[[#This Row],[level]]+1=E9,A9,"")</f>
        <v>100023</v>
      </c>
      <c r="G8" s="15" t="s">
        <v>133</v>
      </c>
      <c r="H8" s="15" t="str">
        <f t="shared" si="0"/>
        <v>8~12</v>
      </c>
      <c r="I8" s="16" t="s">
        <v>212</v>
      </c>
      <c r="J8" s="16" t="s">
        <v>51</v>
      </c>
      <c r="K8" s="15" t="s">
        <v>140</v>
      </c>
      <c r="L8" s="15" t="s">
        <v>101</v>
      </c>
      <c r="M8" s="7"/>
      <c r="N8" s="7"/>
      <c r="O8" s="8"/>
      <c r="P8" s="8" t="s">
        <v>33</v>
      </c>
      <c r="Q8" s="8">
        <f t="shared" si="5"/>
        <v>4</v>
      </c>
      <c r="R8" s="8">
        <f>R7+Q8/2</f>
        <v>7</v>
      </c>
      <c r="S8" s="8">
        <f>S7+Q7/2+1</f>
        <v>7.5</v>
      </c>
      <c r="T8" s="8">
        <f t="shared" si="2"/>
        <v>11.5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f t="shared" si="6"/>
        <v>100023</v>
      </c>
      <c r="B9" s="15" t="s">
        <v>241</v>
      </c>
      <c r="C9" s="52" t="s">
        <v>369</v>
      </c>
      <c r="D9" s="45" t="str">
        <f>[1]!颜色转换成内嵌函数()</f>
        <v>※color(181,79,162)[]</v>
      </c>
      <c r="E9" s="15">
        <f t="shared" si="7"/>
        <v>3</v>
      </c>
      <c r="F9" s="15" t="str">
        <f>IF(表1[[#This Row],[level]]+1=E10,A10,"")</f>
        <v/>
      </c>
      <c r="G9" s="15" t="s">
        <v>133</v>
      </c>
      <c r="H9" s="15" t="str">
        <f t="shared" si="0"/>
        <v>11~16</v>
      </c>
      <c r="I9" s="16" t="s">
        <v>212</v>
      </c>
      <c r="J9" s="16" t="s">
        <v>51</v>
      </c>
      <c r="K9" s="15" t="s">
        <v>141</v>
      </c>
      <c r="L9" s="15" t="s">
        <v>101</v>
      </c>
      <c r="M9" s="7"/>
      <c r="N9" s="7"/>
      <c r="O9" s="8"/>
      <c r="P9" s="8" t="s">
        <v>33</v>
      </c>
      <c r="Q9" s="8">
        <f t="shared" si="5"/>
        <v>5</v>
      </c>
      <c r="R9" s="8">
        <f t="shared" ref="R9" si="8">R8+Q9/2</f>
        <v>9.5</v>
      </c>
      <c r="S9" s="8">
        <f t="shared" ref="S9" si="9">S8+Q8/2+1</f>
        <v>10.5</v>
      </c>
      <c r="T9" s="8">
        <f t="shared" si="2"/>
        <v>15.5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f t="shared" si="6"/>
        <v>100031</v>
      </c>
      <c r="B10" s="15" t="s">
        <v>242</v>
      </c>
      <c r="C10" s="52" t="s">
        <v>370</v>
      </c>
      <c r="D10" s="46" t="str">
        <f>[1]!颜色转换成内嵌函数()</f>
        <v>※color(195,213,89)[]</v>
      </c>
      <c r="E10" s="15">
        <f t="shared" si="7"/>
        <v>1</v>
      </c>
      <c r="F10" s="15">
        <f>IF(表1[[#This Row],[level]]+1=E11,A11,"")</f>
        <v>100032</v>
      </c>
      <c r="G10" s="15" t="s">
        <v>133</v>
      </c>
      <c r="H10" s="15" t="str">
        <f t="shared" si="0"/>
        <v>5~8</v>
      </c>
      <c r="I10" s="16" t="s">
        <v>213</v>
      </c>
      <c r="J10" s="16" t="s">
        <v>51</v>
      </c>
      <c r="K10" s="15" t="s">
        <v>142</v>
      </c>
      <c r="L10" s="15" t="s">
        <v>103</v>
      </c>
      <c r="M10" s="7"/>
      <c r="N10" s="7"/>
      <c r="O10" s="8"/>
      <c r="P10" s="8" t="s">
        <v>34</v>
      </c>
      <c r="Q10" s="8">
        <f t="shared" si="5"/>
        <v>3</v>
      </c>
      <c r="R10" s="9">
        <v>5</v>
      </c>
      <c r="S10" s="8">
        <f>R10</f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f t="shared" si="6"/>
        <v>100032</v>
      </c>
      <c r="B11" s="15" t="s">
        <v>243</v>
      </c>
      <c r="C11" s="52" t="s">
        <v>371</v>
      </c>
      <c r="D11" s="46" t="str">
        <f>[1]!颜色转换成内嵌函数()</f>
        <v>※color(195,213,89)[]</v>
      </c>
      <c r="E11" s="15">
        <f t="shared" si="7"/>
        <v>2</v>
      </c>
      <c r="F11" s="15">
        <f>IF(表1[[#This Row],[level]]+1=E12,A12,"")</f>
        <v>100033</v>
      </c>
      <c r="G11" s="15" t="s">
        <v>133</v>
      </c>
      <c r="H11" s="15" t="str">
        <f t="shared" si="0"/>
        <v>8~12</v>
      </c>
      <c r="I11" s="16" t="s">
        <v>213</v>
      </c>
      <c r="J11" s="16" t="s">
        <v>51</v>
      </c>
      <c r="K11" s="15" t="s">
        <v>143</v>
      </c>
      <c r="L11" s="15" t="s">
        <v>103</v>
      </c>
      <c r="M11" s="7"/>
      <c r="N11" s="7"/>
      <c r="O11" s="8"/>
      <c r="P11" s="8" t="s">
        <v>34</v>
      </c>
      <c r="Q11" s="8">
        <f t="shared" si="5"/>
        <v>4</v>
      </c>
      <c r="R11" s="8">
        <f>R10+Q11/2</f>
        <v>7</v>
      </c>
      <c r="S11" s="8">
        <f>S10+Q10/2+1</f>
        <v>7.5</v>
      </c>
      <c r="T11" s="8">
        <f t="shared" ref="T11:T15" si="10">Q11+S11</f>
        <v>11.5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f t="shared" si="6"/>
        <v>100033</v>
      </c>
      <c r="B12" s="15" t="s">
        <v>244</v>
      </c>
      <c r="C12" s="52" t="s">
        <v>372</v>
      </c>
      <c r="D12" s="46" t="str">
        <f>[1]!颜色转换成内嵌函数()</f>
        <v>※color(195,213,89)[]</v>
      </c>
      <c r="E12" s="15">
        <f t="shared" si="7"/>
        <v>3</v>
      </c>
      <c r="F12" s="15" t="str">
        <f>IF(表1[[#This Row],[level]]+1=E13,A13,"")</f>
        <v/>
      </c>
      <c r="G12" s="15" t="s">
        <v>133</v>
      </c>
      <c r="H12" s="15" t="str">
        <f t="shared" si="0"/>
        <v>11~16</v>
      </c>
      <c r="I12" s="16" t="s">
        <v>213</v>
      </c>
      <c r="J12" s="16" t="s">
        <v>51</v>
      </c>
      <c r="K12" s="15" t="s">
        <v>144</v>
      </c>
      <c r="L12" s="15" t="s">
        <v>104</v>
      </c>
      <c r="M12" s="7"/>
      <c r="N12" s="7"/>
      <c r="O12" s="8"/>
      <c r="P12" s="8" t="s">
        <v>34</v>
      </c>
      <c r="Q12" s="8">
        <f t="shared" si="5"/>
        <v>5</v>
      </c>
      <c r="R12" s="8">
        <f t="shared" ref="R12" si="11">R11+Q12/2</f>
        <v>9.5</v>
      </c>
      <c r="S12" s="8">
        <f t="shared" ref="S12" si="12">S11+Q11/2+1</f>
        <v>10.5</v>
      </c>
      <c r="T12" s="8">
        <f t="shared" si="10"/>
        <v>15.5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f t="shared" si="6"/>
        <v>100041</v>
      </c>
      <c r="B13" s="15" t="s">
        <v>245</v>
      </c>
      <c r="C13" s="52" t="s">
        <v>373</v>
      </c>
      <c r="D13" s="47" t="str">
        <f>[1]!颜色转换成内嵌函数()</f>
        <v>※color(88,214,202)[]</v>
      </c>
      <c r="E13" s="15">
        <f t="shared" si="7"/>
        <v>1</v>
      </c>
      <c r="F13" s="15">
        <f>IF(表1[[#This Row],[level]]+1=E14,A14,"")</f>
        <v>100042</v>
      </c>
      <c r="G13" s="15" t="s">
        <v>133</v>
      </c>
      <c r="H13" s="15" t="str">
        <f t="shared" si="0"/>
        <v>5~8</v>
      </c>
      <c r="I13" s="16" t="s">
        <v>214</v>
      </c>
      <c r="J13" s="16" t="s">
        <v>51</v>
      </c>
      <c r="K13" s="15" t="s">
        <v>145</v>
      </c>
      <c r="L13" s="15" t="s">
        <v>105</v>
      </c>
      <c r="M13" s="7"/>
      <c r="N13" s="7"/>
      <c r="O13" s="8"/>
      <c r="P13" s="8" t="s">
        <v>35</v>
      </c>
      <c r="Q13" s="8">
        <f t="shared" si="5"/>
        <v>3</v>
      </c>
      <c r="R13" s="9">
        <v>5</v>
      </c>
      <c r="S13" s="8">
        <f>R13</f>
        <v>5</v>
      </c>
      <c r="T13" s="8">
        <f t="shared" si="10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f t="shared" si="6"/>
        <v>100042</v>
      </c>
      <c r="B14" s="15" t="s">
        <v>246</v>
      </c>
      <c r="C14" s="52" t="s">
        <v>374</v>
      </c>
      <c r="D14" s="47" t="str">
        <f>[1]!颜色转换成内嵌函数()</f>
        <v>※color(88,214,202)[]</v>
      </c>
      <c r="E14" s="15">
        <f t="shared" si="7"/>
        <v>2</v>
      </c>
      <c r="F14" s="15">
        <f>IF(表1[[#This Row],[level]]+1=E15,A15,"")</f>
        <v>100043</v>
      </c>
      <c r="G14" s="15" t="s">
        <v>133</v>
      </c>
      <c r="H14" s="15" t="str">
        <f t="shared" si="0"/>
        <v>8~12</v>
      </c>
      <c r="I14" s="16" t="s">
        <v>214</v>
      </c>
      <c r="J14" s="16" t="s">
        <v>51</v>
      </c>
      <c r="K14" s="15" t="s">
        <v>146</v>
      </c>
      <c r="L14" s="15" t="s">
        <v>105</v>
      </c>
      <c r="M14" s="7"/>
      <c r="N14" s="7"/>
      <c r="O14" s="8"/>
      <c r="P14" s="8" t="s">
        <v>35</v>
      </c>
      <c r="Q14" s="8">
        <f t="shared" si="5"/>
        <v>4</v>
      </c>
      <c r="R14" s="8">
        <f>R13+Q14/2</f>
        <v>7</v>
      </c>
      <c r="S14" s="8">
        <f>S13+Q13/2+1</f>
        <v>7.5</v>
      </c>
      <c r="T14" s="8">
        <f t="shared" si="10"/>
        <v>11.5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f t="shared" si="6"/>
        <v>100043</v>
      </c>
      <c r="B15" s="15" t="s">
        <v>247</v>
      </c>
      <c r="C15" s="52" t="s">
        <v>375</v>
      </c>
      <c r="D15" s="47" t="str">
        <f>[1]!颜色转换成内嵌函数()</f>
        <v>※color(88,214,202)[]</v>
      </c>
      <c r="E15" s="15">
        <f t="shared" si="7"/>
        <v>3</v>
      </c>
      <c r="F15" s="15" t="str">
        <f>IF(表1[[#This Row],[level]]+1=E16,A16,"")</f>
        <v/>
      </c>
      <c r="G15" s="15" t="s">
        <v>133</v>
      </c>
      <c r="H15" s="15" t="str">
        <f t="shared" si="0"/>
        <v>11~16</v>
      </c>
      <c r="I15" s="16" t="s">
        <v>214</v>
      </c>
      <c r="J15" s="16" t="s">
        <v>51</v>
      </c>
      <c r="K15" s="15" t="s">
        <v>147</v>
      </c>
      <c r="L15" s="15" t="s">
        <v>106</v>
      </c>
      <c r="M15" s="7"/>
      <c r="N15" s="7"/>
      <c r="O15" s="8"/>
      <c r="P15" s="8" t="s">
        <v>36</v>
      </c>
      <c r="Q15" s="8">
        <f t="shared" si="5"/>
        <v>5</v>
      </c>
      <c r="R15" s="8">
        <f t="shared" ref="R15" si="13">R14+Q15/2</f>
        <v>9.5</v>
      </c>
      <c r="S15" s="8">
        <f t="shared" ref="S15" si="14">S14+Q14/2+1</f>
        <v>10.5</v>
      </c>
      <c r="T15" s="8">
        <f t="shared" si="10"/>
        <v>15.5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f t="shared" si="6"/>
        <v>100051</v>
      </c>
      <c r="B16" s="15" t="s">
        <v>248</v>
      </c>
      <c r="C16" s="52" t="s">
        <v>376</v>
      </c>
      <c r="D16" s="48" t="str">
        <f>[1]!颜色转换成内嵌函数()</f>
        <v>※color(93,152,171)[]</v>
      </c>
      <c r="E16" s="15">
        <f t="shared" si="7"/>
        <v>1</v>
      </c>
      <c r="F16" s="15">
        <f>IF(表1[[#This Row],[level]]+1=E17,A17,"")</f>
        <v>100052</v>
      </c>
      <c r="G16" s="15" t="s">
        <v>133</v>
      </c>
      <c r="H16" s="15" t="str">
        <f t="shared" si="0"/>
        <v>5~8</v>
      </c>
      <c r="I16" s="16" t="s">
        <v>215</v>
      </c>
      <c r="J16" s="16" t="s">
        <v>51</v>
      </c>
      <c r="K16" s="15" t="s">
        <v>148</v>
      </c>
      <c r="L16" s="15" t="s">
        <v>107</v>
      </c>
      <c r="M16" s="7"/>
      <c r="N16" s="7"/>
      <c r="O16" s="8"/>
      <c r="P16" s="8" t="s">
        <v>37</v>
      </c>
      <c r="Q16" s="8">
        <f t="shared" si="5"/>
        <v>3</v>
      </c>
      <c r="R16" s="9">
        <v>5</v>
      </c>
      <c r="S16" s="8">
        <f>R16</f>
        <v>5</v>
      </c>
      <c r="T16" s="8">
        <f>Q16+S16</f>
        <v>8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f t="shared" si="6"/>
        <v>100052</v>
      </c>
      <c r="B17" s="15" t="s">
        <v>249</v>
      </c>
      <c r="C17" s="52" t="s">
        <v>377</v>
      </c>
      <c r="D17" s="48" t="str">
        <f>[1]!颜色转换成内嵌函数()</f>
        <v>※color(93,152,171)[]</v>
      </c>
      <c r="E17" s="15">
        <f t="shared" si="7"/>
        <v>2</v>
      </c>
      <c r="F17" s="15">
        <f>IF(表1[[#This Row],[level]]+1=E18,A18,"")</f>
        <v>100053</v>
      </c>
      <c r="G17" s="15" t="s">
        <v>133</v>
      </c>
      <c r="H17" s="15" t="str">
        <f t="shared" si="0"/>
        <v>8~12</v>
      </c>
      <c r="I17" s="16" t="s">
        <v>215</v>
      </c>
      <c r="J17" s="16" t="s">
        <v>51</v>
      </c>
      <c r="K17" s="15" t="s">
        <v>149</v>
      </c>
      <c r="L17" s="15" t="s">
        <v>107</v>
      </c>
      <c r="M17" s="7"/>
      <c r="N17" s="7"/>
      <c r="O17" s="8"/>
      <c r="P17" s="8" t="s">
        <v>38</v>
      </c>
      <c r="Q17" s="8">
        <f t="shared" si="5"/>
        <v>4</v>
      </c>
      <c r="R17" s="8">
        <f>R16+Q17/2</f>
        <v>7</v>
      </c>
      <c r="S17" s="8">
        <f>S16+Q16/2+1</f>
        <v>7.5</v>
      </c>
      <c r="T17" s="8">
        <f t="shared" ref="T17:T21" si="15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f t="shared" si="6"/>
        <v>100053</v>
      </c>
      <c r="B18" s="15" t="s">
        <v>250</v>
      </c>
      <c r="C18" s="52" t="s">
        <v>378</v>
      </c>
      <c r="D18" s="48" t="str">
        <f>[1]!颜色转换成内嵌函数()</f>
        <v>※color(93,152,171)[]</v>
      </c>
      <c r="E18" s="15">
        <f t="shared" si="7"/>
        <v>3</v>
      </c>
      <c r="F18" s="15" t="str">
        <f>IF(表1[[#This Row],[level]]+1=E19,A19,"")</f>
        <v/>
      </c>
      <c r="G18" s="15" t="s">
        <v>133</v>
      </c>
      <c r="H18" s="15" t="str">
        <f t="shared" si="0"/>
        <v>11~16</v>
      </c>
      <c r="I18" s="16" t="s">
        <v>215</v>
      </c>
      <c r="J18" s="16" t="s">
        <v>51</v>
      </c>
      <c r="K18" s="15" t="s">
        <v>150</v>
      </c>
      <c r="L18" s="15" t="s">
        <v>107</v>
      </c>
      <c r="M18" s="7"/>
      <c r="N18" s="7"/>
      <c r="O18" s="8"/>
      <c r="P18" s="8" t="s">
        <v>37</v>
      </c>
      <c r="Q18" s="8">
        <f t="shared" si="5"/>
        <v>5</v>
      </c>
      <c r="R18" s="8">
        <f t="shared" ref="R18" si="16">R17+Q18/2</f>
        <v>9.5</v>
      </c>
      <c r="S18" s="8">
        <f t="shared" ref="S18" si="17">S17+Q17/2+1</f>
        <v>10.5</v>
      </c>
      <c r="T18" s="8">
        <f t="shared" si="15"/>
        <v>15.5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f t="shared" si="6"/>
        <v>100061</v>
      </c>
      <c r="B19" s="15" t="s">
        <v>251</v>
      </c>
      <c r="C19" s="52" t="s">
        <v>379</v>
      </c>
      <c r="D19" s="49" t="str">
        <f>[1]!颜色转换成内嵌函数()</f>
        <v>※color(186,122,36)[]</v>
      </c>
      <c r="E19" s="15">
        <f t="shared" si="7"/>
        <v>1</v>
      </c>
      <c r="F19" s="15">
        <f>IF(表1[[#This Row],[level]]+1=E20,A20,"")</f>
        <v>100062</v>
      </c>
      <c r="G19" s="15" t="s">
        <v>133</v>
      </c>
      <c r="H19" s="15" t="str">
        <f t="shared" si="0"/>
        <v>5~8</v>
      </c>
      <c r="I19" s="16" t="s">
        <v>216</v>
      </c>
      <c r="J19" s="16" t="s">
        <v>51</v>
      </c>
      <c r="K19" s="15" t="s">
        <v>151</v>
      </c>
      <c r="L19" s="15" t="s">
        <v>108</v>
      </c>
      <c r="M19" s="7"/>
      <c r="N19" s="7"/>
      <c r="O19" s="8"/>
      <c r="P19" s="8" t="s">
        <v>39</v>
      </c>
      <c r="Q19" s="8">
        <f t="shared" si="5"/>
        <v>3</v>
      </c>
      <c r="R19" s="9">
        <v>5</v>
      </c>
      <c r="S19" s="8">
        <f>R19</f>
        <v>5</v>
      </c>
      <c r="T19" s="8">
        <f t="shared" si="15"/>
        <v>8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f t="shared" si="6"/>
        <v>100062</v>
      </c>
      <c r="B20" s="15" t="s">
        <v>252</v>
      </c>
      <c r="C20" s="52" t="s">
        <v>380</v>
      </c>
      <c r="D20" s="49" t="str">
        <f>[1]!颜色转换成内嵌函数()</f>
        <v>※color(186,122,36)[]</v>
      </c>
      <c r="E20" s="15">
        <f t="shared" si="7"/>
        <v>2</v>
      </c>
      <c r="F20" s="15">
        <f>IF(表1[[#This Row],[level]]+1=E21,A21,"")</f>
        <v>100063</v>
      </c>
      <c r="G20" s="15" t="s">
        <v>133</v>
      </c>
      <c r="H20" s="15" t="str">
        <f t="shared" si="0"/>
        <v>8~12</v>
      </c>
      <c r="I20" s="16" t="s">
        <v>216</v>
      </c>
      <c r="J20" s="16" t="s">
        <v>51</v>
      </c>
      <c r="K20" s="15" t="s">
        <v>152</v>
      </c>
      <c r="L20" s="15" t="s">
        <v>108</v>
      </c>
      <c r="M20" s="7"/>
      <c r="N20" s="7"/>
      <c r="O20" s="8"/>
      <c r="P20" s="8" t="s">
        <v>40</v>
      </c>
      <c r="Q20" s="8">
        <f t="shared" si="5"/>
        <v>4</v>
      </c>
      <c r="R20" s="8">
        <f>R19+Q20/2</f>
        <v>7</v>
      </c>
      <c r="S20" s="8">
        <f>S19+Q19/2+1</f>
        <v>7.5</v>
      </c>
      <c r="T20" s="8">
        <f t="shared" si="15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f t="shared" si="6"/>
        <v>100063</v>
      </c>
      <c r="B21" s="15" t="s">
        <v>253</v>
      </c>
      <c r="C21" s="52" t="s">
        <v>381</v>
      </c>
      <c r="D21" s="49" t="str">
        <f>[1]!颜色转换成内嵌函数()</f>
        <v>※color(186,122,36)[]</v>
      </c>
      <c r="E21" s="15">
        <f t="shared" si="7"/>
        <v>3</v>
      </c>
      <c r="F21" s="15" t="str">
        <f>IF(表1[[#This Row],[level]]+1=E22,A22,"")</f>
        <v/>
      </c>
      <c r="G21" s="15" t="s">
        <v>133</v>
      </c>
      <c r="H21" s="15" t="str">
        <f t="shared" si="0"/>
        <v>11~16</v>
      </c>
      <c r="I21" s="16" t="s">
        <v>216</v>
      </c>
      <c r="J21" s="16" t="s">
        <v>51</v>
      </c>
      <c r="K21" s="15" t="s">
        <v>153</v>
      </c>
      <c r="L21" s="15" t="s">
        <v>108</v>
      </c>
      <c r="M21" s="7"/>
      <c r="N21" s="7"/>
      <c r="O21" s="8"/>
      <c r="P21" s="8" t="s">
        <v>41</v>
      </c>
      <c r="Q21" s="8">
        <f t="shared" si="5"/>
        <v>5</v>
      </c>
      <c r="R21" s="8">
        <f t="shared" ref="R21" si="18">R20+Q21/2</f>
        <v>9.5</v>
      </c>
      <c r="S21" s="8">
        <f t="shared" ref="S21" si="19">S20+Q20/2+1</f>
        <v>10.5</v>
      </c>
      <c r="T21" s="8">
        <f t="shared" si="15"/>
        <v>15.5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f t="shared" si="6"/>
        <v>100071</v>
      </c>
      <c r="B22" s="15" t="s">
        <v>254</v>
      </c>
      <c r="C22" s="52" t="s">
        <v>382</v>
      </c>
      <c r="D22" s="44" t="str">
        <f>[1]!颜色转换成内嵌函数()</f>
        <v>※color(181,79,79)[]</v>
      </c>
      <c r="E22" s="15">
        <f t="shared" si="7"/>
        <v>1</v>
      </c>
      <c r="F22" s="15">
        <f>IF(表1[[#This Row],[level]]+1=E23,A23,"")</f>
        <v>100072</v>
      </c>
      <c r="G22" s="15" t="s">
        <v>133</v>
      </c>
      <c r="H22" s="15" t="str">
        <f t="shared" si="0"/>
        <v>5~8</v>
      </c>
      <c r="I22" s="16" t="s">
        <v>217</v>
      </c>
      <c r="J22" s="16" t="s">
        <v>51</v>
      </c>
      <c r="K22" s="15" t="s">
        <v>154</v>
      </c>
      <c r="L22" s="15" t="s">
        <v>110</v>
      </c>
      <c r="M22" s="7"/>
      <c r="N22" s="7"/>
      <c r="O22" s="8"/>
      <c r="P22" s="8" t="s">
        <v>42</v>
      </c>
      <c r="Q22" s="8">
        <f t="shared" si="5"/>
        <v>3</v>
      </c>
      <c r="R22" s="9">
        <v>5</v>
      </c>
      <c r="S22" s="8">
        <f>R22</f>
        <v>5</v>
      </c>
      <c r="T22" s="8">
        <f>Q22+S22</f>
        <v>8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f t="shared" si="6"/>
        <v>100072</v>
      </c>
      <c r="B23" s="15" t="s">
        <v>255</v>
      </c>
      <c r="C23" s="52" t="s">
        <v>383</v>
      </c>
      <c r="D23" s="44" t="str">
        <f>[1]!颜色转换成内嵌函数()</f>
        <v>※color(181,79,79)[]</v>
      </c>
      <c r="E23" s="15">
        <f t="shared" si="7"/>
        <v>2</v>
      </c>
      <c r="F23" s="15">
        <f>IF(表1[[#This Row],[level]]+1=E24,A24,"")</f>
        <v>100073</v>
      </c>
      <c r="G23" s="15" t="s">
        <v>133</v>
      </c>
      <c r="H23" s="15" t="str">
        <f t="shared" si="0"/>
        <v>8~12</v>
      </c>
      <c r="I23" s="16" t="s">
        <v>217</v>
      </c>
      <c r="J23" s="16" t="s">
        <v>51</v>
      </c>
      <c r="K23" s="15" t="s">
        <v>155</v>
      </c>
      <c r="L23" s="15" t="s">
        <v>110</v>
      </c>
      <c r="M23" s="7"/>
      <c r="N23" s="7"/>
      <c r="O23" s="8"/>
      <c r="P23" s="8" t="s">
        <v>43</v>
      </c>
      <c r="Q23" s="8">
        <f t="shared" si="5"/>
        <v>4</v>
      </c>
      <c r="R23" s="8">
        <f>R22+Q23/2</f>
        <v>7</v>
      </c>
      <c r="S23" s="8">
        <f>S22+Q22/2+1</f>
        <v>7.5</v>
      </c>
      <c r="T23" s="8">
        <f t="shared" ref="T23:T27" si="20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f t="shared" si="6"/>
        <v>100073</v>
      </c>
      <c r="B24" s="15" t="s">
        <v>256</v>
      </c>
      <c r="C24" s="52" t="s">
        <v>384</v>
      </c>
      <c r="D24" s="44" t="str">
        <f>[1]!颜色转换成内嵌函数()</f>
        <v>※color(181,79,79)[]</v>
      </c>
      <c r="E24" s="15">
        <f t="shared" si="7"/>
        <v>3</v>
      </c>
      <c r="F24" s="15" t="str">
        <f>IF(表1[[#This Row],[level]]+1=E25,A25,"")</f>
        <v/>
      </c>
      <c r="G24" s="15" t="s">
        <v>133</v>
      </c>
      <c r="H24" s="15" t="str">
        <f t="shared" si="0"/>
        <v>11~16</v>
      </c>
      <c r="I24" s="16" t="s">
        <v>217</v>
      </c>
      <c r="J24" s="16" t="s">
        <v>51</v>
      </c>
      <c r="K24" s="15" t="s">
        <v>156</v>
      </c>
      <c r="L24" s="15" t="s">
        <v>111</v>
      </c>
      <c r="M24" s="7"/>
      <c r="N24" s="7"/>
      <c r="O24" s="8"/>
      <c r="P24" s="8" t="s">
        <v>44</v>
      </c>
      <c r="Q24" s="8">
        <f t="shared" si="5"/>
        <v>5</v>
      </c>
      <c r="R24" s="8">
        <f t="shared" ref="R24" si="21">R23+Q24/2</f>
        <v>9.5</v>
      </c>
      <c r="S24" s="8">
        <f t="shared" ref="S24" si="22">S23+Q23/2+1</f>
        <v>10.5</v>
      </c>
      <c r="T24" s="8">
        <f t="shared" si="20"/>
        <v>15.5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f t="shared" si="6"/>
        <v>100081</v>
      </c>
      <c r="B25" s="15" t="s">
        <v>257</v>
      </c>
      <c r="C25" s="52" t="s">
        <v>385</v>
      </c>
      <c r="D25" s="45" t="str">
        <f>[1]!颜色转换成内嵌函数()</f>
        <v>※color(181,79,162)[]</v>
      </c>
      <c r="E25" s="15">
        <f t="shared" si="7"/>
        <v>1</v>
      </c>
      <c r="F25" s="15">
        <f>IF(表1[[#This Row],[level]]+1=E26,A26,"")</f>
        <v>100082</v>
      </c>
      <c r="G25" s="15" t="s">
        <v>133</v>
      </c>
      <c r="H25" s="15" t="str">
        <f t="shared" si="0"/>
        <v>5~8</v>
      </c>
      <c r="I25" s="16" t="s">
        <v>218</v>
      </c>
      <c r="J25" s="16" t="s">
        <v>51</v>
      </c>
      <c r="K25" s="15" t="s">
        <v>157</v>
      </c>
      <c r="L25" s="15" t="s">
        <v>112</v>
      </c>
      <c r="M25" s="7"/>
      <c r="N25" s="7"/>
      <c r="O25" s="8"/>
      <c r="P25" s="8" t="s">
        <v>45</v>
      </c>
      <c r="Q25" s="8">
        <f t="shared" si="5"/>
        <v>3</v>
      </c>
      <c r="R25" s="9">
        <v>5</v>
      </c>
      <c r="S25" s="8">
        <f>R25</f>
        <v>5</v>
      </c>
      <c r="T25" s="8">
        <f t="shared" si="20"/>
        <v>8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f t="shared" si="6"/>
        <v>100082</v>
      </c>
      <c r="B26" s="15" t="s">
        <v>258</v>
      </c>
      <c r="C26" s="52" t="s">
        <v>386</v>
      </c>
      <c r="D26" s="45" t="str">
        <f>[1]!颜色转换成内嵌函数()</f>
        <v>※color(181,79,162)[]</v>
      </c>
      <c r="E26" s="15">
        <f t="shared" si="7"/>
        <v>2</v>
      </c>
      <c r="F26" s="15">
        <f>IF(表1[[#This Row],[level]]+1=E27,A27,"")</f>
        <v>100083</v>
      </c>
      <c r="G26" s="15" t="s">
        <v>133</v>
      </c>
      <c r="H26" s="15" t="str">
        <f t="shared" si="0"/>
        <v>8~12</v>
      </c>
      <c r="I26" s="16" t="s">
        <v>218</v>
      </c>
      <c r="J26" s="16" t="s">
        <v>51</v>
      </c>
      <c r="K26" s="15" t="s">
        <v>158</v>
      </c>
      <c r="L26" s="15" t="s">
        <v>113</v>
      </c>
      <c r="M26" s="7"/>
      <c r="N26" s="7"/>
      <c r="O26" s="8"/>
      <c r="P26" s="8" t="s">
        <v>45</v>
      </c>
      <c r="Q26" s="8">
        <f t="shared" si="5"/>
        <v>4</v>
      </c>
      <c r="R26" s="8">
        <f>R25+Q26/2</f>
        <v>7</v>
      </c>
      <c r="S26" s="8">
        <f>S25+Q25/2+1</f>
        <v>7.5</v>
      </c>
      <c r="T26" s="8">
        <f t="shared" si="20"/>
        <v>11.5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f t="shared" si="6"/>
        <v>100083</v>
      </c>
      <c r="B27" s="15" t="s">
        <v>259</v>
      </c>
      <c r="C27" s="52" t="s">
        <v>387</v>
      </c>
      <c r="D27" s="45" t="str">
        <f>[1]!颜色转换成内嵌函数()</f>
        <v>※color(181,79,162)[]</v>
      </c>
      <c r="E27" s="15">
        <f t="shared" si="7"/>
        <v>3</v>
      </c>
      <c r="F27" s="15" t="str">
        <f>IF(表1[[#This Row],[level]]+1=E28,A28,"")</f>
        <v/>
      </c>
      <c r="G27" s="15" t="s">
        <v>133</v>
      </c>
      <c r="H27" s="15" t="str">
        <f t="shared" si="0"/>
        <v>11~16</v>
      </c>
      <c r="I27" s="16" t="s">
        <v>218</v>
      </c>
      <c r="J27" s="16" t="s">
        <v>51</v>
      </c>
      <c r="K27" s="15" t="s">
        <v>159</v>
      </c>
      <c r="L27" s="15" t="s">
        <v>112</v>
      </c>
      <c r="M27" s="7"/>
      <c r="N27" s="7"/>
      <c r="O27" s="8"/>
      <c r="P27" s="8" t="s">
        <v>45</v>
      </c>
      <c r="Q27" s="8">
        <f t="shared" si="5"/>
        <v>5</v>
      </c>
      <c r="R27" s="8">
        <f t="shared" ref="R27" si="23">R26+Q27/2</f>
        <v>9.5</v>
      </c>
      <c r="S27" s="8">
        <f t="shared" ref="S27" si="24">S26+Q26/2+1</f>
        <v>10.5</v>
      </c>
      <c r="T27" s="8">
        <f t="shared" si="20"/>
        <v>15.5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f t="shared" si="6"/>
        <v>100091</v>
      </c>
      <c r="B28" s="15" t="s">
        <v>260</v>
      </c>
      <c r="C28" s="52" t="s">
        <v>388</v>
      </c>
      <c r="D28" s="46" t="str">
        <f>[1]!颜色转换成内嵌函数()</f>
        <v>※color(195,213,89)[]</v>
      </c>
      <c r="E28" s="15">
        <f t="shared" si="7"/>
        <v>1</v>
      </c>
      <c r="F28" s="15">
        <f>IF(表1[[#This Row],[level]]+1=E29,A29,"")</f>
        <v>100092</v>
      </c>
      <c r="G28" s="15" t="s">
        <v>133</v>
      </c>
      <c r="H28" s="15" t="str">
        <f t="shared" si="0"/>
        <v>5~8</v>
      </c>
      <c r="I28" s="16" t="s">
        <v>219</v>
      </c>
      <c r="J28" s="16" t="s">
        <v>51</v>
      </c>
      <c r="K28" s="15" t="s">
        <v>160</v>
      </c>
      <c r="L28" s="15" t="s">
        <v>112</v>
      </c>
      <c r="M28" s="7"/>
      <c r="N28" s="7"/>
      <c r="O28" s="8"/>
      <c r="P28" s="8" t="s">
        <v>29</v>
      </c>
      <c r="Q28" s="8">
        <v>3</v>
      </c>
      <c r="R28" s="9">
        <v>5</v>
      </c>
      <c r="S28" s="8">
        <f>R28</f>
        <v>5</v>
      </c>
      <c r="T28" s="8">
        <f>Q28+S28</f>
        <v>8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f t="shared" si="6"/>
        <v>100092</v>
      </c>
      <c r="B29" s="15" t="s">
        <v>261</v>
      </c>
      <c r="C29" s="52" t="s">
        <v>389</v>
      </c>
      <c r="D29" s="46" t="str">
        <f>[1]!颜色转换成内嵌函数()</f>
        <v>※color(195,213,89)[]</v>
      </c>
      <c r="E29" s="15">
        <f t="shared" si="7"/>
        <v>2</v>
      </c>
      <c r="F29" s="15">
        <f>IF(表1[[#This Row],[level]]+1=E30,A30,"")</f>
        <v>100093</v>
      </c>
      <c r="G29" s="15" t="s">
        <v>133</v>
      </c>
      <c r="H29" s="15" t="str">
        <f t="shared" si="0"/>
        <v>8~12</v>
      </c>
      <c r="I29" s="16" t="s">
        <v>219</v>
      </c>
      <c r="J29" s="16" t="s">
        <v>51</v>
      </c>
      <c r="K29" s="15" t="s">
        <v>161</v>
      </c>
      <c r="L29" s="15" t="s">
        <v>114</v>
      </c>
      <c r="M29" s="7"/>
      <c r="N29" s="7"/>
      <c r="O29" s="8"/>
      <c r="P29" s="8" t="s">
        <v>29</v>
      </c>
      <c r="Q29" s="8">
        <v>4</v>
      </c>
      <c r="R29" s="8">
        <f>R28+Q29/2</f>
        <v>7</v>
      </c>
      <c r="S29" s="8">
        <f>S28+Q28/2+1</f>
        <v>7.5</v>
      </c>
      <c r="T29" s="8">
        <f t="shared" ref="T29:T33" si="25">Q29+S29</f>
        <v>11.5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f t="shared" si="6"/>
        <v>100093</v>
      </c>
      <c r="B30" s="15" t="s">
        <v>262</v>
      </c>
      <c r="C30" s="52" t="s">
        <v>390</v>
      </c>
      <c r="D30" s="46" t="str">
        <f>[1]!颜色转换成内嵌函数()</f>
        <v>※color(195,213,89)[]</v>
      </c>
      <c r="E30" s="15">
        <f t="shared" si="7"/>
        <v>3</v>
      </c>
      <c r="F30" s="15" t="str">
        <f>IF(表1[[#This Row],[level]]+1=E31,A31,"")</f>
        <v/>
      </c>
      <c r="G30" s="15" t="s">
        <v>133</v>
      </c>
      <c r="H30" s="15" t="str">
        <f t="shared" si="0"/>
        <v>11~16</v>
      </c>
      <c r="I30" s="16" t="s">
        <v>219</v>
      </c>
      <c r="J30" s="16" t="s">
        <v>51</v>
      </c>
      <c r="K30" s="15" t="s">
        <v>162</v>
      </c>
      <c r="L30" s="15" t="s">
        <v>115</v>
      </c>
      <c r="M30" s="7"/>
      <c r="N30" s="7"/>
      <c r="O30" s="8"/>
      <c r="P30" s="8" t="s">
        <v>29</v>
      </c>
      <c r="Q30" s="8">
        <v>5</v>
      </c>
      <c r="R30" s="8">
        <f t="shared" ref="R30" si="26">R29+Q30/2</f>
        <v>9.5</v>
      </c>
      <c r="S30" s="8">
        <f t="shared" ref="S30" si="27">S29+Q29/2+1</f>
        <v>10.5</v>
      </c>
      <c r="T30" s="8">
        <f t="shared" si="25"/>
        <v>15.5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f t="shared" si="6"/>
        <v>100101</v>
      </c>
      <c r="B31" s="15" t="s">
        <v>263</v>
      </c>
      <c r="C31" s="52" t="s">
        <v>391</v>
      </c>
      <c r="D31" s="47" t="str">
        <f>[1]!颜色转换成内嵌函数()</f>
        <v>※color(88,214,202)[]</v>
      </c>
      <c r="E31" s="15">
        <f t="shared" si="7"/>
        <v>1</v>
      </c>
      <c r="F31" s="15">
        <f>IF(表1[[#This Row],[level]]+1=E32,A32,"")</f>
        <v>100102</v>
      </c>
      <c r="G31" s="15" t="s">
        <v>133</v>
      </c>
      <c r="H31" s="15" t="str">
        <f t="shared" si="0"/>
        <v>5~8</v>
      </c>
      <c r="I31" s="16" t="s">
        <v>220</v>
      </c>
      <c r="J31" s="16" t="s">
        <v>51</v>
      </c>
      <c r="K31" s="15" t="s">
        <v>163</v>
      </c>
      <c r="L31" s="15" t="s">
        <v>115</v>
      </c>
      <c r="M31" s="7"/>
      <c r="N31" s="7"/>
      <c r="O31" s="8"/>
      <c r="P31" s="8" t="s">
        <v>22</v>
      </c>
      <c r="Q31" s="8">
        <f t="shared" ref="Q31:Q51" si="28">Q28</f>
        <v>3</v>
      </c>
      <c r="R31" s="9">
        <v>5</v>
      </c>
      <c r="S31" s="8">
        <f>R31</f>
        <v>5</v>
      </c>
      <c r="T31" s="8">
        <f t="shared" si="25"/>
        <v>8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f t="shared" si="6"/>
        <v>100102</v>
      </c>
      <c r="B32" s="15" t="s">
        <v>264</v>
      </c>
      <c r="C32" s="52" t="s">
        <v>392</v>
      </c>
      <c r="D32" s="47" t="str">
        <f>[1]!颜色转换成内嵌函数()</f>
        <v>※color(88,214,202)[]</v>
      </c>
      <c r="E32" s="15">
        <f t="shared" si="7"/>
        <v>2</v>
      </c>
      <c r="F32" s="15">
        <f>IF(表1[[#This Row],[level]]+1=E33,A33,"")</f>
        <v>100103</v>
      </c>
      <c r="G32" s="15" t="s">
        <v>133</v>
      </c>
      <c r="H32" s="15" t="str">
        <f t="shared" si="0"/>
        <v>8~12</v>
      </c>
      <c r="I32" s="16" t="s">
        <v>220</v>
      </c>
      <c r="J32" s="16" t="s">
        <v>51</v>
      </c>
      <c r="K32" s="15" t="s">
        <v>164</v>
      </c>
      <c r="L32" s="15" t="s">
        <v>115</v>
      </c>
      <c r="M32" s="7"/>
      <c r="N32" s="7"/>
      <c r="O32" s="8"/>
      <c r="P32" s="8" t="s">
        <v>22</v>
      </c>
      <c r="Q32" s="8">
        <f t="shared" si="28"/>
        <v>4</v>
      </c>
      <c r="R32" s="8">
        <f>R31+Q32/2</f>
        <v>7</v>
      </c>
      <c r="S32" s="8">
        <f>S31+Q31/2+1</f>
        <v>7.5</v>
      </c>
      <c r="T32" s="8">
        <f t="shared" si="25"/>
        <v>11.5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f t="shared" si="6"/>
        <v>100103</v>
      </c>
      <c r="B33" s="15" t="s">
        <v>265</v>
      </c>
      <c r="C33" s="52" t="s">
        <v>393</v>
      </c>
      <c r="D33" s="47" t="str">
        <f>[1]!颜色转换成内嵌函数()</f>
        <v>※color(88,214,202)[]</v>
      </c>
      <c r="E33" s="15">
        <f t="shared" si="7"/>
        <v>3</v>
      </c>
      <c r="F33" s="15" t="str">
        <f>IF(表1[[#This Row],[level]]+1=E34,A34,"")</f>
        <v/>
      </c>
      <c r="G33" s="15" t="s">
        <v>133</v>
      </c>
      <c r="H33" s="15" t="str">
        <f t="shared" si="0"/>
        <v>11~16</v>
      </c>
      <c r="I33" s="16" t="s">
        <v>220</v>
      </c>
      <c r="J33" s="16" t="s">
        <v>51</v>
      </c>
      <c r="K33" s="15" t="s">
        <v>165</v>
      </c>
      <c r="L33" s="15" t="s">
        <v>116</v>
      </c>
      <c r="M33" s="7"/>
      <c r="N33" s="7"/>
      <c r="O33" s="8"/>
      <c r="P33" s="8" t="s">
        <v>22</v>
      </c>
      <c r="Q33" s="8">
        <f t="shared" si="28"/>
        <v>5</v>
      </c>
      <c r="R33" s="8">
        <f t="shared" ref="R33" si="29">R32+Q33/2</f>
        <v>9.5</v>
      </c>
      <c r="S33" s="8">
        <f t="shared" ref="S33" si="30">S32+Q32/2+1</f>
        <v>10.5</v>
      </c>
      <c r="T33" s="8">
        <f t="shared" si="25"/>
        <v>15.5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f t="shared" si="6"/>
        <v>100111</v>
      </c>
      <c r="B34" s="15" t="s">
        <v>266</v>
      </c>
      <c r="C34" s="52" t="s">
        <v>394</v>
      </c>
      <c r="D34" s="48" t="str">
        <f>[1]!颜色转换成内嵌函数()</f>
        <v>※color(93,152,171)[]</v>
      </c>
      <c r="E34" s="15">
        <f t="shared" si="7"/>
        <v>1</v>
      </c>
      <c r="F34" s="15">
        <f>IF(表1[[#This Row],[level]]+1=E35,A35,"")</f>
        <v>100112</v>
      </c>
      <c r="G34" s="15" t="s">
        <v>133</v>
      </c>
      <c r="H34" s="15" t="str">
        <f t="shared" si="0"/>
        <v>5~8</v>
      </c>
      <c r="I34" s="16" t="s">
        <v>221</v>
      </c>
      <c r="J34" s="16" t="s">
        <v>51</v>
      </c>
      <c r="K34" s="15" t="s">
        <v>166</v>
      </c>
      <c r="L34" s="15" t="s">
        <v>117</v>
      </c>
      <c r="M34" s="7"/>
      <c r="N34" s="7"/>
      <c r="O34" s="8"/>
      <c r="P34" s="8" t="s">
        <v>23</v>
      </c>
      <c r="Q34" s="8">
        <f t="shared" si="28"/>
        <v>3</v>
      </c>
      <c r="R34" s="9">
        <v>5</v>
      </c>
      <c r="S34" s="8">
        <f>R34</f>
        <v>5</v>
      </c>
      <c r="T34" s="8">
        <f>Q34+S34</f>
        <v>8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f t="shared" si="6"/>
        <v>100112</v>
      </c>
      <c r="B35" s="15" t="s">
        <v>267</v>
      </c>
      <c r="C35" s="52" t="s">
        <v>395</v>
      </c>
      <c r="D35" s="48" t="str">
        <f>[1]!颜色转换成内嵌函数()</f>
        <v>※color(93,152,171)[]</v>
      </c>
      <c r="E35" s="15">
        <f t="shared" si="7"/>
        <v>2</v>
      </c>
      <c r="F35" s="15">
        <f>IF(表1[[#This Row],[level]]+1=E36,A36,"")</f>
        <v>100113</v>
      </c>
      <c r="G35" s="15" t="s">
        <v>133</v>
      </c>
      <c r="H35" s="15" t="str">
        <f t="shared" si="0"/>
        <v>8~12</v>
      </c>
      <c r="I35" s="16" t="s">
        <v>221</v>
      </c>
      <c r="J35" s="16" t="s">
        <v>51</v>
      </c>
      <c r="K35" s="15" t="s">
        <v>167</v>
      </c>
      <c r="L35" s="15" t="s">
        <v>118</v>
      </c>
      <c r="M35" s="7"/>
      <c r="N35" s="7"/>
      <c r="O35" s="8"/>
      <c r="P35" s="8" t="s">
        <v>23</v>
      </c>
      <c r="Q35" s="8">
        <f t="shared" si="28"/>
        <v>4</v>
      </c>
      <c r="R35" s="8">
        <f>R34+Q35/2</f>
        <v>7</v>
      </c>
      <c r="S35" s="8">
        <f>S34+Q34/2+1</f>
        <v>7.5</v>
      </c>
      <c r="T35" s="8">
        <f t="shared" ref="T35:T39" si="31">Q35+S35</f>
        <v>11.5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f t="shared" si="6"/>
        <v>100113</v>
      </c>
      <c r="B36" s="15" t="s">
        <v>268</v>
      </c>
      <c r="C36" s="52" t="s">
        <v>396</v>
      </c>
      <c r="D36" s="48" t="str">
        <f>[1]!颜色转换成内嵌函数()</f>
        <v>※color(93,152,171)[]</v>
      </c>
      <c r="E36" s="15">
        <f t="shared" si="7"/>
        <v>3</v>
      </c>
      <c r="F36" s="15" t="str">
        <f>IF(表1[[#This Row],[level]]+1=E37,A37,"")</f>
        <v/>
      </c>
      <c r="G36" s="15" t="s">
        <v>133</v>
      </c>
      <c r="H36" s="15" t="str">
        <f t="shared" si="0"/>
        <v>11~16</v>
      </c>
      <c r="I36" s="16" t="s">
        <v>221</v>
      </c>
      <c r="J36" s="16" t="s">
        <v>51</v>
      </c>
      <c r="K36" s="15" t="s">
        <v>168</v>
      </c>
      <c r="L36" s="15" t="s">
        <v>119</v>
      </c>
      <c r="M36" s="7"/>
      <c r="N36" s="7"/>
      <c r="O36" s="8"/>
      <c r="P36" s="8" t="s">
        <v>23</v>
      </c>
      <c r="Q36" s="8">
        <f t="shared" si="28"/>
        <v>5</v>
      </c>
      <c r="R36" s="8">
        <f t="shared" ref="R36" si="32">R35+Q36/2</f>
        <v>9.5</v>
      </c>
      <c r="S36" s="8">
        <f t="shared" ref="S36" si="33">S35+Q35/2+1</f>
        <v>10.5</v>
      </c>
      <c r="T36" s="8">
        <f t="shared" si="31"/>
        <v>15.5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f t="shared" si="6"/>
        <v>100121</v>
      </c>
      <c r="B37" s="15" t="s">
        <v>269</v>
      </c>
      <c r="C37" s="52" t="s">
        <v>397</v>
      </c>
      <c r="D37" s="49" t="str">
        <f>[1]!颜色转换成内嵌函数()</f>
        <v>※color(186,122,36)[]</v>
      </c>
      <c r="E37" s="15">
        <f t="shared" si="7"/>
        <v>1</v>
      </c>
      <c r="F37" s="15">
        <f>IF(表1[[#This Row],[level]]+1=E38,A38,"")</f>
        <v>100122</v>
      </c>
      <c r="G37" s="15" t="s">
        <v>133</v>
      </c>
      <c r="H37" s="15" t="str">
        <f t="shared" si="0"/>
        <v>5~8</v>
      </c>
      <c r="I37" s="16" t="s">
        <v>222</v>
      </c>
      <c r="J37" s="16" t="s">
        <v>51</v>
      </c>
      <c r="K37" s="15" t="s">
        <v>169</v>
      </c>
      <c r="L37" s="15" t="s">
        <v>119</v>
      </c>
      <c r="M37" s="7"/>
      <c r="N37" s="7"/>
      <c r="O37" s="8"/>
      <c r="P37" s="8" t="s">
        <v>24</v>
      </c>
      <c r="Q37" s="8">
        <f t="shared" si="28"/>
        <v>3</v>
      </c>
      <c r="R37" s="9">
        <v>5</v>
      </c>
      <c r="S37" s="8">
        <f>R37</f>
        <v>5</v>
      </c>
      <c r="T37" s="8">
        <f t="shared" si="31"/>
        <v>8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f t="shared" si="6"/>
        <v>100122</v>
      </c>
      <c r="B38" s="15" t="s">
        <v>270</v>
      </c>
      <c r="C38" s="52" t="s">
        <v>398</v>
      </c>
      <c r="D38" s="49" t="str">
        <f>[1]!颜色转换成内嵌函数()</f>
        <v>※color(186,122,36)[]</v>
      </c>
      <c r="E38" s="15">
        <f t="shared" si="7"/>
        <v>2</v>
      </c>
      <c r="F38" s="15">
        <f>IF(表1[[#This Row],[level]]+1=E39,A39,"")</f>
        <v>100123</v>
      </c>
      <c r="G38" s="15" t="s">
        <v>133</v>
      </c>
      <c r="H38" s="15" t="str">
        <f t="shared" si="0"/>
        <v>8~12</v>
      </c>
      <c r="I38" s="16" t="s">
        <v>222</v>
      </c>
      <c r="J38" s="16" t="s">
        <v>51</v>
      </c>
      <c r="K38" s="15" t="s">
        <v>170</v>
      </c>
      <c r="L38" s="15" t="s">
        <v>119</v>
      </c>
      <c r="M38" s="7"/>
      <c r="N38" s="7"/>
      <c r="O38" s="8"/>
      <c r="P38" s="8" t="s">
        <v>24</v>
      </c>
      <c r="Q38" s="8">
        <f t="shared" si="28"/>
        <v>4</v>
      </c>
      <c r="R38" s="8">
        <f>R37+Q38/2</f>
        <v>7</v>
      </c>
      <c r="S38" s="8">
        <f>S37+Q37/2+1</f>
        <v>7.5</v>
      </c>
      <c r="T38" s="8">
        <f t="shared" si="31"/>
        <v>11.5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f t="shared" si="6"/>
        <v>100123</v>
      </c>
      <c r="B39" s="15" t="s">
        <v>271</v>
      </c>
      <c r="C39" s="52" t="s">
        <v>399</v>
      </c>
      <c r="D39" s="49" t="str">
        <f>[1]!颜色转换成内嵌函数()</f>
        <v>※color(186,122,36)[]</v>
      </c>
      <c r="E39" s="15">
        <f t="shared" si="7"/>
        <v>3</v>
      </c>
      <c r="F39" s="15" t="str">
        <f>IF(表1[[#This Row],[level]]+1=E40,A40,"")</f>
        <v/>
      </c>
      <c r="G39" s="15" t="s">
        <v>133</v>
      </c>
      <c r="H39" s="15" t="str">
        <f t="shared" si="0"/>
        <v>11~16</v>
      </c>
      <c r="I39" s="16" t="s">
        <v>222</v>
      </c>
      <c r="J39" s="16" t="s">
        <v>51</v>
      </c>
      <c r="K39" s="15" t="s">
        <v>171</v>
      </c>
      <c r="L39" s="15" t="s">
        <v>120</v>
      </c>
      <c r="M39" s="7"/>
      <c r="N39" s="7"/>
      <c r="O39" s="8"/>
      <c r="P39" s="8" t="s">
        <v>24</v>
      </c>
      <c r="Q39" s="8">
        <f t="shared" si="28"/>
        <v>5</v>
      </c>
      <c r="R39" s="8">
        <f t="shared" ref="R39" si="34">R38+Q39/2</f>
        <v>9.5</v>
      </c>
      <c r="S39" s="8">
        <f t="shared" ref="S39" si="35">S38+Q38/2+1</f>
        <v>10.5</v>
      </c>
      <c r="T39" s="8">
        <f t="shared" si="31"/>
        <v>15.5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f t="shared" si="6"/>
        <v>100131</v>
      </c>
      <c r="B40" s="15" t="s">
        <v>272</v>
      </c>
      <c r="C40" s="52" t="s">
        <v>400</v>
      </c>
      <c r="D40" s="44" t="str">
        <f>[1]!颜色转换成内嵌函数()</f>
        <v>※color(181,79,79)[]</v>
      </c>
      <c r="E40" s="15">
        <f t="shared" si="7"/>
        <v>1</v>
      </c>
      <c r="F40" s="15">
        <f>IF(表1[[#This Row],[level]]+1=E41,A41,"")</f>
        <v>100132</v>
      </c>
      <c r="G40" s="15" t="s">
        <v>133</v>
      </c>
      <c r="H40" s="15" t="str">
        <f t="shared" si="0"/>
        <v>5~8</v>
      </c>
      <c r="I40" s="18" t="s">
        <v>223</v>
      </c>
      <c r="J40" s="16" t="s">
        <v>51</v>
      </c>
      <c r="K40" s="19" t="s">
        <v>172</v>
      </c>
      <c r="L40" s="15" t="s">
        <v>99</v>
      </c>
      <c r="M40" s="7"/>
      <c r="N40" s="7"/>
      <c r="O40" s="8"/>
      <c r="P40" s="8" t="s">
        <v>25</v>
      </c>
      <c r="Q40" s="8">
        <f t="shared" si="28"/>
        <v>3</v>
      </c>
      <c r="R40" s="9">
        <v>5</v>
      </c>
      <c r="S40" s="8">
        <f>R40</f>
        <v>5</v>
      </c>
      <c r="T40" s="8">
        <f>Q40+S40</f>
        <v>8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f t="shared" si="6"/>
        <v>100132</v>
      </c>
      <c r="B41" s="15" t="s">
        <v>273</v>
      </c>
      <c r="C41" s="52" t="s">
        <v>401</v>
      </c>
      <c r="D41" s="44" t="str">
        <f>[1]!颜色转换成内嵌函数()</f>
        <v>※color(181,79,79)[]</v>
      </c>
      <c r="E41" s="15">
        <f t="shared" si="7"/>
        <v>2</v>
      </c>
      <c r="F41" s="15">
        <f>IF(表1[[#This Row],[level]]+1=E42,A42,"")</f>
        <v>100133</v>
      </c>
      <c r="G41" s="15" t="s">
        <v>133</v>
      </c>
      <c r="H41" s="15" t="str">
        <f t="shared" si="0"/>
        <v>8~12</v>
      </c>
      <c r="I41" s="18" t="s">
        <v>223</v>
      </c>
      <c r="J41" s="16" t="s">
        <v>51</v>
      </c>
      <c r="K41" s="19" t="s">
        <v>173</v>
      </c>
      <c r="L41" s="15" t="s">
        <v>121</v>
      </c>
      <c r="M41" s="7"/>
      <c r="N41" s="7"/>
      <c r="O41" s="8"/>
      <c r="P41" s="8" t="s">
        <v>25</v>
      </c>
      <c r="Q41" s="8">
        <f t="shared" si="28"/>
        <v>4</v>
      </c>
      <c r="R41" s="8">
        <f>R40+Q41/2</f>
        <v>7</v>
      </c>
      <c r="S41" s="8">
        <f>S40+Q40/2+1</f>
        <v>7.5</v>
      </c>
      <c r="T41" s="8">
        <f t="shared" ref="T41:T45" si="36">Q41+S41</f>
        <v>11.5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f t="shared" si="6"/>
        <v>100133</v>
      </c>
      <c r="B42" s="15" t="s">
        <v>274</v>
      </c>
      <c r="C42" s="52" t="s">
        <v>402</v>
      </c>
      <c r="D42" s="44" t="str">
        <f>[1]!颜色转换成内嵌函数()</f>
        <v>※color(181,79,79)[]</v>
      </c>
      <c r="E42" s="15">
        <f t="shared" si="7"/>
        <v>3</v>
      </c>
      <c r="F42" s="15" t="str">
        <f>IF(表1[[#This Row],[level]]+1=E43,A43,"")</f>
        <v/>
      </c>
      <c r="G42" s="15" t="s">
        <v>133</v>
      </c>
      <c r="H42" s="15" t="str">
        <f t="shared" si="0"/>
        <v>11~16</v>
      </c>
      <c r="I42" s="18" t="s">
        <v>223</v>
      </c>
      <c r="J42" s="16" t="s">
        <v>51</v>
      </c>
      <c r="K42" s="19" t="s">
        <v>174</v>
      </c>
      <c r="L42" s="15" t="s">
        <v>122</v>
      </c>
      <c r="M42" s="7"/>
      <c r="N42" s="7"/>
      <c r="O42" s="8"/>
      <c r="P42" s="8" t="s">
        <v>25</v>
      </c>
      <c r="Q42" s="8">
        <f t="shared" si="28"/>
        <v>5</v>
      </c>
      <c r="R42" s="8">
        <f t="shared" ref="R42" si="37">R41+Q42/2</f>
        <v>9.5</v>
      </c>
      <c r="S42" s="8">
        <f t="shared" ref="S42" si="38">S41+Q41/2+1</f>
        <v>10.5</v>
      </c>
      <c r="T42" s="8">
        <f t="shared" si="36"/>
        <v>15.5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f t="shared" si="6"/>
        <v>100141</v>
      </c>
      <c r="B43" s="15" t="s">
        <v>275</v>
      </c>
      <c r="C43" s="52" t="s">
        <v>403</v>
      </c>
      <c r="D43" s="45" t="str">
        <f>[1]!颜色转换成内嵌函数()</f>
        <v>※color(181,79,162)[]</v>
      </c>
      <c r="E43" s="15">
        <f t="shared" si="7"/>
        <v>1</v>
      </c>
      <c r="F43" s="15">
        <f>IF(表1[[#This Row],[level]]+1=E44,A44,"")</f>
        <v>100142</v>
      </c>
      <c r="G43" s="15" t="s">
        <v>133</v>
      </c>
      <c r="H43" s="15" t="str">
        <f t="shared" si="0"/>
        <v>5~8</v>
      </c>
      <c r="I43" s="18" t="s">
        <v>224</v>
      </c>
      <c r="J43" s="16" t="s">
        <v>51</v>
      </c>
      <c r="K43" s="19" t="s">
        <v>175</v>
      </c>
      <c r="L43" s="15" t="s">
        <v>121</v>
      </c>
      <c r="M43" s="7"/>
      <c r="N43" s="7"/>
      <c r="O43" s="8"/>
      <c r="P43" s="8" t="s">
        <v>26</v>
      </c>
      <c r="Q43" s="8">
        <f t="shared" si="28"/>
        <v>3</v>
      </c>
      <c r="R43" s="9">
        <v>5</v>
      </c>
      <c r="S43" s="8">
        <f>R43</f>
        <v>5</v>
      </c>
      <c r="T43" s="8">
        <f t="shared" si="36"/>
        <v>8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f t="shared" si="6"/>
        <v>100142</v>
      </c>
      <c r="B44" s="15" t="s">
        <v>276</v>
      </c>
      <c r="C44" s="52" t="s">
        <v>404</v>
      </c>
      <c r="D44" s="45" t="str">
        <f>[1]!颜色转换成内嵌函数()</f>
        <v>※color(181,79,162)[]</v>
      </c>
      <c r="E44" s="15">
        <f t="shared" si="7"/>
        <v>2</v>
      </c>
      <c r="F44" s="15">
        <f>IF(表1[[#This Row],[level]]+1=E45,A45,"")</f>
        <v>100143</v>
      </c>
      <c r="G44" s="15" t="s">
        <v>133</v>
      </c>
      <c r="H44" s="15" t="str">
        <f t="shared" si="0"/>
        <v>8~12</v>
      </c>
      <c r="I44" s="18" t="s">
        <v>224</v>
      </c>
      <c r="J44" s="16" t="s">
        <v>51</v>
      </c>
      <c r="K44" s="19" t="s">
        <v>176</v>
      </c>
      <c r="L44" s="15" t="s">
        <v>98</v>
      </c>
      <c r="M44" s="7"/>
      <c r="N44" s="7"/>
      <c r="O44" s="8"/>
      <c r="P44" s="8" t="s">
        <v>26</v>
      </c>
      <c r="Q44" s="8">
        <f t="shared" si="28"/>
        <v>4</v>
      </c>
      <c r="R44" s="8">
        <f>R43+Q44/2</f>
        <v>7</v>
      </c>
      <c r="S44" s="8">
        <f>S43+Q43/2+1</f>
        <v>7.5</v>
      </c>
      <c r="T44" s="8">
        <f t="shared" si="36"/>
        <v>11.5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f t="shared" si="6"/>
        <v>100143</v>
      </c>
      <c r="B45" s="15" t="s">
        <v>277</v>
      </c>
      <c r="C45" s="52" t="s">
        <v>405</v>
      </c>
      <c r="D45" s="45" t="str">
        <f>[1]!颜色转换成内嵌函数()</f>
        <v>※color(181,79,162)[]</v>
      </c>
      <c r="E45" s="15">
        <f t="shared" si="7"/>
        <v>3</v>
      </c>
      <c r="F45" s="15" t="str">
        <f>IF(表1[[#This Row],[level]]+1=E46,A46,"")</f>
        <v/>
      </c>
      <c r="G45" s="15" t="s">
        <v>133</v>
      </c>
      <c r="H45" s="15" t="str">
        <f t="shared" si="0"/>
        <v>11~16</v>
      </c>
      <c r="I45" s="18" t="s">
        <v>224</v>
      </c>
      <c r="J45" s="16" t="s">
        <v>51</v>
      </c>
      <c r="K45" s="19" t="s">
        <v>177</v>
      </c>
      <c r="L45" s="15" t="s">
        <v>100</v>
      </c>
      <c r="M45" s="7"/>
      <c r="N45" s="7"/>
      <c r="O45" s="8"/>
      <c r="P45" s="8" t="s">
        <v>26</v>
      </c>
      <c r="Q45" s="8">
        <f t="shared" si="28"/>
        <v>5</v>
      </c>
      <c r="R45" s="8">
        <f t="shared" ref="R45" si="39">R44+Q45/2</f>
        <v>9.5</v>
      </c>
      <c r="S45" s="8">
        <f t="shared" ref="S45" si="40">S44+Q44/2+1</f>
        <v>10.5</v>
      </c>
      <c r="T45" s="8">
        <f t="shared" si="36"/>
        <v>15.5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f t="shared" si="6"/>
        <v>100151</v>
      </c>
      <c r="B46" s="15" t="s">
        <v>278</v>
      </c>
      <c r="C46" s="52" t="s">
        <v>406</v>
      </c>
      <c r="D46" s="46" t="str">
        <f>[1]!颜色转换成内嵌函数()</f>
        <v>※color(195,213,89)[]</v>
      </c>
      <c r="E46" s="15">
        <f t="shared" si="7"/>
        <v>1</v>
      </c>
      <c r="F46" s="15">
        <f>IF(表1[[#This Row],[level]]+1=E47,A47,"")</f>
        <v>100152</v>
      </c>
      <c r="G46" s="15" t="s">
        <v>133</v>
      </c>
      <c r="H46" s="15" t="str">
        <f t="shared" si="0"/>
        <v>5~8</v>
      </c>
      <c r="I46" s="18" t="s">
        <v>225</v>
      </c>
      <c r="J46" s="16" t="s">
        <v>51</v>
      </c>
      <c r="K46" s="19" t="s">
        <v>178</v>
      </c>
      <c r="L46" s="15" t="s">
        <v>100</v>
      </c>
      <c r="M46" s="7"/>
      <c r="N46" s="7"/>
      <c r="O46" s="8"/>
      <c r="P46" s="8" t="s">
        <v>27</v>
      </c>
      <c r="Q46" s="8">
        <f t="shared" si="28"/>
        <v>3</v>
      </c>
      <c r="R46" s="9">
        <v>5</v>
      </c>
      <c r="S46" s="8">
        <f>R46</f>
        <v>5</v>
      </c>
      <c r="T46" s="8">
        <f>Q46+S46</f>
        <v>8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f t="shared" si="6"/>
        <v>100152</v>
      </c>
      <c r="B47" s="15" t="s">
        <v>279</v>
      </c>
      <c r="C47" s="52" t="s">
        <v>407</v>
      </c>
      <c r="D47" s="46" t="str">
        <f>[1]!颜色转换成内嵌函数()</f>
        <v>※color(195,213,89)[]</v>
      </c>
      <c r="E47" s="15">
        <f t="shared" si="7"/>
        <v>2</v>
      </c>
      <c r="F47" s="15">
        <f>IF(表1[[#This Row],[level]]+1=E48,A48,"")</f>
        <v>100153</v>
      </c>
      <c r="G47" s="15" t="s">
        <v>133</v>
      </c>
      <c r="H47" s="15" t="str">
        <f t="shared" si="0"/>
        <v>8~12</v>
      </c>
      <c r="I47" s="18" t="s">
        <v>225</v>
      </c>
      <c r="J47" s="16" t="s">
        <v>51</v>
      </c>
      <c r="K47" s="19" t="s">
        <v>179</v>
      </c>
      <c r="L47" s="15" t="s">
        <v>100</v>
      </c>
      <c r="M47" s="7"/>
      <c r="N47" s="7"/>
      <c r="O47" s="8"/>
      <c r="P47" s="8" t="s">
        <v>27</v>
      </c>
      <c r="Q47" s="8">
        <f t="shared" si="28"/>
        <v>4</v>
      </c>
      <c r="R47" s="8">
        <f>R46+Q47/2</f>
        <v>7</v>
      </c>
      <c r="S47" s="8">
        <f>S46+Q46/2+1</f>
        <v>7.5</v>
      </c>
      <c r="T47" s="8">
        <f t="shared" ref="T47:T51" si="41">Q47+S47</f>
        <v>11.5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f t="shared" si="6"/>
        <v>100153</v>
      </c>
      <c r="B48" s="15" t="s">
        <v>280</v>
      </c>
      <c r="C48" s="52" t="s">
        <v>408</v>
      </c>
      <c r="D48" s="46" t="str">
        <f>[1]!颜色转换成内嵌函数()</f>
        <v>※color(195,213,89)[]</v>
      </c>
      <c r="E48" s="15">
        <f t="shared" si="7"/>
        <v>3</v>
      </c>
      <c r="F48" s="15" t="str">
        <f>IF(表1[[#This Row],[level]]+1=E49,A49,"")</f>
        <v/>
      </c>
      <c r="G48" s="15" t="s">
        <v>133</v>
      </c>
      <c r="H48" s="15" t="str">
        <f t="shared" si="0"/>
        <v>11~16</v>
      </c>
      <c r="I48" s="18" t="s">
        <v>225</v>
      </c>
      <c r="J48" s="16" t="s">
        <v>51</v>
      </c>
      <c r="K48" s="19" t="s">
        <v>180</v>
      </c>
      <c r="L48" s="15" t="s">
        <v>102</v>
      </c>
      <c r="M48" s="7"/>
      <c r="N48" s="7"/>
      <c r="O48" s="8"/>
      <c r="P48" s="8" t="s">
        <v>27</v>
      </c>
      <c r="Q48" s="8">
        <f t="shared" si="28"/>
        <v>5</v>
      </c>
      <c r="R48" s="8">
        <f t="shared" ref="R48" si="42">R47+Q48/2</f>
        <v>9.5</v>
      </c>
      <c r="S48" s="8">
        <f t="shared" ref="S48" si="43">S47+Q47/2+1</f>
        <v>10.5</v>
      </c>
      <c r="T48" s="8">
        <f t="shared" si="41"/>
        <v>15.5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f t="shared" si="6"/>
        <v>100161</v>
      </c>
      <c r="B49" s="15" t="s">
        <v>281</v>
      </c>
      <c r="C49" s="52" t="s">
        <v>409</v>
      </c>
      <c r="D49" s="47" t="str">
        <f>[1]!颜色转换成内嵌函数()</f>
        <v>※color(88,214,202)[]</v>
      </c>
      <c r="E49" s="15">
        <f t="shared" si="7"/>
        <v>1</v>
      </c>
      <c r="F49" s="15">
        <f>IF(表1[[#This Row],[level]]+1=E50,A50,"")</f>
        <v>100162</v>
      </c>
      <c r="G49" s="15" t="s">
        <v>133</v>
      </c>
      <c r="H49" s="15" t="str">
        <f t="shared" si="0"/>
        <v>5~8</v>
      </c>
      <c r="I49" s="18" t="s">
        <v>226</v>
      </c>
      <c r="J49" s="16" t="s">
        <v>51</v>
      </c>
      <c r="K49" s="19" t="s">
        <v>181</v>
      </c>
      <c r="L49" s="15" t="s">
        <v>100</v>
      </c>
      <c r="M49" s="7"/>
      <c r="N49" s="7"/>
      <c r="O49" s="8"/>
      <c r="P49" s="8" t="s">
        <v>28</v>
      </c>
      <c r="Q49" s="8">
        <f t="shared" si="28"/>
        <v>3</v>
      </c>
      <c r="R49" s="9">
        <v>5</v>
      </c>
      <c r="S49" s="8">
        <f>R49</f>
        <v>5</v>
      </c>
      <c r="T49" s="8">
        <f t="shared" si="41"/>
        <v>8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f t="shared" si="6"/>
        <v>100162</v>
      </c>
      <c r="B50" s="15" t="s">
        <v>282</v>
      </c>
      <c r="C50" s="52" t="s">
        <v>410</v>
      </c>
      <c r="D50" s="47" t="str">
        <f>[1]!颜色转换成内嵌函数()</f>
        <v>※color(88,214,202)[]</v>
      </c>
      <c r="E50" s="15">
        <f t="shared" si="7"/>
        <v>2</v>
      </c>
      <c r="F50" s="15">
        <f>IF(表1[[#This Row],[level]]+1=E51,A51,"")</f>
        <v>100163</v>
      </c>
      <c r="G50" s="15" t="s">
        <v>133</v>
      </c>
      <c r="H50" s="15" t="str">
        <f t="shared" si="0"/>
        <v>8~12</v>
      </c>
      <c r="I50" s="18" t="s">
        <v>226</v>
      </c>
      <c r="J50" s="16" t="s">
        <v>51</v>
      </c>
      <c r="K50" s="19" t="s">
        <v>182</v>
      </c>
      <c r="L50" s="15" t="s">
        <v>123</v>
      </c>
      <c r="M50" s="7"/>
      <c r="N50" s="7"/>
      <c r="O50" s="8"/>
      <c r="P50" s="8" t="s">
        <v>28</v>
      </c>
      <c r="Q50" s="8">
        <f t="shared" si="28"/>
        <v>4</v>
      </c>
      <c r="R50" s="8">
        <f>R49+Q50/2</f>
        <v>7</v>
      </c>
      <c r="S50" s="8">
        <f>S49+Q49/2+1</f>
        <v>7.5</v>
      </c>
      <c r="T50" s="8">
        <f t="shared" si="41"/>
        <v>11.5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f t="shared" si="6"/>
        <v>100163</v>
      </c>
      <c r="B51" s="15" t="s">
        <v>283</v>
      </c>
      <c r="C51" s="52" t="s">
        <v>411</v>
      </c>
      <c r="D51" s="47" t="str">
        <f>[1]!颜色转换成内嵌函数()</f>
        <v>※color(88,214,202)[]</v>
      </c>
      <c r="E51" s="15">
        <f t="shared" si="7"/>
        <v>3</v>
      </c>
      <c r="F51" s="15" t="str">
        <f>IF(表1[[#This Row],[level]]+1=E52,A52,"")</f>
        <v/>
      </c>
      <c r="G51" s="15" t="s">
        <v>133</v>
      </c>
      <c r="H51" s="15" t="str">
        <f t="shared" si="0"/>
        <v>11~16</v>
      </c>
      <c r="I51" s="18" t="s">
        <v>226</v>
      </c>
      <c r="J51" s="16" t="s">
        <v>51</v>
      </c>
      <c r="K51" s="19" t="s">
        <v>183</v>
      </c>
      <c r="L51" s="15" t="s">
        <v>103</v>
      </c>
      <c r="M51" s="7"/>
      <c r="N51" s="7"/>
      <c r="O51" s="8"/>
      <c r="P51" s="8" t="s">
        <v>28</v>
      </c>
      <c r="Q51" s="8">
        <f t="shared" si="28"/>
        <v>5</v>
      </c>
      <c r="R51" s="8">
        <f t="shared" ref="R51" si="44">R50+Q51/2</f>
        <v>9.5</v>
      </c>
      <c r="S51" s="8">
        <f t="shared" ref="S51" si="45">S50+Q50/2+1</f>
        <v>10.5</v>
      </c>
      <c r="T51" s="8">
        <f t="shared" si="41"/>
        <v>15.5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f t="shared" si="6"/>
        <v>100171</v>
      </c>
      <c r="B52" s="15" t="s">
        <v>284</v>
      </c>
      <c r="C52" s="52" t="s">
        <v>412</v>
      </c>
      <c r="D52" s="48" t="str">
        <f>[1]!颜色转换成内嵌函数()</f>
        <v>※color(93,152,171)[]</v>
      </c>
      <c r="E52" s="15">
        <f t="shared" si="7"/>
        <v>1</v>
      </c>
      <c r="F52" s="15">
        <f>IF(表1[[#This Row],[level]]+1=E53,A53,"")</f>
        <v>100172</v>
      </c>
      <c r="G52" s="15" t="s">
        <v>133</v>
      </c>
      <c r="H52" s="15" t="str">
        <f t="shared" si="0"/>
        <v>5~8</v>
      </c>
      <c r="I52" s="18" t="s">
        <v>227</v>
      </c>
      <c r="J52" s="16" t="s">
        <v>51</v>
      </c>
      <c r="K52" s="19" t="s">
        <v>184</v>
      </c>
      <c r="L52" s="15" t="s">
        <v>103</v>
      </c>
      <c r="M52" s="7"/>
      <c r="N52" s="7"/>
      <c r="O52" s="8"/>
      <c r="P52" s="8" t="s">
        <v>29</v>
      </c>
      <c r="Q52" s="8">
        <v>3</v>
      </c>
      <c r="R52" s="9">
        <v>5</v>
      </c>
      <c r="S52" s="8">
        <f>R52</f>
        <v>5</v>
      </c>
      <c r="T52" s="8">
        <f>Q52+S52</f>
        <v>8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f t="shared" si="6"/>
        <v>100172</v>
      </c>
      <c r="B53" s="15" t="s">
        <v>285</v>
      </c>
      <c r="C53" s="52" t="s">
        <v>413</v>
      </c>
      <c r="D53" s="48" t="str">
        <f>[1]!颜色转换成内嵌函数()</f>
        <v>※color(93,152,171)[]</v>
      </c>
      <c r="E53" s="15">
        <f t="shared" si="7"/>
        <v>2</v>
      </c>
      <c r="F53" s="15">
        <f>IF(表1[[#This Row],[level]]+1=E54,A54,"")</f>
        <v>100173</v>
      </c>
      <c r="G53" s="15" t="s">
        <v>133</v>
      </c>
      <c r="H53" s="15" t="str">
        <f t="shared" si="0"/>
        <v>8~12</v>
      </c>
      <c r="I53" s="18" t="s">
        <v>227</v>
      </c>
      <c r="J53" s="16" t="s">
        <v>51</v>
      </c>
      <c r="K53" s="19" t="s">
        <v>185</v>
      </c>
      <c r="L53" s="15" t="s">
        <v>123</v>
      </c>
      <c r="M53" s="7"/>
      <c r="N53" s="7"/>
      <c r="O53" s="8"/>
      <c r="P53" s="8" t="s">
        <v>29</v>
      </c>
      <c r="Q53" s="8">
        <v>4</v>
      </c>
      <c r="R53" s="8">
        <f>R52+Q53/2</f>
        <v>7</v>
      </c>
      <c r="S53" s="8">
        <f>S52+Q52/2+1</f>
        <v>7.5</v>
      </c>
      <c r="T53" s="8">
        <f t="shared" ref="T53:T57" si="46">Q53+S53</f>
        <v>11.5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f t="shared" si="6"/>
        <v>100173</v>
      </c>
      <c r="B54" s="15" t="s">
        <v>286</v>
      </c>
      <c r="C54" s="52" t="s">
        <v>414</v>
      </c>
      <c r="D54" s="48" t="str">
        <f>[1]!颜色转换成内嵌函数()</f>
        <v>※color(93,152,171)[]</v>
      </c>
      <c r="E54" s="15">
        <f t="shared" si="7"/>
        <v>3</v>
      </c>
      <c r="F54" s="15" t="str">
        <f>IF(表1[[#This Row],[level]]+1=E55,A55,"")</f>
        <v/>
      </c>
      <c r="G54" s="15" t="s">
        <v>133</v>
      </c>
      <c r="H54" s="15" t="str">
        <f t="shared" ref="H54:H78" si="47">ROUND(S54,0)&amp; "~" &amp; ROUND(T54,0)</f>
        <v>11~16</v>
      </c>
      <c r="I54" s="18" t="s">
        <v>227</v>
      </c>
      <c r="J54" s="16" t="s">
        <v>51</v>
      </c>
      <c r="K54" s="19" t="s">
        <v>186</v>
      </c>
      <c r="L54" s="15" t="s">
        <v>103</v>
      </c>
      <c r="M54" s="7"/>
      <c r="N54" s="7"/>
      <c r="O54" s="8"/>
      <c r="P54" s="8" t="s">
        <v>29</v>
      </c>
      <c r="Q54" s="8">
        <v>5</v>
      </c>
      <c r="R54" s="8">
        <f t="shared" ref="R54" si="48">R53+Q54/2</f>
        <v>9.5</v>
      </c>
      <c r="S54" s="8">
        <f t="shared" ref="S54" si="49">S53+Q53/2+1</f>
        <v>10.5</v>
      </c>
      <c r="T54" s="8">
        <f t="shared" si="46"/>
        <v>15.5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f t="shared" si="6"/>
        <v>100181</v>
      </c>
      <c r="B55" s="15" t="s">
        <v>287</v>
      </c>
      <c r="C55" s="52" t="s">
        <v>415</v>
      </c>
      <c r="D55" s="49" t="str">
        <f>[1]!颜色转换成内嵌函数()</f>
        <v>※color(186,122,36)[]</v>
      </c>
      <c r="E55" s="15">
        <f t="shared" si="7"/>
        <v>1</v>
      </c>
      <c r="F55" s="15">
        <f>IF(表1[[#This Row],[level]]+1=E56,A56,"")</f>
        <v>100182</v>
      </c>
      <c r="G55" s="15" t="s">
        <v>133</v>
      </c>
      <c r="H55" s="15" t="str">
        <f t="shared" si="47"/>
        <v>5~8</v>
      </c>
      <c r="I55" s="18" t="s">
        <v>228</v>
      </c>
      <c r="J55" s="16" t="s">
        <v>51</v>
      </c>
      <c r="K55" s="19" t="s">
        <v>187</v>
      </c>
      <c r="L55" s="15" t="s">
        <v>106</v>
      </c>
      <c r="M55" s="7"/>
      <c r="N55" s="7"/>
      <c r="O55" s="8"/>
      <c r="P55" s="8" t="s">
        <v>22</v>
      </c>
      <c r="Q55" s="8">
        <f t="shared" ref="Q55:Q78" si="50">Q52</f>
        <v>3</v>
      </c>
      <c r="R55" s="9">
        <v>5</v>
      </c>
      <c r="S55" s="8">
        <f>R55</f>
        <v>5</v>
      </c>
      <c r="T55" s="8">
        <f t="shared" si="46"/>
        <v>8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f t="shared" si="6"/>
        <v>100182</v>
      </c>
      <c r="B56" s="15" t="s">
        <v>288</v>
      </c>
      <c r="C56" s="52" t="s">
        <v>416</v>
      </c>
      <c r="D56" s="49" t="str">
        <f>[1]!颜色转换成内嵌函数()</f>
        <v>※color(186,122,36)[]</v>
      </c>
      <c r="E56" s="15">
        <f t="shared" si="7"/>
        <v>2</v>
      </c>
      <c r="F56" s="15">
        <f>IF(表1[[#This Row],[level]]+1=E57,A57,"")</f>
        <v>100183</v>
      </c>
      <c r="G56" s="15" t="s">
        <v>133</v>
      </c>
      <c r="H56" s="15" t="str">
        <f t="shared" si="47"/>
        <v>8~12</v>
      </c>
      <c r="I56" s="18" t="s">
        <v>228</v>
      </c>
      <c r="J56" s="16" t="s">
        <v>51</v>
      </c>
      <c r="K56" s="19" t="s">
        <v>188</v>
      </c>
      <c r="L56" s="15" t="s">
        <v>124</v>
      </c>
      <c r="M56" s="7"/>
      <c r="N56" s="7"/>
      <c r="O56" s="8"/>
      <c r="P56" s="8" t="s">
        <v>22</v>
      </c>
      <c r="Q56" s="8">
        <f t="shared" si="50"/>
        <v>4</v>
      </c>
      <c r="R56" s="8">
        <f>R55+Q56/2</f>
        <v>7</v>
      </c>
      <c r="S56" s="8">
        <f>S55+Q55/2+1</f>
        <v>7.5</v>
      </c>
      <c r="T56" s="8">
        <f t="shared" si="46"/>
        <v>11.5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f t="shared" si="6"/>
        <v>100183</v>
      </c>
      <c r="B57" s="15" t="s">
        <v>289</v>
      </c>
      <c r="C57" s="52" t="s">
        <v>417</v>
      </c>
      <c r="D57" s="49" t="str">
        <f>[1]!颜色转换成内嵌函数()</f>
        <v>※color(186,122,36)[]</v>
      </c>
      <c r="E57" s="15">
        <f t="shared" si="7"/>
        <v>3</v>
      </c>
      <c r="F57" s="15" t="str">
        <f>IF(表1[[#This Row],[level]]+1=E58,A58,"")</f>
        <v/>
      </c>
      <c r="G57" s="15" t="s">
        <v>133</v>
      </c>
      <c r="H57" s="15" t="str">
        <f t="shared" si="47"/>
        <v>11~16</v>
      </c>
      <c r="I57" s="18" t="s">
        <v>228</v>
      </c>
      <c r="J57" s="16" t="s">
        <v>51</v>
      </c>
      <c r="K57" s="19" t="s">
        <v>189</v>
      </c>
      <c r="L57" s="15" t="s">
        <v>106</v>
      </c>
      <c r="M57" s="7"/>
      <c r="N57" s="7"/>
      <c r="O57" s="8"/>
      <c r="P57" s="8" t="s">
        <v>22</v>
      </c>
      <c r="Q57" s="8">
        <f t="shared" si="50"/>
        <v>5</v>
      </c>
      <c r="R57" s="8">
        <f t="shared" ref="R57" si="51">R56+Q57/2</f>
        <v>9.5</v>
      </c>
      <c r="S57" s="8">
        <f t="shared" ref="S57" si="52">S56+Q56/2+1</f>
        <v>10.5</v>
      </c>
      <c r="T57" s="8">
        <f t="shared" si="46"/>
        <v>15.5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f t="shared" si="6"/>
        <v>100191</v>
      </c>
      <c r="B58" s="15" t="s">
        <v>290</v>
      </c>
      <c r="C58" s="52" t="s">
        <v>418</v>
      </c>
      <c r="D58" s="44" t="str">
        <f>[1]!颜色转换成内嵌函数()</f>
        <v>※color(181,79,79)[]</v>
      </c>
      <c r="E58" s="15">
        <f t="shared" si="7"/>
        <v>1</v>
      </c>
      <c r="F58" s="15">
        <f>IF(表1[[#This Row],[level]]+1=E59,A59,"")</f>
        <v>100192</v>
      </c>
      <c r="G58" s="15" t="s">
        <v>133</v>
      </c>
      <c r="H58" s="15" t="str">
        <f t="shared" si="47"/>
        <v>5~8</v>
      </c>
      <c r="I58" s="18" t="s">
        <v>229</v>
      </c>
      <c r="J58" s="16" t="s">
        <v>51</v>
      </c>
      <c r="K58" s="19" t="s">
        <v>190</v>
      </c>
      <c r="L58" s="15" t="s">
        <v>106</v>
      </c>
      <c r="M58" s="7"/>
      <c r="N58" s="7"/>
      <c r="O58" s="8"/>
      <c r="P58" s="8" t="s">
        <v>23</v>
      </c>
      <c r="Q58" s="8">
        <f t="shared" si="50"/>
        <v>3</v>
      </c>
      <c r="R58" s="9">
        <v>5</v>
      </c>
      <c r="S58" s="8">
        <f>R58</f>
        <v>5</v>
      </c>
      <c r="T58" s="8">
        <f>Q58+S58</f>
        <v>8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f t="shared" si="6"/>
        <v>100192</v>
      </c>
      <c r="B59" s="15" t="s">
        <v>291</v>
      </c>
      <c r="C59" s="52" t="s">
        <v>419</v>
      </c>
      <c r="D59" s="44" t="str">
        <f>[1]!颜色转换成内嵌函数()</f>
        <v>※color(181,79,79)[]</v>
      </c>
      <c r="E59" s="15">
        <f t="shared" si="7"/>
        <v>2</v>
      </c>
      <c r="F59" s="15">
        <f>IF(表1[[#This Row],[level]]+1=E60,A60,"")</f>
        <v>100193</v>
      </c>
      <c r="G59" s="15" t="s">
        <v>133</v>
      </c>
      <c r="H59" s="15" t="str">
        <f t="shared" si="47"/>
        <v>8~12</v>
      </c>
      <c r="I59" s="18" t="s">
        <v>229</v>
      </c>
      <c r="J59" s="16" t="s">
        <v>51</v>
      </c>
      <c r="K59" s="19" t="s">
        <v>191</v>
      </c>
      <c r="L59" s="15" t="s">
        <v>125</v>
      </c>
      <c r="M59" s="7"/>
      <c r="N59" s="7"/>
      <c r="O59" s="8"/>
      <c r="P59" s="8" t="s">
        <v>23</v>
      </c>
      <c r="Q59" s="8">
        <f t="shared" si="50"/>
        <v>4</v>
      </c>
      <c r="R59" s="8">
        <f>R58+Q59/2</f>
        <v>7</v>
      </c>
      <c r="S59" s="8">
        <f>S58+Q58/2+1</f>
        <v>7.5</v>
      </c>
      <c r="T59" s="8">
        <f t="shared" ref="T59:T63" si="53">Q59+S59</f>
        <v>11.5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f t="shared" si="6"/>
        <v>100193</v>
      </c>
      <c r="B60" s="15" t="s">
        <v>292</v>
      </c>
      <c r="C60" s="52" t="s">
        <v>420</v>
      </c>
      <c r="D60" s="44" t="str">
        <f>[1]!颜色转换成内嵌函数()</f>
        <v>※color(181,79,79)[]</v>
      </c>
      <c r="E60" s="15">
        <f t="shared" si="7"/>
        <v>3</v>
      </c>
      <c r="F60" s="15" t="str">
        <f>IF(表1[[#This Row],[level]]+1=E61,A61,"")</f>
        <v/>
      </c>
      <c r="G60" s="15" t="s">
        <v>133</v>
      </c>
      <c r="H60" s="15" t="str">
        <f t="shared" si="47"/>
        <v>11~16</v>
      </c>
      <c r="I60" s="18" t="s">
        <v>229</v>
      </c>
      <c r="J60" s="16" t="s">
        <v>51</v>
      </c>
      <c r="K60" s="19" t="s">
        <v>192</v>
      </c>
      <c r="L60" s="15" t="s">
        <v>126</v>
      </c>
      <c r="M60" s="7"/>
      <c r="N60" s="7"/>
      <c r="O60" s="8"/>
      <c r="P60" s="8" t="s">
        <v>23</v>
      </c>
      <c r="Q60" s="8">
        <f t="shared" si="50"/>
        <v>5</v>
      </c>
      <c r="R60" s="8">
        <f t="shared" ref="R60" si="54">R59+Q60/2</f>
        <v>9.5</v>
      </c>
      <c r="S60" s="8">
        <f t="shared" ref="S60" si="55">S59+Q59/2+1</f>
        <v>10.5</v>
      </c>
      <c r="T60" s="8">
        <f t="shared" si="53"/>
        <v>15.5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f t="shared" si="6"/>
        <v>100201</v>
      </c>
      <c r="B61" s="15" t="s">
        <v>293</v>
      </c>
      <c r="C61" s="52" t="s">
        <v>421</v>
      </c>
      <c r="D61" s="45" t="str">
        <f>[1]!颜色转换成内嵌函数()</f>
        <v>※color(181,79,162)[]</v>
      </c>
      <c r="E61" s="15">
        <f t="shared" si="7"/>
        <v>1</v>
      </c>
      <c r="F61" s="15">
        <f>IF(表1[[#This Row],[level]]+1=E62,A62,"")</f>
        <v>100202</v>
      </c>
      <c r="G61" s="15" t="s">
        <v>133</v>
      </c>
      <c r="H61" s="15" t="str">
        <f t="shared" si="47"/>
        <v>5~8</v>
      </c>
      <c r="I61" s="18" t="s">
        <v>230</v>
      </c>
      <c r="J61" s="16" t="s">
        <v>51</v>
      </c>
      <c r="K61" s="19" t="s">
        <v>193</v>
      </c>
      <c r="L61" s="15" t="s">
        <v>126</v>
      </c>
      <c r="M61" s="7"/>
      <c r="N61" s="7"/>
      <c r="O61" s="8"/>
      <c r="P61" s="8" t="s">
        <v>24</v>
      </c>
      <c r="Q61" s="8">
        <f t="shared" si="50"/>
        <v>3</v>
      </c>
      <c r="R61" s="9">
        <v>5</v>
      </c>
      <c r="S61" s="8">
        <f>R61</f>
        <v>5</v>
      </c>
      <c r="T61" s="8">
        <f t="shared" si="53"/>
        <v>8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f t="shared" si="6"/>
        <v>100202</v>
      </c>
      <c r="B62" s="15" t="s">
        <v>294</v>
      </c>
      <c r="C62" s="52" t="s">
        <v>422</v>
      </c>
      <c r="D62" s="45" t="str">
        <f>[1]!颜色转换成内嵌函数()</f>
        <v>※color(181,79,162)[]</v>
      </c>
      <c r="E62" s="15">
        <f t="shared" si="7"/>
        <v>2</v>
      </c>
      <c r="F62" s="15">
        <f>IF(表1[[#This Row],[level]]+1=E63,A63,"")</f>
        <v>100203</v>
      </c>
      <c r="G62" s="15" t="s">
        <v>133</v>
      </c>
      <c r="H62" s="15" t="str">
        <f t="shared" si="47"/>
        <v>8~12</v>
      </c>
      <c r="I62" s="18" t="s">
        <v>230</v>
      </c>
      <c r="J62" s="16" t="s">
        <v>51</v>
      </c>
      <c r="K62" s="19" t="s">
        <v>194</v>
      </c>
      <c r="L62" s="15" t="s">
        <v>127</v>
      </c>
      <c r="M62" s="7"/>
      <c r="N62" s="7"/>
      <c r="O62" s="8"/>
      <c r="P62" s="8" t="s">
        <v>24</v>
      </c>
      <c r="Q62" s="8">
        <f t="shared" si="50"/>
        <v>4</v>
      </c>
      <c r="R62" s="8">
        <f>R61+Q62/2</f>
        <v>7</v>
      </c>
      <c r="S62" s="8">
        <f>S61+Q61/2+1</f>
        <v>7.5</v>
      </c>
      <c r="T62" s="8">
        <f t="shared" si="53"/>
        <v>11.5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f t="shared" si="6"/>
        <v>100203</v>
      </c>
      <c r="B63" s="15" t="s">
        <v>295</v>
      </c>
      <c r="C63" s="52" t="s">
        <v>423</v>
      </c>
      <c r="D63" s="45" t="str">
        <f>[1]!颜色转换成内嵌函数()</f>
        <v>※color(181,79,162)[]</v>
      </c>
      <c r="E63" s="15">
        <f t="shared" si="7"/>
        <v>3</v>
      </c>
      <c r="F63" s="15" t="str">
        <f>IF(表1[[#This Row],[level]]+1=E64,A64,"")</f>
        <v/>
      </c>
      <c r="G63" s="15" t="s">
        <v>133</v>
      </c>
      <c r="H63" s="15" t="str">
        <f t="shared" si="47"/>
        <v>11~16</v>
      </c>
      <c r="I63" s="18" t="s">
        <v>230</v>
      </c>
      <c r="J63" s="16" t="s">
        <v>51</v>
      </c>
      <c r="K63" s="19" t="s">
        <v>195</v>
      </c>
      <c r="L63" s="15" t="s">
        <v>128</v>
      </c>
      <c r="M63" s="7"/>
      <c r="N63" s="7"/>
      <c r="O63" s="8"/>
      <c r="P63" s="8" t="s">
        <v>24</v>
      </c>
      <c r="Q63" s="8">
        <f t="shared" si="50"/>
        <v>5</v>
      </c>
      <c r="R63" s="8">
        <f t="shared" ref="R63" si="56">R62+Q63/2</f>
        <v>9.5</v>
      </c>
      <c r="S63" s="8">
        <f t="shared" ref="S63" si="57">S62+Q62/2+1</f>
        <v>10.5</v>
      </c>
      <c r="T63" s="8">
        <f t="shared" si="53"/>
        <v>15.5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f t="shared" si="6"/>
        <v>100211</v>
      </c>
      <c r="B64" s="15" t="s">
        <v>296</v>
      </c>
      <c r="C64" s="52" t="s">
        <v>424</v>
      </c>
      <c r="D64" s="46" t="str">
        <f>[1]!颜色转换成内嵌函数()</f>
        <v>※color(195,213,89)[]</v>
      </c>
      <c r="E64" s="15">
        <f t="shared" si="7"/>
        <v>1</v>
      </c>
      <c r="F64" s="15">
        <f>IF(表1[[#This Row],[level]]+1=E65,A65,"")</f>
        <v>100212</v>
      </c>
      <c r="G64" s="15" t="s">
        <v>133</v>
      </c>
      <c r="H64" s="15" t="str">
        <f t="shared" si="47"/>
        <v>5~8</v>
      </c>
      <c r="I64" s="18" t="s">
        <v>231</v>
      </c>
      <c r="J64" s="16" t="s">
        <v>51</v>
      </c>
      <c r="K64" s="19" t="s">
        <v>196</v>
      </c>
      <c r="L64" s="15" t="s">
        <v>107</v>
      </c>
      <c r="M64" s="7"/>
      <c r="N64" s="7"/>
      <c r="O64" s="8"/>
      <c r="P64" s="8" t="s">
        <v>25</v>
      </c>
      <c r="Q64" s="8">
        <f t="shared" si="50"/>
        <v>3</v>
      </c>
      <c r="R64" s="9">
        <v>5</v>
      </c>
      <c r="S64" s="8">
        <f>R64</f>
        <v>5</v>
      </c>
      <c r="T64" s="8">
        <f>Q64+S64</f>
        <v>8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f t="shared" si="6"/>
        <v>100212</v>
      </c>
      <c r="B65" s="15" t="s">
        <v>297</v>
      </c>
      <c r="C65" s="52" t="s">
        <v>425</v>
      </c>
      <c r="D65" s="46" t="str">
        <f>[1]!颜色转换成内嵌函数()</f>
        <v>※color(195,213,89)[]</v>
      </c>
      <c r="E65" s="15">
        <f t="shared" si="7"/>
        <v>2</v>
      </c>
      <c r="F65" s="15">
        <f>IF(表1[[#This Row],[level]]+1=E66,A66,"")</f>
        <v>100213</v>
      </c>
      <c r="G65" s="15" t="s">
        <v>133</v>
      </c>
      <c r="H65" s="15" t="str">
        <f t="shared" si="47"/>
        <v>8~12</v>
      </c>
      <c r="I65" s="18" t="s">
        <v>231</v>
      </c>
      <c r="J65" s="16" t="s">
        <v>51</v>
      </c>
      <c r="K65" s="19" t="s">
        <v>197</v>
      </c>
      <c r="L65" s="15" t="s">
        <v>109</v>
      </c>
      <c r="M65" s="7"/>
      <c r="N65" s="7"/>
      <c r="O65" s="8"/>
      <c r="P65" s="8" t="s">
        <v>25</v>
      </c>
      <c r="Q65" s="8">
        <f t="shared" si="50"/>
        <v>4</v>
      </c>
      <c r="R65" s="8">
        <f>R64+Q65/2</f>
        <v>7</v>
      </c>
      <c r="S65" s="8">
        <f>S64+Q64/2+1</f>
        <v>7.5</v>
      </c>
      <c r="T65" s="8">
        <f t="shared" ref="T65:T69" si="58">Q65+S65</f>
        <v>11.5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f t="shared" si="6"/>
        <v>100213</v>
      </c>
      <c r="B66" s="15" t="s">
        <v>298</v>
      </c>
      <c r="C66" s="52" t="s">
        <v>426</v>
      </c>
      <c r="D66" s="46" t="str">
        <f>[1]!颜色转换成内嵌函数()</f>
        <v>※color(195,213,89)[]</v>
      </c>
      <c r="E66" s="15">
        <f t="shared" si="7"/>
        <v>3</v>
      </c>
      <c r="F66" s="15" t="str">
        <f>IF(表1[[#This Row],[level]]+1=E67,A67,"")</f>
        <v/>
      </c>
      <c r="G66" s="15" t="s">
        <v>133</v>
      </c>
      <c r="H66" s="15" t="str">
        <f t="shared" si="47"/>
        <v>11~16</v>
      </c>
      <c r="I66" s="18" t="s">
        <v>231</v>
      </c>
      <c r="J66" s="16" t="s">
        <v>51</v>
      </c>
      <c r="K66" s="19" t="s">
        <v>198</v>
      </c>
      <c r="L66" s="15" t="s">
        <v>109</v>
      </c>
      <c r="M66" s="7"/>
      <c r="N66" s="7"/>
      <c r="O66" s="8"/>
      <c r="P66" s="8" t="s">
        <v>25</v>
      </c>
      <c r="Q66" s="8">
        <f t="shared" si="50"/>
        <v>5</v>
      </c>
      <c r="R66" s="8">
        <f t="shared" ref="R66" si="59">R65+Q66/2</f>
        <v>9.5</v>
      </c>
      <c r="S66" s="8">
        <f t="shared" ref="S66" si="60">S65+Q65/2+1</f>
        <v>10.5</v>
      </c>
      <c r="T66" s="8">
        <f t="shared" si="58"/>
        <v>15.5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f t="shared" si="6"/>
        <v>100221</v>
      </c>
      <c r="B67" s="15" t="s">
        <v>299</v>
      </c>
      <c r="C67" s="52" t="s">
        <v>427</v>
      </c>
      <c r="D67" s="47" t="str">
        <f>[1]!颜色转换成内嵌函数()</f>
        <v>※color(88,214,202)[]</v>
      </c>
      <c r="E67" s="15">
        <f t="shared" si="7"/>
        <v>1</v>
      </c>
      <c r="F67" s="15">
        <f>IF(表1[[#This Row],[level]]+1=E68,A68,"")</f>
        <v>100222</v>
      </c>
      <c r="G67" s="15" t="s">
        <v>133</v>
      </c>
      <c r="H67" s="15" t="str">
        <f t="shared" si="47"/>
        <v>5~8</v>
      </c>
      <c r="I67" s="18" t="s">
        <v>232</v>
      </c>
      <c r="J67" s="16" t="s">
        <v>51</v>
      </c>
      <c r="K67" s="19" t="s">
        <v>199</v>
      </c>
      <c r="L67" s="15" t="s">
        <v>129</v>
      </c>
      <c r="M67" s="7"/>
      <c r="N67" s="7"/>
      <c r="O67" s="8"/>
      <c r="P67" s="8" t="s">
        <v>26</v>
      </c>
      <c r="Q67" s="8">
        <f t="shared" si="50"/>
        <v>3</v>
      </c>
      <c r="R67" s="9">
        <v>5</v>
      </c>
      <c r="S67" s="8">
        <f>R67</f>
        <v>5</v>
      </c>
      <c r="T67" s="8">
        <f t="shared" si="58"/>
        <v>8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f t="shared" si="6"/>
        <v>100222</v>
      </c>
      <c r="B68" s="15" t="s">
        <v>300</v>
      </c>
      <c r="C68" s="52" t="s">
        <v>428</v>
      </c>
      <c r="D68" s="47" t="str">
        <f>[1]!颜色转换成内嵌函数()</f>
        <v>※color(88,214,202)[]</v>
      </c>
      <c r="E68" s="15">
        <f t="shared" si="7"/>
        <v>2</v>
      </c>
      <c r="F68" s="15">
        <f>IF(表1[[#This Row],[level]]+1=E69,A69,"")</f>
        <v>100223</v>
      </c>
      <c r="G68" s="15" t="s">
        <v>133</v>
      </c>
      <c r="H68" s="15" t="str">
        <f t="shared" si="47"/>
        <v>8~12</v>
      </c>
      <c r="I68" s="18" t="s">
        <v>232</v>
      </c>
      <c r="J68" s="16" t="s">
        <v>51</v>
      </c>
      <c r="K68" s="19" t="s">
        <v>200</v>
      </c>
      <c r="L68" s="15" t="s">
        <v>109</v>
      </c>
      <c r="M68" s="7"/>
      <c r="N68" s="7"/>
      <c r="O68" s="8"/>
      <c r="P68" s="8" t="s">
        <v>26</v>
      </c>
      <c r="Q68" s="8">
        <f t="shared" si="50"/>
        <v>4</v>
      </c>
      <c r="R68" s="8">
        <f>R67+Q68/2</f>
        <v>7</v>
      </c>
      <c r="S68" s="8">
        <f>S67+Q67/2+1</f>
        <v>7.5</v>
      </c>
      <c r="T68" s="8">
        <f t="shared" si="58"/>
        <v>11.5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f t="shared" si="6"/>
        <v>100223</v>
      </c>
      <c r="B69" s="15" t="s">
        <v>301</v>
      </c>
      <c r="C69" s="52" t="s">
        <v>429</v>
      </c>
      <c r="D69" s="47" t="str">
        <f>[1]!颜色转换成内嵌函数()</f>
        <v>※color(88,214,202)[]</v>
      </c>
      <c r="E69" s="15">
        <f t="shared" si="7"/>
        <v>3</v>
      </c>
      <c r="F69" s="15" t="str">
        <f>IF(表1[[#This Row],[level]]+1=E70,A70,"")</f>
        <v/>
      </c>
      <c r="G69" s="15" t="s">
        <v>133</v>
      </c>
      <c r="H69" s="15" t="str">
        <f t="shared" si="47"/>
        <v>11~16</v>
      </c>
      <c r="I69" s="18" t="s">
        <v>232</v>
      </c>
      <c r="J69" s="16" t="s">
        <v>51</v>
      </c>
      <c r="K69" s="19" t="s">
        <v>201</v>
      </c>
      <c r="L69" s="15" t="s">
        <v>129</v>
      </c>
      <c r="M69" s="7"/>
      <c r="N69" s="7"/>
      <c r="O69" s="8"/>
      <c r="P69" s="8" t="s">
        <v>26</v>
      </c>
      <c r="Q69" s="8">
        <f t="shared" si="50"/>
        <v>5</v>
      </c>
      <c r="R69" s="8">
        <f t="shared" ref="R69" si="61">R68+Q69/2</f>
        <v>9.5</v>
      </c>
      <c r="S69" s="8">
        <f t="shared" ref="S69" si="62">S68+Q68/2+1</f>
        <v>10.5</v>
      </c>
      <c r="T69" s="8">
        <f t="shared" si="58"/>
        <v>15.5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f t="shared" si="6"/>
        <v>100231</v>
      </c>
      <c r="B70" s="15" t="s">
        <v>302</v>
      </c>
      <c r="C70" s="52" t="s">
        <v>430</v>
      </c>
      <c r="D70" s="48" t="str">
        <f>[1]!颜色转换成内嵌函数()</f>
        <v>※color(93,152,171)[]</v>
      </c>
      <c r="E70" s="15">
        <f t="shared" si="7"/>
        <v>1</v>
      </c>
      <c r="F70" s="15">
        <f>IF(表1[[#This Row],[level]]+1=E71,A71,"")</f>
        <v>100232</v>
      </c>
      <c r="G70" s="15" t="s">
        <v>133</v>
      </c>
      <c r="H70" s="15" t="str">
        <f t="shared" si="47"/>
        <v>5~8</v>
      </c>
      <c r="I70" s="18" t="s">
        <v>233</v>
      </c>
      <c r="J70" s="16" t="s">
        <v>51</v>
      </c>
      <c r="K70" s="19" t="s">
        <v>202</v>
      </c>
      <c r="L70" s="15" t="s">
        <v>110</v>
      </c>
      <c r="M70" s="7"/>
      <c r="N70" s="7"/>
      <c r="O70" s="8"/>
      <c r="P70" s="8" t="s">
        <v>27</v>
      </c>
      <c r="Q70" s="8">
        <f t="shared" si="50"/>
        <v>3</v>
      </c>
      <c r="R70" s="9">
        <v>5</v>
      </c>
      <c r="S70" s="8">
        <f>R70</f>
        <v>5</v>
      </c>
      <c r="T70" s="8">
        <f>Q70+S70</f>
        <v>8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f t="shared" si="6"/>
        <v>100232</v>
      </c>
      <c r="B71" s="15" t="s">
        <v>303</v>
      </c>
      <c r="C71" s="52" t="s">
        <v>431</v>
      </c>
      <c r="D71" s="48" t="str">
        <f>[1]!颜色转换成内嵌函数()</f>
        <v>※color(93,152,171)[]</v>
      </c>
      <c r="E71" s="15">
        <f t="shared" si="7"/>
        <v>2</v>
      </c>
      <c r="F71" s="15">
        <f>IF(表1[[#This Row],[level]]+1=E72,A72,"")</f>
        <v>100233</v>
      </c>
      <c r="G71" s="15" t="s">
        <v>133</v>
      </c>
      <c r="H71" s="15" t="str">
        <f t="shared" si="47"/>
        <v>8~12</v>
      </c>
      <c r="I71" s="18" t="s">
        <v>233</v>
      </c>
      <c r="J71" s="16" t="s">
        <v>51</v>
      </c>
      <c r="K71" s="19" t="s">
        <v>203</v>
      </c>
      <c r="L71" s="15" t="s">
        <v>110</v>
      </c>
      <c r="M71" s="7"/>
      <c r="N71" s="7"/>
      <c r="O71" s="8"/>
      <c r="P71" s="8" t="s">
        <v>27</v>
      </c>
      <c r="Q71" s="8">
        <f t="shared" si="50"/>
        <v>4</v>
      </c>
      <c r="R71" s="8">
        <f>R70+Q71/2</f>
        <v>7</v>
      </c>
      <c r="S71" s="8">
        <f>S70+Q70/2+1</f>
        <v>7.5</v>
      </c>
      <c r="T71" s="8">
        <f t="shared" ref="T71:T75" si="63">Q71+S71</f>
        <v>11.5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f t="shared" ref="A72:A78" si="64">A69+10</f>
        <v>100233</v>
      </c>
      <c r="B72" s="15" t="s">
        <v>304</v>
      </c>
      <c r="C72" s="52" t="s">
        <v>432</v>
      </c>
      <c r="D72" s="48" t="str">
        <f>[1]!颜色转换成内嵌函数()</f>
        <v>※color(93,152,171)[]</v>
      </c>
      <c r="E72" s="15">
        <f t="shared" ref="E72:E78" si="65">E69</f>
        <v>3</v>
      </c>
      <c r="F72" s="15" t="str">
        <f>IF(表1[[#This Row],[level]]+1=E73,A73,"")</f>
        <v/>
      </c>
      <c r="G72" s="15" t="s">
        <v>133</v>
      </c>
      <c r="H72" s="15" t="str">
        <f t="shared" si="47"/>
        <v>11~16</v>
      </c>
      <c r="I72" s="18" t="s">
        <v>233</v>
      </c>
      <c r="J72" s="16" t="s">
        <v>51</v>
      </c>
      <c r="K72" s="19" t="s">
        <v>204</v>
      </c>
      <c r="L72" s="15" t="s">
        <v>130</v>
      </c>
      <c r="M72" s="7"/>
      <c r="N72" s="7"/>
      <c r="O72" s="8"/>
      <c r="P72" s="8" t="s">
        <v>27</v>
      </c>
      <c r="Q72" s="8">
        <f t="shared" si="50"/>
        <v>5</v>
      </c>
      <c r="R72" s="8">
        <f t="shared" ref="R72" si="66">R71+Q72/2</f>
        <v>9.5</v>
      </c>
      <c r="S72" s="8">
        <f t="shared" ref="S72" si="67">S71+Q71/2+1</f>
        <v>10.5</v>
      </c>
      <c r="T72" s="8">
        <f t="shared" si="63"/>
        <v>15.5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f t="shared" si="64"/>
        <v>100241</v>
      </c>
      <c r="B73" s="15" t="s">
        <v>305</v>
      </c>
      <c r="C73" s="52" t="s">
        <v>433</v>
      </c>
      <c r="D73" s="49" t="str">
        <f>[1]!颜色转换成内嵌函数()</f>
        <v>※color(186,122,36)[]</v>
      </c>
      <c r="E73" s="15">
        <f t="shared" si="65"/>
        <v>1</v>
      </c>
      <c r="F73" s="15">
        <f>IF(表1[[#This Row],[level]]+1=E74,A74,"")</f>
        <v>100242</v>
      </c>
      <c r="G73" s="15" t="s">
        <v>133</v>
      </c>
      <c r="H73" s="15" t="str">
        <f t="shared" si="47"/>
        <v>5~8</v>
      </c>
      <c r="I73" s="18" t="s">
        <v>234</v>
      </c>
      <c r="J73" s="16" t="s">
        <v>51</v>
      </c>
      <c r="K73" s="19" t="s">
        <v>205</v>
      </c>
      <c r="L73" s="15" t="s">
        <v>130</v>
      </c>
      <c r="M73" s="7"/>
      <c r="N73" s="7"/>
      <c r="O73" s="8"/>
      <c r="P73" s="8" t="s">
        <v>28</v>
      </c>
      <c r="Q73" s="8">
        <f t="shared" si="50"/>
        <v>3</v>
      </c>
      <c r="R73" s="9">
        <v>5</v>
      </c>
      <c r="S73" s="8">
        <f>R73</f>
        <v>5</v>
      </c>
      <c r="T73" s="8">
        <f t="shared" si="63"/>
        <v>8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f t="shared" si="64"/>
        <v>100242</v>
      </c>
      <c r="B74" s="15" t="s">
        <v>306</v>
      </c>
      <c r="C74" s="52" t="s">
        <v>434</v>
      </c>
      <c r="D74" s="49" t="str">
        <f>[1]!颜色转换成内嵌函数()</f>
        <v>※color(186,122,36)[]</v>
      </c>
      <c r="E74" s="15">
        <f t="shared" si="65"/>
        <v>2</v>
      </c>
      <c r="F74" s="15">
        <f>IF(表1[[#This Row],[level]]+1=E75,A75,"")</f>
        <v>100243</v>
      </c>
      <c r="G74" s="15" t="s">
        <v>133</v>
      </c>
      <c r="H74" s="15" t="str">
        <f t="shared" si="47"/>
        <v>8~12</v>
      </c>
      <c r="I74" s="18" t="s">
        <v>234</v>
      </c>
      <c r="J74" s="16" t="s">
        <v>51</v>
      </c>
      <c r="K74" s="19" t="s">
        <v>206</v>
      </c>
      <c r="L74" s="15" t="s">
        <v>110</v>
      </c>
      <c r="M74" s="7"/>
      <c r="N74" s="7"/>
      <c r="O74" s="8"/>
      <c r="P74" s="8" t="s">
        <v>28</v>
      </c>
      <c r="Q74" s="8">
        <f t="shared" si="50"/>
        <v>4</v>
      </c>
      <c r="R74" s="8">
        <f>R73+Q74/2</f>
        <v>7</v>
      </c>
      <c r="S74" s="8">
        <f>S73+Q73/2+1</f>
        <v>7.5</v>
      </c>
      <c r="T74" s="8">
        <f t="shared" si="63"/>
        <v>11.5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f t="shared" si="64"/>
        <v>100243</v>
      </c>
      <c r="B75" s="15" t="s">
        <v>307</v>
      </c>
      <c r="C75" s="52" t="s">
        <v>435</v>
      </c>
      <c r="D75" s="49" t="str">
        <f>[1]!颜色转换成内嵌函数()</f>
        <v>※color(186,122,36)[]</v>
      </c>
      <c r="E75" s="15">
        <f t="shared" si="65"/>
        <v>3</v>
      </c>
      <c r="F75" s="15" t="str">
        <f>IF(表1[[#This Row],[level]]+1=E76,A76,"")</f>
        <v/>
      </c>
      <c r="G75" s="15" t="s">
        <v>133</v>
      </c>
      <c r="H75" s="15" t="str">
        <f t="shared" si="47"/>
        <v>11~16</v>
      </c>
      <c r="I75" s="18" t="s">
        <v>234</v>
      </c>
      <c r="J75" s="16" t="s">
        <v>51</v>
      </c>
      <c r="K75" s="19" t="s">
        <v>207</v>
      </c>
      <c r="L75" s="15" t="s">
        <v>113</v>
      </c>
      <c r="M75" s="7"/>
      <c r="N75" s="7"/>
      <c r="O75" s="8"/>
      <c r="P75" s="8" t="s">
        <v>28</v>
      </c>
      <c r="Q75" s="8">
        <f t="shared" si="50"/>
        <v>5</v>
      </c>
      <c r="R75" s="8">
        <f t="shared" ref="R75" si="68">R74+Q75/2</f>
        <v>9.5</v>
      </c>
      <c r="S75" s="8">
        <f t="shared" ref="S75" si="69">S74+Q74/2+1</f>
        <v>10.5</v>
      </c>
      <c r="T75" s="8">
        <f t="shared" si="63"/>
        <v>15.5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f t="shared" si="64"/>
        <v>100251</v>
      </c>
      <c r="B76" s="15" t="s">
        <v>308</v>
      </c>
      <c r="C76" s="52" t="s">
        <v>436</v>
      </c>
      <c r="D76" s="44" t="str">
        <f>[1]!颜色转换成内嵌函数()</f>
        <v>※color(181,79,79)[]</v>
      </c>
      <c r="E76" s="15">
        <f t="shared" si="65"/>
        <v>1</v>
      </c>
      <c r="F76" s="15">
        <f>IF(表1[[#This Row],[level]]+1=E77,A77,"")</f>
        <v>100252</v>
      </c>
      <c r="G76" s="15" t="s">
        <v>133</v>
      </c>
      <c r="H76" s="15" t="str">
        <f t="shared" si="47"/>
        <v>5~8</v>
      </c>
      <c r="I76" s="18" t="s">
        <v>235</v>
      </c>
      <c r="J76" s="16" t="s">
        <v>51</v>
      </c>
      <c r="K76" s="19" t="s">
        <v>208</v>
      </c>
      <c r="L76" s="15" t="s">
        <v>112</v>
      </c>
      <c r="M76" s="7"/>
      <c r="N76" s="7"/>
      <c r="O76" s="8"/>
      <c r="P76" s="8" t="s">
        <v>28</v>
      </c>
      <c r="Q76" s="8">
        <f t="shared" si="50"/>
        <v>3</v>
      </c>
      <c r="R76" s="9">
        <v>5</v>
      </c>
      <c r="S76" s="8">
        <f>R76</f>
        <v>5</v>
      </c>
      <c r="T76" s="8">
        <f t="shared" ref="T76:T78" si="70">Q76+S76</f>
        <v>8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f t="shared" si="64"/>
        <v>100252</v>
      </c>
      <c r="B77" s="15" t="s">
        <v>309</v>
      </c>
      <c r="C77" s="52" t="s">
        <v>437</v>
      </c>
      <c r="D77" s="44" t="str">
        <f>[1]!颜色转换成内嵌函数()</f>
        <v>※color(181,79,79)[]</v>
      </c>
      <c r="E77" s="15">
        <f t="shared" si="65"/>
        <v>2</v>
      </c>
      <c r="F77" s="15">
        <f>IF(表1[[#This Row],[level]]+1=E78,A78,"")</f>
        <v>100253</v>
      </c>
      <c r="G77" s="15" t="s">
        <v>133</v>
      </c>
      <c r="H77" s="15" t="str">
        <f t="shared" si="47"/>
        <v>8~12</v>
      </c>
      <c r="I77" s="18" t="s">
        <v>235</v>
      </c>
      <c r="J77" s="16" t="s">
        <v>51</v>
      </c>
      <c r="K77" s="19" t="s">
        <v>209</v>
      </c>
      <c r="L77" s="15" t="s">
        <v>131</v>
      </c>
      <c r="M77" s="7"/>
      <c r="N77" s="7"/>
      <c r="O77" s="8"/>
      <c r="P77" s="8" t="s">
        <v>28</v>
      </c>
      <c r="Q77" s="8">
        <f t="shared" si="50"/>
        <v>4</v>
      </c>
      <c r="R77" s="8">
        <f>R76+Q77/2</f>
        <v>7</v>
      </c>
      <c r="S77" s="8">
        <f>S76+Q76/2+1</f>
        <v>7.5</v>
      </c>
      <c r="T77" s="8">
        <f t="shared" si="70"/>
        <v>11.5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f t="shared" si="64"/>
        <v>100253</v>
      </c>
      <c r="B78" s="15" t="s">
        <v>310</v>
      </c>
      <c r="C78" s="52" t="s">
        <v>438</v>
      </c>
      <c r="D78" s="44" t="str">
        <f>[1]!颜色转换成内嵌函数()</f>
        <v>※color(181,79,79)[]</v>
      </c>
      <c r="E78" s="15">
        <f t="shared" si="65"/>
        <v>3</v>
      </c>
      <c r="F78" s="15" t="str">
        <f>IF(表1[[#This Row],[level]]+1=E79,A79,"")</f>
        <v/>
      </c>
      <c r="G78" s="15" t="s">
        <v>133</v>
      </c>
      <c r="H78" s="15" t="str">
        <f t="shared" si="47"/>
        <v>11~16</v>
      </c>
      <c r="I78" s="18" t="s">
        <v>235</v>
      </c>
      <c r="J78" s="16" t="s">
        <v>51</v>
      </c>
      <c r="K78" s="19" t="s">
        <v>210</v>
      </c>
      <c r="L78" s="15" t="s">
        <v>112</v>
      </c>
      <c r="M78" s="7"/>
      <c r="N78" s="7"/>
      <c r="O78" s="8"/>
      <c r="P78" s="8" t="s">
        <v>28</v>
      </c>
      <c r="Q78" s="8">
        <f t="shared" si="50"/>
        <v>5</v>
      </c>
      <c r="R78" s="8">
        <f t="shared" ref="R78" si="71">R77+Q78/2</f>
        <v>9.5</v>
      </c>
      <c r="S78" s="8">
        <f t="shared" ref="S78" si="72">S77+Q77/2+1</f>
        <v>10.5</v>
      </c>
      <c r="T78" s="8">
        <f t="shared" si="70"/>
        <v>15.5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7"/>
      <c r="B79" s="7"/>
      <c r="C79" s="7"/>
      <c r="D79" s="7"/>
      <c r="E79" s="7"/>
      <c r="F79" s="7"/>
      <c r="G79" s="7"/>
      <c r="H79" s="7"/>
      <c r="I79" s="10"/>
      <c r="J79" s="10"/>
      <c r="K79" s="7"/>
      <c r="L79" s="7"/>
      <c r="M79" s="7"/>
      <c r="N79" s="7"/>
      <c r="O79" s="8"/>
      <c r="P79" s="8"/>
      <c r="Q79" s="8"/>
      <c r="R79" s="8"/>
      <c r="S79" s="8"/>
      <c r="T79" s="8"/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7"/>
      <c r="B80" s="7"/>
      <c r="C80" s="7"/>
      <c r="D80" s="7"/>
      <c r="E80" s="7"/>
      <c r="F80" s="7"/>
      <c r="G80" s="7"/>
      <c r="H80" s="7"/>
      <c r="I80" s="10"/>
      <c r="J80" s="10"/>
      <c r="K80" s="7"/>
      <c r="L80" s="7"/>
      <c r="M80" s="7"/>
      <c r="N80" s="7"/>
      <c r="O80" s="8"/>
      <c r="P80" s="8"/>
      <c r="Q80" s="8"/>
      <c r="R80" s="8"/>
      <c r="S80" s="8"/>
      <c r="T80" s="8"/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7"/>
      <c r="B81" s="7"/>
      <c r="C81" s="7"/>
      <c r="D81" s="7"/>
      <c r="E81" s="7"/>
      <c r="F81" s="7"/>
      <c r="G81" s="7"/>
      <c r="H81" s="7"/>
      <c r="I81" s="10"/>
      <c r="J81" s="10"/>
      <c r="K81" s="7"/>
      <c r="L81" s="7"/>
      <c r="M81" s="7"/>
      <c r="N81" s="7"/>
      <c r="O81" s="8"/>
      <c r="P81" s="8"/>
      <c r="Q81" s="8"/>
      <c r="R81" s="8"/>
      <c r="S81" s="8"/>
      <c r="T81" s="8"/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7"/>
      <c r="B82" s="7"/>
      <c r="C82" s="7"/>
      <c r="D82" s="7"/>
      <c r="E82" s="7"/>
      <c r="F82" s="7"/>
      <c r="G82" s="7"/>
      <c r="H82" s="7"/>
      <c r="I82" s="10"/>
      <c r="J82" s="10"/>
      <c r="K82" s="7"/>
      <c r="L82" s="7"/>
      <c r="M82" s="7"/>
      <c r="N82" s="7"/>
      <c r="O82" s="8"/>
      <c r="P82" s="8"/>
      <c r="Q82" s="8"/>
      <c r="R82" s="9"/>
      <c r="S82" s="8"/>
      <c r="T82" s="8"/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7"/>
      <c r="B83" s="7"/>
      <c r="C83" s="7"/>
      <c r="D83" s="7"/>
      <c r="E83" s="7"/>
      <c r="F83" s="7"/>
      <c r="G83" s="7"/>
      <c r="H83" s="7"/>
      <c r="I83" s="10"/>
      <c r="J83" s="10"/>
      <c r="K83" s="7"/>
      <c r="L83" s="7"/>
      <c r="M83" s="7"/>
      <c r="N83" s="7"/>
      <c r="O83" s="8"/>
      <c r="P83" s="8"/>
      <c r="Q83" s="8"/>
      <c r="R83" s="8"/>
      <c r="S83" s="8"/>
      <c r="T83" s="8"/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7"/>
      <c r="B84" s="7"/>
      <c r="C84" s="7"/>
      <c r="D84" s="7"/>
      <c r="E84" s="7"/>
      <c r="F84" s="7"/>
      <c r="G84" s="7"/>
      <c r="H84" s="7"/>
      <c r="I84" s="10"/>
      <c r="J84" s="10"/>
      <c r="K84" s="7"/>
      <c r="L84" s="7"/>
      <c r="M84" s="7"/>
      <c r="N84" s="7"/>
      <c r="O84" s="8"/>
      <c r="P84" s="8"/>
      <c r="Q84" s="8"/>
      <c r="R84" s="8"/>
      <c r="S84" s="8"/>
      <c r="T84" s="8"/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7"/>
      <c r="B85" s="7"/>
      <c r="C85" s="7"/>
      <c r="D85" s="7"/>
      <c r="E85" s="7"/>
      <c r="F85" s="7"/>
      <c r="G85" s="7"/>
      <c r="H85" s="7"/>
      <c r="I85" s="10"/>
      <c r="J85" s="10"/>
      <c r="K85" s="7"/>
      <c r="L85" s="7"/>
      <c r="M85" s="7"/>
      <c r="N85" s="7"/>
      <c r="O85" s="8"/>
      <c r="P85" s="8"/>
      <c r="Q85" s="8"/>
      <c r="R85" s="8"/>
      <c r="S85" s="8"/>
      <c r="T85" s="8"/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7"/>
      <c r="B86" s="7"/>
      <c r="C86" s="7"/>
      <c r="D86" s="7"/>
      <c r="E86" s="7"/>
      <c r="F86" s="7"/>
      <c r="G86" s="7"/>
      <c r="H86" s="7"/>
      <c r="I86" s="10"/>
      <c r="J86" s="10"/>
      <c r="K86" s="7"/>
      <c r="L86" s="7"/>
      <c r="M86" s="7"/>
      <c r="N86" s="7"/>
      <c r="O86" s="8"/>
      <c r="P86" s="8"/>
      <c r="Q86" s="8"/>
      <c r="R86" s="8"/>
      <c r="S86" s="8"/>
      <c r="T86" s="8"/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7"/>
      <c r="B87" s="7"/>
      <c r="C87" s="7"/>
      <c r="D87" s="7"/>
      <c r="E87" s="7"/>
      <c r="F87" s="7"/>
      <c r="G87" s="7"/>
      <c r="H87" s="7"/>
      <c r="I87" s="10"/>
      <c r="J87" s="10"/>
      <c r="K87" s="7"/>
      <c r="L87" s="7"/>
      <c r="M87" s="7"/>
      <c r="N87" s="7"/>
      <c r="O87" s="8"/>
      <c r="P87" s="8"/>
      <c r="Q87" s="8"/>
      <c r="R87" s="8"/>
      <c r="S87" s="8"/>
      <c r="T87" s="8"/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7"/>
      <c r="B88" s="7"/>
      <c r="C88" s="7"/>
      <c r="D88" s="7"/>
      <c r="E88" s="7"/>
      <c r="F88" s="7"/>
      <c r="G88" s="7"/>
      <c r="H88" s="7"/>
      <c r="I88" s="10"/>
      <c r="J88" s="10"/>
      <c r="K88" s="7"/>
      <c r="L88" s="7"/>
    </row>
    <row r="89" spans="1:28" x14ac:dyDescent="0.3">
      <c r="A89" s="7"/>
      <c r="B89" s="7"/>
      <c r="C89" s="7"/>
      <c r="D89" s="7"/>
      <c r="E89" s="7"/>
      <c r="F89" s="7"/>
      <c r="G89" s="7"/>
      <c r="H89" s="7"/>
      <c r="I89" s="10"/>
      <c r="J89" s="10"/>
      <c r="K89" s="7"/>
      <c r="L89" s="7"/>
    </row>
    <row r="90" spans="1:28" x14ac:dyDescent="0.3">
      <c r="A90" s="7"/>
      <c r="B90" s="7"/>
      <c r="C90" s="7"/>
      <c r="D90" s="7"/>
      <c r="E90" s="7"/>
      <c r="F90" s="7"/>
      <c r="G90" s="7"/>
      <c r="H90" s="7"/>
      <c r="I90" s="10"/>
      <c r="J90" s="10"/>
      <c r="K90" s="7"/>
      <c r="L90" s="7"/>
    </row>
    <row r="91" spans="1:28" x14ac:dyDescent="0.3">
      <c r="A91" s="7"/>
      <c r="B91" s="7"/>
      <c r="C91" s="7"/>
      <c r="D91" s="7"/>
      <c r="E91" s="7"/>
      <c r="F91" s="7"/>
      <c r="G91" s="7"/>
      <c r="H91" s="7"/>
      <c r="I91" s="10"/>
      <c r="J91" s="10"/>
      <c r="K91" s="7"/>
      <c r="L91" s="7"/>
    </row>
    <row r="92" spans="1:28" x14ac:dyDescent="0.3">
      <c r="A92" s="7"/>
      <c r="B92" s="7"/>
      <c r="C92" s="7"/>
      <c r="D92" s="7"/>
      <c r="E92" s="7"/>
      <c r="F92" s="7"/>
      <c r="G92" s="7"/>
      <c r="H92" s="7"/>
      <c r="I92" s="10"/>
      <c r="J92" s="10"/>
      <c r="K92" s="7"/>
      <c r="L92" s="7"/>
    </row>
    <row r="93" spans="1:28" x14ac:dyDescent="0.3">
      <c r="A93" s="7"/>
      <c r="B93" s="7"/>
      <c r="C93" s="7"/>
      <c r="D93" s="7"/>
      <c r="E93" s="7"/>
      <c r="F93" s="7"/>
      <c r="G93" s="7"/>
      <c r="H93" s="7"/>
      <c r="I93" s="10"/>
      <c r="J93" s="10"/>
      <c r="K93" s="7"/>
      <c r="L93" s="7"/>
    </row>
    <row r="94" spans="1:28" x14ac:dyDescent="0.3">
      <c r="A94" s="7"/>
      <c r="B94" s="7"/>
      <c r="C94" s="7"/>
      <c r="D94" s="7"/>
      <c r="E94" s="7"/>
      <c r="F94" s="7"/>
      <c r="G94" s="7"/>
      <c r="H94" s="7"/>
      <c r="I94" s="10"/>
      <c r="J94" s="10"/>
      <c r="K94" s="7"/>
      <c r="L94" s="7"/>
    </row>
    <row r="95" spans="1:28" x14ac:dyDescent="0.3">
      <c r="A95" s="7"/>
      <c r="B95" s="7"/>
      <c r="C95" s="7"/>
      <c r="D95" s="7"/>
      <c r="E95" s="7"/>
      <c r="F95" s="7"/>
      <c r="G95" s="7"/>
      <c r="H95" s="7"/>
      <c r="I95" s="10"/>
      <c r="J95" s="10"/>
      <c r="K95" s="7"/>
      <c r="L95" s="7"/>
    </row>
    <row r="96" spans="1:28" x14ac:dyDescent="0.3">
      <c r="A96" s="7"/>
      <c r="B96" s="7"/>
      <c r="C96" s="7"/>
      <c r="D96" s="7"/>
      <c r="E96" s="7"/>
      <c r="F96" s="7"/>
      <c r="G96" s="7"/>
      <c r="H96" s="7"/>
      <c r="I96" s="10"/>
      <c r="J96" s="10"/>
      <c r="K96" s="7"/>
      <c r="L96" s="7"/>
    </row>
    <row r="97" spans="1:12" x14ac:dyDescent="0.3">
      <c r="A97" s="7"/>
      <c r="B97" s="7"/>
      <c r="C97" s="7"/>
      <c r="D97" s="7"/>
      <c r="E97" s="7"/>
      <c r="F97" s="7"/>
      <c r="G97" s="7"/>
      <c r="H97" s="7"/>
      <c r="I97" s="10"/>
      <c r="J97" s="10"/>
      <c r="K97" s="7"/>
      <c r="L97" s="7"/>
    </row>
    <row r="98" spans="1:12" x14ac:dyDescent="0.3">
      <c r="A98" s="7"/>
      <c r="B98" s="7"/>
      <c r="C98" s="7"/>
      <c r="D98" s="7"/>
      <c r="E98" s="7"/>
      <c r="F98" s="7"/>
      <c r="G98" s="7"/>
      <c r="H98" s="7"/>
      <c r="I98" s="10"/>
      <c r="J98" s="10"/>
      <c r="K98" s="7"/>
      <c r="L98" s="7"/>
    </row>
    <row r="99" spans="1:12" x14ac:dyDescent="0.3">
      <c r="A99" s="7"/>
      <c r="B99" s="7"/>
      <c r="C99" s="7"/>
      <c r="D99" s="7"/>
      <c r="E99" s="7"/>
      <c r="F99" s="7"/>
      <c r="G99" s="7"/>
      <c r="H99" s="7"/>
      <c r="I99" s="10"/>
      <c r="J99" s="10"/>
      <c r="K99" s="7"/>
      <c r="L99" s="7"/>
    </row>
    <row r="100" spans="1:12" x14ac:dyDescent="0.3">
      <c r="A100" s="7"/>
      <c r="B100" s="7"/>
      <c r="C100" s="7"/>
      <c r="D100" s="7"/>
      <c r="E100" s="7"/>
      <c r="F100" s="7"/>
      <c r="G100" s="7"/>
      <c r="H100" s="7"/>
      <c r="I100" s="10"/>
      <c r="J100" s="10"/>
      <c r="K100" s="7"/>
      <c r="L100" s="7"/>
    </row>
    <row r="101" spans="1:12" x14ac:dyDescent="0.3">
      <c r="A101" s="7"/>
      <c r="B101" s="7"/>
      <c r="C101" s="7"/>
      <c r="D101" s="7"/>
      <c r="E101" s="7"/>
      <c r="F101" s="7"/>
      <c r="G101" s="7"/>
      <c r="H101" s="7"/>
      <c r="I101" s="10"/>
      <c r="J101" s="10"/>
      <c r="K101" s="7"/>
      <c r="L101" s="7"/>
    </row>
    <row r="102" spans="1:12" x14ac:dyDescent="0.3">
      <c r="F102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68" priority="10"/>
  </conditionalFormatting>
  <conditionalFormatting sqref="A4:A78">
    <cfRule type="duplicateValues" dxfId="0" priority="1"/>
  </conditionalFormatting>
  <dataValidations count="1">
    <dataValidation type="list" allowBlank="1" showInputMessage="1" showErrorMessage="1" sqref="J4:J78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2" sqref="B32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72</v>
      </c>
      <c r="B1" s="14" t="s">
        <v>74</v>
      </c>
      <c r="C1" s="14" t="s">
        <v>75</v>
      </c>
    </row>
    <row r="2" spans="1:3" ht="16.5" x14ac:dyDescent="0.15">
      <c r="A2" s="15" t="s">
        <v>17</v>
      </c>
      <c r="B2" s="22" t="s">
        <v>64</v>
      </c>
      <c r="C2" s="15" t="s">
        <v>63</v>
      </c>
    </row>
    <row r="3" spans="1:3" ht="15" x14ac:dyDescent="0.15">
      <c r="A3" s="17" t="s">
        <v>0</v>
      </c>
      <c r="B3" s="23" t="s">
        <v>65</v>
      </c>
      <c r="C3" s="17" t="s">
        <v>73</v>
      </c>
    </row>
    <row r="4" spans="1:3" ht="16.5" x14ac:dyDescent="0.15">
      <c r="A4" s="15">
        <v>1</v>
      </c>
      <c r="B4" s="15" t="s">
        <v>94</v>
      </c>
      <c r="C4" s="15" t="s">
        <v>97</v>
      </c>
    </row>
    <row r="5" spans="1:3" ht="16.5" x14ac:dyDescent="0.15">
      <c r="A5" s="15">
        <v>2</v>
      </c>
      <c r="B5" s="15" t="s">
        <v>95</v>
      </c>
      <c r="C5" s="15" t="s">
        <v>78</v>
      </c>
    </row>
    <row r="6" spans="1:3" ht="16.5" x14ac:dyDescent="0.15">
      <c r="A6" s="15">
        <v>3</v>
      </c>
      <c r="B6" s="15" t="s">
        <v>79</v>
      </c>
      <c r="C6" s="15" t="s">
        <v>96</v>
      </c>
    </row>
  </sheetData>
  <autoFilter ref="A3:C6"/>
  <phoneticPr fontId="1" type="noConversion"/>
  <conditionalFormatting sqref="A3:C3">
    <cfRule type="duplicateValues" dxfId="165" priority="35"/>
  </conditionalFormatting>
  <conditionalFormatting sqref="A7:A1048576">
    <cfRule type="duplicateValues" dxfId="164" priority="36"/>
  </conditionalFormatting>
  <conditionalFormatting sqref="A4:A6">
    <cfRule type="duplicateValues" dxfId="163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77</v>
      </c>
    </row>
    <row r="2" spans="1:1" ht="15" x14ac:dyDescent="0.15">
      <c r="A2" s="21" t="s">
        <v>61</v>
      </c>
    </row>
    <row r="3" spans="1:1" ht="16.5" x14ac:dyDescent="0.15">
      <c r="A3" s="20" t="s">
        <v>50</v>
      </c>
    </row>
    <row r="4" spans="1:1" ht="16.5" x14ac:dyDescent="0.15">
      <c r="A4" s="20" t="s">
        <v>52</v>
      </c>
    </row>
    <row r="5" spans="1:1" ht="16.5" x14ac:dyDescent="0.15">
      <c r="A5" s="20" t="s">
        <v>54</v>
      </c>
    </row>
    <row r="6" spans="1:1" ht="16.5" x14ac:dyDescent="0.15">
      <c r="A6" s="20" t="s">
        <v>56</v>
      </c>
    </row>
    <row r="7" spans="1:1" ht="16.5" x14ac:dyDescent="0.15">
      <c r="A7" s="20" t="s">
        <v>58</v>
      </c>
    </row>
    <row r="8" spans="1:1" ht="16.5" x14ac:dyDescent="0.15">
      <c r="A8" s="20" t="s">
        <v>62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31" workbookViewId="0">
      <selection activeCell="X47" sqref="X47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29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22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23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24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25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26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27</v>
      </c>
      <c r="C39" s="26"/>
      <c r="D39" s="26"/>
      <c r="E39" s="4"/>
      <c r="H39" s="25" t="s">
        <v>27</v>
      </c>
      <c r="I39" s="26"/>
      <c r="J39" s="26"/>
      <c r="K39" s="4"/>
      <c r="N39" s="25" t="s">
        <v>27</v>
      </c>
      <c r="O39" s="26"/>
      <c r="P39" s="26"/>
      <c r="Q39" s="4"/>
      <c r="T39" s="25" t="s">
        <v>27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28</v>
      </c>
      <c r="C45" s="26"/>
      <c r="D45" s="26"/>
      <c r="E45" s="4"/>
      <c r="H45" s="25" t="s">
        <v>28</v>
      </c>
      <c r="I45" s="26"/>
      <c r="J45" s="26"/>
      <c r="K45" s="4"/>
      <c r="N45" s="25" t="s">
        <v>28</v>
      </c>
      <c r="O45" s="26"/>
      <c r="P45" s="26"/>
      <c r="Q45" s="4"/>
      <c r="T45" s="25" t="s">
        <v>28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30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31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62" priority="178" operator="equal">
      <formula>3</formula>
    </cfRule>
    <cfRule type="cellIs" dxfId="161" priority="179" operator="equal">
      <formula>2</formula>
    </cfRule>
    <cfRule type="cellIs" dxfId="160" priority="180" operator="equal">
      <formula>1</formula>
    </cfRule>
  </conditionalFormatting>
  <conditionalFormatting sqref="H7:I7">
    <cfRule type="cellIs" dxfId="159" priority="172" operator="equal">
      <formula>3</formula>
    </cfRule>
    <cfRule type="cellIs" dxfId="158" priority="173" operator="equal">
      <formula>2</formula>
    </cfRule>
    <cfRule type="cellIs" dxfId="157" priority="174" operator="equal">
      <formula>1</formula>
    </cfRule>
  </conditionalFormatting>
  <conditionalFormatting sqref="K4">
    <cfRule type="cellIs" dxfId="156" priority="166" operator="equal">
      <formula>3</formula>
    </cfRule>
    <cfRule type="cellIs" dxfId="155" priority="167" operator="equal">
      <formula>2</formula>
    </cfRule>
    <cfRule type="cellIs" dxfId="154" priority="168" operator="equal">
      <formula>1</formula>
    </cfRule>
  </conditionalFormatting>
  <conditionalFormatting sqref="Q4:Q6">
    <cfRule type="cellIs" dxfId="153" priority="163" operator="equal">
      <formula>3</formula>
    </cfRule>
    <cfRule type="cellIs" dxfId="152" priority="164" operator="equal">
      <formula>2</formula>
    </cfRule>
    <cfRule type="cellIs" dxfId="151" priority="165" operator="equal">
      <formula>1</formula>
    </cfRule>
  </conditionalFormatting>
  <conditionalFormatting sqref="Q3">
    <cfRule type="cellIs" dxfId="150" priority="160" operator="equal">
      <formula>3</formula>
    </cfRule>
    <cfRule type="cellIs" dxfId="149" priority="161" operator="equal">
      <formula>2</formula>
    </cfRule>
    <cfRule type="cellIs" dxfId="148" priority="162" operator="equal">
      <formula>1</formula>
    </cfRule>
  </conditionalFormatting>
  <conditionalFormatting sqref="E10:E12">
    <cfRule type="cellIs" dxfId="147" priority="157" operator="equal">
      <formula>3</formula>
    </cfRule>
    <cfRule type="cellIs" dxfId="146" priority="158" operator="equal">
      <formula>2</formula>
    </cfRule>
    <cfRule type="cellIs" dxfId="145" priority="159" operator="equal">
      <formula>1</formula>
    </cfRule>
  </conditionalFormatting>
  <conditionalFormatting sqref="Q10:Q12">
    <cfRule type="cellIs" dxfId="144" priority="154" operator="equal">
      <formula>3</formula>
    </cfRule>
    <cfRule type="cellIs" dxfId="143" priority="155" operator="equal">
      <formula>2</formula>
    </cfRule>
    <cfRule type="cellIs" dxfId="142" priority="156" operator="equal">
      <formula>1</formula>
    </cfRule>
  </conditionalFormatting>
  <conditionalFormatting sqref="W8:W12">
    <cfRule type="cellIs" dxfId="141" priority="148" operator="equal">
      <formula>3</formula>
    </cfRule>
    <cfRule type="cellIs" dxfId="140" priority="149" operator="equal">
      <formula>2</formula>
    </cfRule>
    <cfRule type="cellIs" dxfId="139" priority="150" operator="equal">
      <formula>1</formula>
    </cfRule>
  </conditionalFormatting>
  <conditionalFormatting sqref="U13:W13">
    <cfRule type="cellIs" dxfId="138" priority="145" operator="equal">
      <formula>3</formula>
    </cfRule>
    <cfRule type="cellIs" dxfId="137" priority="146" operator="equal">
      <formula>2</formula>
    </cfRule>
    <cfRule type="cellIs" dxfId="136" priority="147" operator="equal">
      <formula>1</formula>
    </cfRule>
  </conditionalFormatting>
  <conditionalFormatting sqref="Q15:Q19">
    <cfRule type="cellIs" dxfId="135" priority="142" operator="equal">
      <formula>3</formula>
    </cfRule>
    <cfRule type="cellIs" dxfId="134" priority="143" operator="equal">
      <formula>2</formula>
    </cfRule>
    <cfRule type="cellIs" dxfId="133" priority="144" operator="equal">
      <formula>1</formula>
    </cfRule>
  </conditionalFormatting>
  <conditionalFormatting sqref="W15:W19">
    <cfRule type="cellIs" dxfId="132" priority="139" operator="equal">
      <formula>3</formula>
    </cfRule>
    <cfRule type="cellIs" dxfId="131" priority="140" operator="equal">
      <formula>2</formula>
    </cfRule>
    <cfRule type="cellIs" dxfId="130" priority="141" operator="equal">
      <formula>1</formula>
    </cfRule>
  </conditionalFormatting>
  <conditionalFormatting sqref="AC15:AC19">
    <cfRule type="cellIs" dxfId="129" priority="136" operator="equal">
      <formula>3</formula>
    </cfRule>
    <cfRule type="cellIs" dxfId="128" priority="137" operator="equal">
      <formula>2</formula>
    </cfRule>
    <cfRule type="cellIs" dxfId="127" priority="138" operator="equal">
      <formula>1</formula>
    </cfRule>
  </conditionalFormatting>
  <conditionalFormatting sqref="W21:W24 W26">
    <cfRule type="cellIs" dxfId="126" priority="133" operator="equal">
      <formula>3</formula>
    </cfRule>
    <cfRule type="cellIs" dxfId="125" priority="134" operator="equal">
      <formula>2</formula>
    </cfRule>
    <cfRule type="cellIs" dxfId="124" priority="135" operator="equal">
      <formula>1</formula>
    </cfRule>
  </conditionalFormatting>
  <conditionalFormatting sqref="S25:Y25">
    <cfRule type="cellIs" dxfId="123" priority="130" operator="equal">
      <formula>3</formula>
    </cfRule>
    <cfRule type="cellIs" dxfId="122" priority="131" operator="equal">
      <formula>2</formula>
    </cfRule>
    <cfRule type="cellIs" dxfId="121" priority="132" operator="equal">
      <formula>1</formula>
    </cfRule>
  </conditionalFormatting>
  <conditionalFormatting sqref="E27:E28">
    <cfRule type="cellIs" dxfId="120" priority="127" operator="equal">
      <formula>3</formula>
    </cfRule>
    <cfRule type="cellIs" dxfId="119" priority="128" operator="equal">
      <formula>2</formula>
    </cfRule>
    <cfRule type="cellIs" dxfId="118" priority="129" operator="equal">
      <formula>1</formula>
    </cfRule>
  </conditionalFormatting>
  <conditionalFormatting sqref="E29:E30">
    <cfRule type="cellIs" dxfId="117" priority="124" operator="equal">
      <formula>3</formula>
    </cfRule>
    <cfRule type="cellIs" dxfId="116" priority="125" operator="equal">
      <formula>2</formula>
    </cfRule>
    <cfRule type="cellIs" dxfId="115" priority="126" operator="equal">
      <formula>1</formula>
    </cfRule>
  </conditionalFormatting>
  <conditionalFormatting sqref="A31:F31">
    <cfRule type="cellIs" dxfId="114" priority="121" operator="equal">
      <formula>3</formula>
    </cfRule>
    <cfRule type="cellIs" dxfId="113" priority="122" operator="equal">
      <formula>2</formula>
    </cfRule>
    <cfRule type="cellIs" dxfId="112" priority="123" operator="equal">
      <formula>1</formula>
    </cfRule>
  </conditionalFormatting>
  <conditionalFormatting sqref="K27:K31">
    <cfRule type="cellIs" dxfId="111" priority="118" operator="equal">
      <formula>3</formula>
    </cfRule>
    <cfRule type="cellIs" dxfId="110" priority="119" operator="equal">
      <formula>2</formula>
    </cfRule>
    <cfRule type="cellIs" dxfId="109" priority="120" operator="equal">
      <formula>1</formula>
    </cfRule>
  </conditionalFormatting>
  <conditionalFormatting sqref="G31:J31">
    <cfRule type="cellIs" dxfId="108" priority="115" operator="equal">
      <formula>3</formula>
    </cfRule>
    <cfRule type="cellIs" dxfId="107" priority="116" operator="equal">
      <formula>2</formula>
    </cfRule>
    <cfRule type="cellIs" dxfId="106" priority="117" operator="equal">
      <formula>1</formula>
    </cfRule>
  </conditionalFormatting>
  <conditionalFormatting sqref="Q27:Q30">
    <cfRule type="cellIs" dxfId="105" priority="112" operator="equal">
      <formula>3</formula>
    </cfRule>
    <cfRule type="cellIs" dxfId="104" priority="113" operator="equal">
      <formula>2</formula>
    </cfRule>
    <cfRule type="cellIs" dxfId="103" priority="114" operator="equal">
      <formula>1</formula>
    </cfRule>
  </conditionalFormatting>
  <conditionalFormatting sqref="M31:Q31">
    <cfRule type="cellIs" dxfId="102" priority="109" operator="equal">
      <formula>3</formula>
    </cfRule>
    <cfRule type="cellIs" dxfId="101" priority="110" operator="equal">
      <formula>2</formula>
    </cfRule>
    <cfRule type="cellIs" dxfId="100" priority="111" operator="equal">
      <formula>1</formula>
    </cfRule>
  </conditionalFormatting>
  <conditionalFormatting sqref="W27:W30">
    <cfRule type="cellIs" dxfId="99" priority="106" operator="equal">
      <formula>3</formula>
    </cfRule>
    <cfRule type="cellIs" dxfId="98" priority="107" operator="equal">
      <formula>2</formula>
    </cfRule>
    <cfRule type="cellIs" dxfId="97" priority="108" operator="equal">
      <formula>1</formula>
    </cfRule>
  </conditionalFormatting>
  <conditionalFormatting sqref="R31:Y31">
    <cfRule type="cellIs" dxfId="96" priority="103" operator="equal">
      <formula>3</formula>
    </cfRule>
    <cfRule type="cellIs" dxfId="95" priority="104" operator="equal">
      <formula>2</formula>
    </cfRule>
    <cfRule type="cellIs" dxfId="94" priority="105" operator="equal">
      <formula>1</formula>
    </cfRule>
  </conditionalFormatting>
  <conditionalFormatting sqref="E33:E36">
    <cfRule type="cellIs" dxfId="93" priority="100" operator="equal">
      <formula>3</formula>
    </cfRule>
    <cfRule type="cellIs" dxfId="92" priority="101" operator="equal">
      <formula>2</formula>
    </cfRule>
    <cfRule type="cellIs" dxfId="91" priority="102" operator="equal">
      <formula>1</formula>
    </cfRule>
  </conditionalFormatting>
  <conditionalFormatting sqref="A37:E37">
    <cfRule type="cellIs" dxfId="90" priority="97" operator="equal">
      <formula>3</formula>
    </cfRule>
    <cfRule type="cellIs" dxfId="89" priority="98" operator="equal">
      <formula>2</formula>
    </cfRule>
    <cfRule type="cellIs" dxfId="88" priority="99" operator="equal">
      <formula>1</formula>
    </cfRule>
  </conditionalFormatting>
  <conditionalFormatting sqref="K33:K37">
    <cfRule type="cellIs" dxfId="87" priority="94" operator="equal">
      <formula>3</formula>
    </cfRule>
    <cfRule type="cellIs" dxfId="86" priority="95" operator="equal">
      <formula>2</formula>
    </cfRule>
    <cfRule type="cellIs" dxfId="85" priority="96" operator="equal">
      <formula>1</formula>
    </cfRule>
  </conditionalFormatting>
  <conditionalFormatting sqref="Q34:Q36">
    <cfRule type="cellIs" dxfId="84" priority="91" operator="equal">
      <formula>3</formula>
    </cfRule>
    <cfRule type="cellIs" dxfId="83" priority="92" operator="equal">
      <formula>2</formula>
    </cfRule>
    <cfRule type="cellIs" dxfId="82" priority="93" operator="equal">
      <formula>1</formula>
    </cfRule>
  </conditionalFormatting>
  <conditionalFormatting sqref="M37:Q37">
    <cfRule type="cellIs" dxfId="81" priority="85" operator="equal">
      <formula>3</formula>
    </cfRule>
    <cfRule type="cellIs" dxfId="80" priority="86" operator="equal">
      <formula>2</formula>
    </cfRule>
    <cfRule type="cellIs" dxfId="79" priority="87" operator="equal">
      <formula>1</formula>
    </cfRule>
  </conditionalFormatting>
  <conditionalFormatting sqref="W33:W37">
    <cfRule type="cellIs" dxfId="78" priority="82" operator="equal">
      <formula>3</formula>
    </cfRule>
    <cfRule type="cellIs" dxfId="77" priority="83" operator="equal">
      <formula>2</formula>
    </cfRule>
    <cfRule type="cellIs" dxfId="76" priority="84" operator="equal">
      <formula>1</formula>
    </cfRule>
  </conditionalFormatting>
  <conditionalFormatting sqref="E39:E42">
    <cfRule type="cellIs" dxfId="75" priority="79" operator="equal">
      <formula>3</formula>
    </cfRule>
    <cfRule type="cellIs" dxfId="74" priority="80" operator="equal">
      <formula>2</formula>
    </cfRule>
    <cfRule type="cellIs" dxfId="73" priority="81" operator="equal">
      <formula>1</formula>
    </cfRule>
  </conditionalFormatting>
  <conditionalFormatting sqref="A43:F43">
    <cfRule type="cellIs" dxfId="72" priority="76" operator="equal">
      <formula>3</formula>
    </cfRule>
    <cfRule type="cellIs" dxfId="71" priority="77" operator="equal">
      <formula>2</formula>
    </cfRule>
    <cfRule type="cellIs" dxfId="70" priority="78" operator="equal">
      <formula>1</formula>
    </cfRule>
  </conditionalFormatting>
  <conditionalFormatting sqref="K39:K42">
    <cfRule type="cellIs" dxfId="69" priority="73" operator="equal">
      <formula>3</formula>
    </cfRule>
    <cfRule type="cellIs" dxfId="68" priority="74" operator="equal">
      <formula>2</formula>
    </cfRule>
    <cfRule type="cellIs" dxfId="67" priority="75" operator="equal">
      <formula>1</formula>
    </cfRule>
  </conditionalFormatting>
  <conditionalFormatting sqref="G43:K43">
    <cfRule type="cellIs" dxfId="66" priority="70" operator="equal">
      <formula>3</formula>
    </cfRule>
    <cfRule type="cellIs" dxfId="65" priority="71" operator="equal">
      <formula>2</formula>
    </cfRule>
    <cfRule type="cellIs" dxfId="64" priority="72" operator="equal">
      <formula>1</formula>
    </cfRule>
  </conditionalFormatting>
  <conditionalFormatting sqref="W38:W42">
    <cfRule type="cellIs" dxfId="63" priority="67" operator="equal">
      <formula>3</formula>
    </cfRule>
    <cfRule type="cellIs" dxfId="62" priority="68" operator="equal">
      <formula>2</formula>
    </cfRule>
    <cfRule type="cellIs" dxfId="61" priority="69" operator="equal">
      <formula>1</formula>
    </cfRule>
  </conditionalFormatting>
  <conditionalFormatting sqref="S43:Y43">
    <cfRule type="cellIs" dxfId="60" priority="64" operator="equal">
      <formula>3</formula>
    </cfRule>
    <cfRule type="cellIs" dxfId="59" priority="65" operator="equal">
      <formula>2</formula>
    </cfRule>
    <cfRule type="cellIs" dxfId="58" priority="66" operator="equal">
      <formula>1</formula>
    </cfRule>
  </conditionalFormatting>
  <conditionalFormatting sqref="E45:E48">
    <cfRule type="cellIs" dxfId="57" priority="61" operator="equal">
      <formula>3</formula>
    </cfRule>
    <cfRule type="cellIs" dxfId="56" priority="62" operator="equal">
      <formula>2</formula>
    </cfRule>
    <cfRule type="cellIs" dxfId="55" priority="63" operator="equal">
      <formula>1</formula>
    </cfRule>
  </conditionalFormatting>
  <conditionalFormatting sqref="K45:K49">
    <cfRule type="cellIs" dxfId="54" priority="58" operator="equal">
      <formula>3</formula>
    </cfRule>
    <cfRule type="cellIs" dxfId="53" priority="59" operator="equal">
      <formula>2</formula>
    </cfRule>
    <cfRule type="cellIs" dxfId="52" priority="60" operator="equal">
      <formula>1</formula>
    </cfRule>
  </conditionalFormatting>
  <conditionalFormatting sqref="Q45:Q49">
    <cfRule type="cellIs" dxfId="51" priority="55" operator="equal">
      <formula>3</formula>
    </cfRule>
    <cfRule type="cellIs" dxfId="50" priority="56" operator="equal">
      <formula>2</formula>
    </cfRule>
    <cfRule type="cellIs" dxfId="49" priority="57" operator="equal">
      <formula>1</formula>
    </cfRule>
  </conditionalFormatting>
  <conditionalFormatting sqref="W45:W49">
    <cfRule type="cellIs" dxfId="48" priority="52" operator="equal">
      <formula>3</formula>
    </cfRule>
    <cfRule type="cellIs" dxfId="47" priority="53" operator="equal">
      <formula>2</formula>
    </cfRule>
    <cfRule type="cellIs" dxfId="46" priority="54" operator="equal">
      <formula>1</formula>
    </cfRule>
  </conditionalFormatting>
  <conditionalFormatting sqref="A49:F49">
    <cfRule type="cellIs" dxfId="45" priority="49" operator="equal">
      <formula>3</formula>
    </cfRule>
    <cfRule type="cellIs" dxfId="44" priority="50" operator="equal">
      <formula>2</formula>
    </cfRule>
    <cfRule type="cellIs" dxfId="43" priority="51" operator="equal">
      <formula>1</formula>
    </cfRule>
  </conditionalFormatting>
  <conditionalFormatting sqref="J49 G49:H49">
    <cfRule type="cellIs" dxfId="42" priority="46" operator="equal">
      <formula>3</formula>
    </cfRule>
    <cfRule type="cellIs" dxfId="41" priority="47" operator="equal">
      <formula>2</formula>
    </cfRule>
    <cfRule type="cellIs" dxfId="40" priority="48" operator="equal">
      <formula>1</formula>
    </cfRule>
  </conditionalFormatting>
  <conditionalFormatting sqref="I49">
    <cfRule type="cellIs" dxfId="39" priority="43" operator="equal">
      <formula>3</formula>
    </cfRule>
    <cfRule type="cellIs" dxfId="38" priority="44" operator="equal">
      <formula>2</formula>
    </cfRule>
    <cfRule type="cellIs" dxfId="37" priority="45" operator="equal">
      <formula>1</formula>
    </cfRule>
  </conditionalFormatting>
  <conditionalFormatting sqref="P49 M49:N49">
    <cfRule type="cellIs" dxfId="36" priority="40" operator="equal">
      <formula>3</formula>
    </cfRule>
    <cfRule type="cellIs" dxfId="35" priority="41" operator="equal">
      <formula>2</formula>
    </cfRule>
    <cfRule type="cellIs" dxfId="34" priority="42" operator="equal">
      <formula>1</formula>
    </cfRule>
  </conditionalFormatting>
  <conditionalFormatting sqref="O49">
    <cfRule type="cellIs" dxfId="33" priority="37" operator="equal">
      <formula>3</formula>
    </cfRule>
    <cfRule type="cellIs" dxfId="32" priority="38" operator="equal">
      <formula>2</formula>
    </cfRule>
    <cfRule type="cellIs" dxfId="31" priority="39" operator="equal">
      <formula>1</formula>
    </cfRule>
  </conditionalFormatting>
  <conditionalFormatting sqref="V49 S49:T49">
    <cfRule type="cellIs" dxfId="30" priority="34" operator="equal">
      <formula>3</formula>
    </cfRule>
    <cfRule type="cellIs" dxfId="29" priority="35" operator="equal">
      <formula>2</formula>
    </cfRule>
    <cfRule type="cellIs" dxfId="28" priority="36" operator="equal">
      <formula>1</formula>
    </cfRule>
  </conditionalFormatting>
  <conditionalFormatting sqref="U49">
    <cfRule type="cellIs" dxfId="27" priority="31" operator="equal">
      <formula>3</formula>
    </cfRule>
    <cfRule type="cellIs" dxfId="26" priority="32" operator="equal">
      <formula>2</formula>
    </cfRule>
    <cfRule type="cellIs" dxfId="25" priority="33" operator="equal">
      <formula>1</formula>
    </cfRule>
  </conditionalFormatting>
  <conditionalFormatting sqref="W51:W54 W56">
    <cfRule type="cellIs" dxfId="24" priority="28" operator="equal">
      <formula>3</formula>
    </cfRule>
    <cfRule type="cellIs" dxfId="23" priority="29" operator="equal">
      <formula>2</formula>
    </cfRule>
    <cfRule type="cellIs" dxfId="22" priority="30" operator="equal">
      <formula>1</formula>
    </cfRule>
  </conditionalFormatting>
  <conditionalFormatting sqref="Q51:Q54 Q56">
    <cfRule type="cellIs" dxfId="21" priority="25" operator="equal">
      <formula>3</formula>
    </cfRule>
    <cfRule type="cellIs" dxfId="20" priority="26" operator="equal">
      <formula>2</formula>
    </cfRule>
    <cfRule type="cellIs" dxfId="19" priority="27" operator="equal">
      <formula>1</formula>
    </cfRule>
  </conditionalFormatting>
  <conditionalFormatting sqref="K51:K54 K56">
    <cfRule type="cellIs" dxfId="18" priority="22" operator="equal">
      <formula>3</formula>
    </cfRule>
    <cfRule type="cellIs" dxfId="17" priority="23" operator="equal">
      <formula>2</formula>
    </cfRule>
    <cfRule type="cellIs" dxfId="16" priority="24" operator="equal">
      <formula>1</formula>
    </cfRule>
  </conditionalFormatting>
  <conditionalFormatting sqref="E51:E54 E56">
    <cfRule type="cellIs" dxfId="15" priority="19" operator="equal">
      <formula>3</formula>
    </cfRule>
    <cfRule type="cellIs" dxfId="14" priority="20" operator="equal">
      <formula>2</formula>
    </cfRule>
    <cfRule type="cellIs" dxfId="13" priority="21" operator="equal">
      <formula>1</formula>
    </cfRule>
  </conditionalFormatting>
  <conditionalFormatting sqref="Q57:Q60">
    <cfRule type="cellIs" dxfId="12" priority="10" operator="equal">
      <formula>3</formula>
    </cfRule>
    <cfRule type="cellIs" dxfId="11" priority="11" operator="equal">
      <formula>2</formula>
    </cfRule>
    <cfRule type="cellIs" dxfId="10" priority="12" operator="equal">
      <formula>1</formula>
    </cfRule>
  </conditionalFormatting>
  <conditionalFormatting sqref="K57:K60">
    <cfRule type="cellIs" dxfId="9" priority="7" operator="equal">
      <formula>3</formula>
    </cfRule>
    <cfRule type="cellIs" dxfId="8" priority="8" operator="equal">
      <formula>2</formula>
    </cfRule>
    <cfRule type="cellIs" dxfId="7" priority="9" operator="equal">
      <formula>1</formula>
    </cfRule>
  </conditionalFormatting>
  <conditionalFormatting sqref="AO35:AV45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A15" sqref="BA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48</v>
      </c>
      <c r="E2" t="s">
        <v>70</v>
      </c>
      <c r="AV2" s="56" t="s">
        <v>69</v>
      </c>
      <c r="AW2" s="57"/>
      <c r="AX2" s="58"/>
    </row>
    <row r="3" spans="1:50" ht="22.5" customHeight="1" x14ac:dyDescent="0.15">
      <c r="C3" s="31" t="s">
        <v>68</v>
      </c>
      <c r="D3" s="31">
        <v>1</v>
      </c>
      <c r="E3" s="31">
        <v>23</v>
      </c>
      <c r="F3" s="31">
        <v>11</v>
      </c>
      <c r="Q3" s="31" t="s">
        <v>68</v>
      </c>
      <c r="R3" s="31">
        <v>2</v>
      </c>
      <c r="S3" s="31">
        <v>23</v>
      </c>
      <c r="T3" s="31">
        <v>11</v>
      </c>
      <c r="AE3" s="31" t="s">
        <v>68</v>
      </c>
      <c r="AF3" s="31">
        <v>3</v>
      </c>
      <c r="AG3" s="31">
        <v>23</v>
      </c>
      <c r="AH3" s="31">
        <v>11</v>
      </c>
      <c r="AV3" s="24"/>
      <c r="AW3" s="40" t="s">
        <v>49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53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F5" s="32"/>
      <c r="G5" s="32"/>
      <c r="I5" s="37">
        <v>30</v>
      </c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5"/>
      <c r="AH5" s="32"/>
      <c r="AI5" s="36"/>
      <c r="AJ5" s="36"/>
      <c r="AK5" s="36"/>
      <c r="AL5" s="32"/>
      <c r="AM5" s="32"/>
      <c r="AN5" s="32"/>
      <c r="AO5" s="32"/>
      <c r="AV5" s="30"/>
      <c r="AW5" s="40" t="s">
        <v>55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7">
        <v>30</v>
      </c>
      <c r="AH6" s="32"/>
      <c r="AI6" s="36"/>
      <c r="AJ6" s="36"/>
      <c r="AK6" s="36"/>
      <c r="AL6" s="32"/>
      <c r="AM6" s="32"/>
      <c r="AN6" s="32"/>
      <c r="AO6" s="32"/>
      <c r="AV6" s="27"/>
      <c r="AW6" s="40" t="s">
        <v>57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30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71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20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7">
        <v>20</v>
      </c>
      <c r="K11" s="38"/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7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7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2"/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E20" s="32"/>
      <c r="F20" s="32"/>
      <c r="H20" s="32"/>
      <c r="I20" s="37">
        <v>20</v>
      </c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27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25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B78"/>
  <sheetViews>
    <sheetView topLeftCell="AH43" zoomScale="70" zoomScaleNormal="70" workbookViewId="0">
      <selection activeCell="BB4" sqref="BB4:BB78"/>
    </sheetView>
  </sheetViews>
  <sheetFormatPr defaultRowHeight="16.5" x14ac:dyDescent="0.3"/>
  <cols>
    <col min="1" max="2" width="9.25" style="52" bestFit="1" customWidth="1"/>
    <col min="3" max="4" width="7.5" style="72" bestFit="1" customWidth="1"/>
    <col min="5" max="5" width="7.375" style="72" bestFit="1" customWidth="1"/>
    <col min="6" max="6" width="13.875" style="72" bestFit="1" customWidth="1"/>
    <col min="7" max="7" width="11.375" style="72" bestFit="1" customWidth="1"/>
    <col min="8" max="9" width="6.375" style="73" bestFit="1" customWidth="1"/>
    <col min="10" max="11" width="9.25" style="73" bestFit="1" customWidth="1"/>
    <col min="12" max="12" width="6.375" style="73" bestFit="1" customWidth="1"/>
    <col min="13" max="13" width="7.5" style="73" bestFit="1" customWidth="1"/>
    <col min="14" max="15" width="9.25" style="73" bestFit="1" customWidth="1"/>
    <col min="16" max="19" width="6.375" style="73" bestFit="1" customWidth="1"/>
    <col min="20" max="21" width="9.25" style="73" bestFit="1" customWidth="1"/>
    <col min="22" max="23" width="7.5" style="73" bestFit="1" customWidth="1"/>
    <col min="24" max="24" width="6.375" style="73" bestFit="1" customWidth="1"/>
    <col min="25" max="26" width="9.25" style="73" bestFit="1" customWidth="1"/>
    <col min="27" max="27" width="6.375" style="73" bestFit="1" customWidth="1"/>
    <col min="28" max="30" width="9.25" style="73" bestFit="1" customWidth="1"/>
    <col min="31" max="33" width="9.25" style="74" bestFit="1" customWidth="1"/>
    <col min="34" max="34" width="6.375" style="74" bestFit="1" customWidth="1"/>
    <col min="35" max="36" width="9.25" style="74" bestFit="1" customWidth="1"/>
    <col min="37" max="37" width="6.375" style="74" bestFit="1" customWidth="1"/>
    <col min="38" max="46" width="9.25" style="74" bestFit="1" customWidth="1"/>
    <col min="47" max="47" width="9" style="52"/>
    <col min="48" max="48" width="3.125" style="52" bestFit="1" customWidth="1"/>
    <col min="49" max="49" width="14.625" style="52" bestFit="1" customWidth="1"/>
    <col min="50" max="50" width="31.75" style="52" bestFit="1" customWidth="1"/>
    <col min="51" max="51" width="9.5" style="52" bestFit="1" customWidth="1"/>
    <col min="52" max="52" width="9" style="52"/>
    <col min="53" max="53" width="44.375" style="52" bestFit="1" customWidth="1"/>
    <col min="54" max="54" width="91" style="52" bestFit="1" customWidth="1"/>
    <col min="55" max="16384" width="9" style="52"/>
  </cols>
  <sheetData>
    <row r="1" spans="1:54" x14ac:dyDescent="0.3">
      <c r="A1" s="59"/>
      <c r="B1" s="59"/>
      <c r="C1" s="60" t="s">
        <v>311</v>
      </c>
      <c r="D1" s="60"/>
      <c r="E1" s="60"/>
      <c r="F1" s="60"/>
      <c r="G1" s="60"/>
      <c r="H1" s="61" t="s">
        <v>312</v>
      </c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</row>
    <row r="2" spans="1:54" x14ac:dyDescent="0.3">
      <c r="A2" s="59"/>
      <c r="B2" s="59"/>
      <c r="C2" s="62" t="s">
        <v>313</v>
      </c>
      <c r="D2" s="62" t="s">
        <v>314</v>
      </c>
      <c r="E2" s="62" t="s">
        <v>315</v>
      </c>
      <c r="F2" s="62" t="s">
        <v>316</v>
      </c>
      <c r="G2" s="62" t="s">
        <v>317</v>
      </c>
      <c r="H2" s="63">
        <v>1001</v>
      </c>
      <c r="I2" s="63">
        <v>1002</v>
      </c>
      <c r="J2" s="63">
        <v>1003</v>
      </c>
      <c r="K2" s="63">
        <v>1004</v>
      </c>
      <c r="L2" s="63">
        <v>1005</v>
      </c>
      <c r="M2" s="63">
        <v>1006</v>
      </c>
      <c r="N2" s="63">
        <v>1007</v>
      </c>
      <c r="O2" s="63">
        <v>1008</v>
      </c>
      <c r="P2" s="63">
        <v>1009</v>
      </c>
      <c r="Q2" s="63">
        <v>1010</v>
      </c>
      <c r="R2" s="63">
        <v>1011</v>
      </c>
      <c r="S2" s="63">
        <v>1012</v>
      </c>
      <c r="T2" s="63">
        <v>1013</v>
      </c>
      <c r="U2" s="63">
        <v>1014</v>
      </c>
      <c r="V2" s="63">
        <v>1015</v>
      </c>
      <c r="W2" s="63">
        <v>1016</v>
      </c>
      <c r="X2" s="63">
        <v>1017</v>
      </c>
      <c r="Y2" s="63">
        <v>1018</v>
      </c>
      <c r="Z2" s="63">
        <v>1019</v>
      </c>
      <c r="AA2" s="63">
        <v>1020</v>
      </c>
      <c r="AB2" s="63">
        <v>1021</v>
      </c>
      <c r="AC2" s="63">
        <v>1022</v>
      </c>
      <c r="AD2" s="63">
        <v>1023</v>
      </c>
      <c r="AE2" s="64">
        <v>1025</v>
      </c>
      <c r="AF2" s="64">
        <v>1026</v>
      </c>
      <c r="AG2" s="64">
        <v>1027</v>
      </c>
      <c r="AH2" s="64">
        <v>1028</v>
      </c>
      <c r="AI2" s="64">
        <v>1029</v>
      </c>
      <c r="AJ2" s="64">
        <v>1030</v>
      </c>
      <c r="AK2" s="64">
        <v>1031</v>
      </c>
      <c r="AL2" s="64">
        <v>1032</v>
      </c>
      <c r="AM2" s="64">
        <v>1033</v>
      </c>
      <c r="AN2" s="64">
        <v>1034</v>
      </c>
      <c r="AO2" s="64">
        <v>1035</v>
      </c>
      <c r="AP2" s="64">
        <v>1036</v>
      </c>
      <c r="AQ2" s="64">
        <v>1037</v>
      </c>
      <c r="AR2" s="64">
        <v>1038</v>
      </c>
      <c r="AS2" s="64">
        <v>1039</v>
      </c>
      <c r="AT2" s="64">
        <v>1040</v>
      </c>
    </row>
    <row r="3" spans="1:54" x14ac:dyDescent="0.3">
      <c r="A3" s="59" t="s">
        <v>318</v>
      </c>
      <c r="B3" s="59" t="s">
        <v>319</v>
      </c>
      <c r="C3" s="65" t="s">
        <v>320</v>
      </c>
      <c r="D3" s="65" t="s">
        <v>321</v>
      </c>
      <c r="E3" s="65" t="s">
        <v>322</v>
      </c>
      <c r="F3" s="65" t="s">
        <v>323</v>
      </c>
      <c r="G3" s="65" t="s">
        <v>324</v>
      </c>
      <c r="H3" s="66" t="s">
        <v>325</v>
      </c>
      <c r="I3" s="63" t="s">
        <v>326</v>
      </c>
      <c r="J3" s="63" t="s">
        <v>327</v>
      </c>
      <c r="K3" s="63" t="s">
        <v>328</v>
      </c>
      <c r="L3" s="63" t="s">
        <v>329</v>
      </c>
      <c r="M3" s="63" t="s">
        <v>330</v>
      </c>
      <c r="N3" s="63" t="s">
        <v>331</v>
      </c>
      <c r="O3" s="63" t="s">
        <v>332</v>
      </c>
      <c r="P3" s="63" t="s">
        <v>333</v>
      </c>
      <c r="Q3" s="63" t="s">
        <v>334</v>
      </c>
      <c r="R3" s="63" t="s">
        <v>335</v>
      </c>
      <c r="S3" s="63" t="s">
        <v>336</v>
      </c>
      <c r="T3" s="63" t="s">
        <v>337</v>
      </c>
      <c r="U3" s="63" t="s">
        <v>338</v>
      </c>
      <c r="V3" s="63" t="s">
        <v>339</v>
      </c>
      <c r="W3" s="63" t="s">
        <v>340</v>
      </c>
      <c r="X3" s="63" t="s">
        <v>341</v>
      </c>
      <c r="Y3" s="63" t="s">
        <v>342</v>
      </c>
      <c r="Z3" s="63" t="s">
        <v>343</v>
      </c>
      <c r="AA3" s="63" t="s">
        <v>344</v>
      </c>
      <c r="AB3" s="63" t="s">
        <v>345</v>
      </c>
      <c r="AC3" s="63" t="s">
        <v>346</v>
      </c>
      <c r="AD3" s="63" t="s">
        <v>347</v>
      </c>
      <c r="AE3" s="64" t="s">
        <v>348</v>
      </c>
      <c r="AF3" s="64" t="s">
        <v>349</v>
      </c>
      <c r="AG3" s="64" t="s">
        <v>350</v>
      </c>
      <c r="AH3" s="64" t="s">
        <v>351</v>
      </c>
      <c r="AI3" s="64" t="s">
        <v>352</v>
      </c>
      <c r="AJ3" s="64" t="s">
        <v>353</v>
      </c>
      <c r="AK3" s="64" t="s">
        <v>354</v>
      </c>
      <c r="AL3" s="64" t="s">
        <v>355</v>
      </c>
      <c r="AM3" s="64" t="s">
        <v>356</v>
      </c>
      <c r="AN3" s="64" t="s">
        <v>357</v>
      </c>
      <c r="AO3" s="64" t="s">
        <v>358</v>
      </c>
      <c r="AP3" s="64" t="s">
        <v>359</v>
      </c>
      <c r="AQ3" s="64" t="s">
        <v>360</v>
      </c>
      <c r="AR3" s="64" t="s">
        <v>361</v>
      </c>
      <c r="AS3" s="64" t="s">
        <v>362</v>
      </c>
      <c r="AT3" s="64" t="s">
        <v>363</v>
      </c>
    </row>
    <row r="4" spans="1:54" x14ac:dyDescent="0.3">
      <c r="A4" s="75">
        <v>100011</v>
      </c>
      <c r="B4" s="59">
        <v>1</v>
      </c>
      <c r="C4" s="62"/>
      <c r="D4" s="62">
        <v>10</v>
      </c>
      <c r="E4" s="62"/>
      <c r="F4" s="62">
        <v>5</v>
      </c>
      <c r="G4" s="62"/>
      <c r="H4" s="63">
        <v>5</v>
      </c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>
        <v>3</v>
      </c>
      <c r="AE4" s="64"/>
      <c r="AF4" s="64">
        <v>3</v>
      </c>
      <c r="AG4" s="64"/>
      <c r="AH4" s="64"/>
      <c r="AI4" s="64"/>
      <c r="AJ4" s="64"/>
      <c r="AK4" s="64"/>
      <c r="AL4" s="64"/>
      <c r="AM4" s="64"/>
      <c r="AN4" s="64"/>
      <c r="AO4" s="64">
        <v>2</v>
      </c>
      <c r="AP4" s="64"/>
      <c r="AQ4" s="64"/>
      <c r="AR4" s="64"/>
      <c r="AS4" s="64"/>
      <c r="AT4" s="64"/>
      <c r="AV4" s="52">
        <f>COUNTA(C4:AT4)</f>
        <v>6</v>
      </c>
      <c r="AW4" s="52" t="str">
        <f t="shared" ref="AW4:AW67" si="0">"属性" &amp; A4 &amp; "_" &amp;B4</f>
        <v>属性100011_1</v>
      </c>
      <c r="AX4" s="52" t="str">
        <f>属性统计($C$2:$G$2,C4:G4)</f>
        <v>melee;reloadSpeed</v>
      </c>
      <c r="AY4" s="52" t="str">
        <f ca="1">[1]!连接单元格(C4:G4,";")</f>
        <v>10;5</v>
      </c>
      <c r="BA4" s="52" t="str">
        <f>技能点统计($H$2:$AT$2,H4:AT4)</f>
        <v>1001:5|1023:3|1026:3|1035:2</v>
      </c>
      <c r="BB4" s="52" t="str">
        <f>"&lt;color=#FFCB00FF&gt;" &amp; 描述生成($H$3:$AT$3,H4:AT4)&amp;"&lt;/color&gt;;&lt;color=#FFEFAEFF &gt;"&amp; 描述生成($C$3:$G$3,C4:G4) &amp; "&lt;/color&gt;"</f>
        <v>&lt;color=#FFCB00FF&gt;南瓜+5,急速填装+3,反应装甲+3,生命工程+2&lt;/color&gt;;&lt;color=#FFEFAEFF &gt;攻击力+10,填装速度+5&lt;/color&gt;</v>
      </c>
    </row>
    <row r="5" spans="1:54" x14ac:dyDescent="0.3">
      <c r="A5" s="67">
        <v>100012</v>
      </c>
      <c r="B5" s="59">
        <v>2</v>
      </c>
      <c r="C5" s="62"/>
      <c r="D5" s="62">
        <v>20</v>
      </c>
      <c r="E5" s="62"/>
      <c r="F5" s="62">
        <v>10</v>
      </c>
      <c r="G5" s="62"/>
      <c r="H5" s="63">
        <v>5</v>
      </c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>
        <v>3</v>
      </c>
      <c r="AE5" s="64"/>
      <c r="AF5" s="64">
        <v>3</v>
      </c>
      <c r="AG5" s="64"/>
      <c r="AH5" s="64"/>
      <c r="AI5" s="64"/>
      <c r="AJ5" s="64"/>
      <c r="AK5" s="64"/>
      <c r="AL5" s="64"/>
      <c r="AM5" s="64"/>
      <c r="AN5" s="64"/>
      <c r="AO5" s="64">
        <v>2</v>
      </c>
      <c r="AP5" s="64"/>
      <c r="AQ5" s="64"/>
      <c r="AR5" s="64"/>
      <c r="AS5" s="64"/>
      <c r="AT5" s="64"/>
      <c r="AV5" s="52">
        <f t="shared" ref="AV5:AV68" si="1">COUNTA(C5:AT5)</f>
        <v>6</v>
      </c>
      <c r="AW5" s="52" t="str">
        <f t="shared" si="0"/>
        <v>属性100012_2</v>
      </c>
      <c r="AX5" s="52" t="str">
        <f t="shared" ref="AX5:AX68" si="2">属性统计($C$2:$G$2,C5:G5)</f>
        <v>melee;reloadSpeed</v>
      </c>
      <c r="AY5" s="52" t="str">
        <f ca="1">[1]!连接单元格(C5:G5,";")</f>
        <v>20;10</v>
      </c>
      <c r="BA5" s="52" t="str">
        <f t="shared" ref="BA5:BA68" si="3">技能点统计($H$2:$AT$2,H5:AT5)</f>
        <v>1001:5|1023:3|1026:3|1035:2</v>
      </c>
      <c r="BB5" s="52" t="str">
        <f>"&lt;color=#FFCB00FF&gt;" &amp; 描述生成($H$3:$AT$3,H5:AT5)&amp;"&lt;/color&gt;;&lt;color=#FFEFAEFF &gt;"&amp; 描述生成($C$3:$G$3,C5:G5) &amp; "&lt;/color&gt;"</f>
        <v>&lt;color=#FFCB00FF&gt;南瓜+5,急速填装+3,反应装甲+3,生命工程+2&lt;/color&gt;;&lt;color=#FFEFAEFF &gt;攻击力+20,填装速度+10&lt;/color&gt;</v>
      </c>
    </row>
    <row r="6" spans="1:54" x14ac:dyDescent="0.3">
      <c r="A6" s="67">
        <v>100013</v>
      </c>
      <c r="B6" s="59">
        <v>3</v>
      </c>
      <c r="C6" s="62"/>
      <c r="D6" s="62">
        <v>30</v>
      </c>
      <c r="E6" s="62"/>
      <c r="F6" s="62">
        <v>15</v>
      </c>
      <c r="G6" s="62"/>
      <c r="H6" s="63">
        <v>5</v>
      </c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>
        <v>3</v>
      </c>
      <c r="AE6" s="64"/>
      <c r="AF6" s="64">
        <v>3</v>
      </c>
      <c r="AG6" s="64"/>
      <c r="AH6" s="64"/>
      <c r="AI6" s="64"/>
      <c r="AJ6" s="64"/>
      <c r="AK6" s="64"/>
      <c r="AL6" s="64"/>
      <c r="AM6" s="64"/>
      <c r="AN6" s="64"/>
      <c r="AO6" s="64">
        <v>2</v>
      </c>
      <c r="AP6" s="64"/>
      <c r="AQ6" s="64"/>
      <c r="AR6" s="64"/>
      <c r="AS6" s="64"/>
      <c r="AT6" s="64"/>
      <c r="AV6" s="52">
        <f t="shared" si="1"/>
        <v>6</v>
      </c>
      <c r="AW6" s="52" t="str">
        <f t="shared" si="0"/>
        <v>属性100013_3</v>
      </c>
      <c r="AX6" s="52" t="str">
        <f t="shared" si="2"/>
        <v>melee;reloadSpeed</v>
      </c>
      <c r="AY6" s="52" t="str">
        <f ca="1">[1]!连接单元格(C6:G6,";")</f>
        <v>30;15</v>
      </c>
      <c r="BA6" s="52" t="str">
        <f t="shared" si="3"/>
        <v>1001:5|1023:3|1026:3|1035:2</v>
      </c>
      <c r="BB6" s="52" t="str">
        <f>"&lt;color=#FFCB00FF&gt;" &amp; 描述生成($H$3:$AT$3,H6:AT6)&amp;"&lt;/color&gt;;&lt;color=#FFEFAEFF &gt;"&amp; 描述生成($C$3:$G$3,C6:G6) &amp; "&lt;/color&gt;"</f>
        <v>&lt;color=#FFCB00FF&gt;南瓜+5,急速填装+3,反应装甲+3,生命工程+2&lt;/color&gt;;&lt;color=#FFEFAEFF &gt;攻击力+30,填装速度+15&lt;/color&gt;</v>
      </c>
    </row>
    <row r="7" spans="1:54" x14ac:dyDescent="0.3">
      <c r="A7" s="68">
        <v>100021</v>
      </c>
      <c r="B7" s="59">
        <f>B4</f>
        <v>1</v>
      </c>
      <c r="C7" s="62"/>
      <c r="D7" s="62">
        <v>10</v>
      </c>
      <c r="E7" s="62"/>
      <c r="F7" s="62">
        <v>5</v>
      </c>
      <c r="G7" s="62"/>
      <c r="H7" s="63"/>
      <c r="I7" s="63">
        <v>5</v>
      </c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>
        <v>3</v>
      </c>
      <c r="AD7" s="63"/>
      <c r="AE7" s="64"/>
      <c r="AF7" s="64"/>
      <c r="AG7" s="64">
        <v>3</v>
      </c>
      <c r="AH7" s="64"/>
      <c r="AI7" s="64"/>
      <c r="AJ7" s="64"/>
      <c r="AK7" s="64"/>
      <c r="AL7" s="64"/>
      <c r="AM7" s="64"/>
      <c r="AN7" s="64"/>
      <c r="AO7" s="64"/>
      <c r="AP7" s="64">
        <v>2</v>
      </c>
      <c r="AQ7" s="64"/>
      <c r="AR7" s="64"/>
      <c r="AS7" s="64"/>
      <c r="AT7" s="64"/>
      <c r="AV7" s="52">
        <f t="shared" si="1"/>
        <v>6</v>
      </c>
      <c r="AW7" s="52" t="str">
        <f t="shared" si="0"/>
        <v>属性100021_1</v>
      </c>
      <c r="AX7" s="52" t="str">
        <f t="shared" si="2"/>
        <v>melee;reloadSpeed</v>
      </c>
      <c r="AY7" s="52" t="str">
        <f ca="1">[1]!连接单元格(C7:G7,";")</f>
        <v>10;5</v>
      </c>
      <c r="BA7" s="52" t="str">
        <f t="shared" si="3"/>
        <v>1002:5|1022:3|1027:3|1036:2</v>
      </c>
      <c r="BB7" s="52" t="str">
        <f>"&lt;color=#FFCB00FF&gt;" &amp; 描述生成($H$3:$AT$3,H7:AT7)&amp;"&lt;/color&gt;;&lt;color=#FFEFAEFF &gt;"&amp; 描述生成($C$3:$G$3,C7:G7) &amp; "&lt;/color&gt;"</f>
        <v>&lt;color=#FFCB00FF&gt;榴弹+5,伤痛记忆+3,纳米涂层+3,热力追踪+2&lt;/color&gt;;&lt;color=#FFEFAEFF &gt;攻击力+10,填装速度+5&lt;/color&gt;</v>
      </c>
    </row>
    <row r="8" spans="1:54" x14ac:dyDescent="0.3">
      <c r="A8" s="67">
        <v>100022</v>
      </c>
      <c r="B8" s="59">
        <f t="shared" ref="B8:B71" si="4">B5</f>
        <v>2</v>
      </c>
      <c r="C8" s="62"/>
      <c r="D8" s="62">
        <v>20</v>
      </c>
      <c r="E8" s="62"/>
      <c r="F8" s="62">
        <v>10</v>
      </c>
      <c r="G8" s="62"/>
      <c r="H8" s="63"/>
      <c r="I8" s="63">
        <v>5</v>
      </c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>
        <v>3</v>
      </c>
      <c r="AD8" s="63"/>
      <c r="AE8" s="64"/>
      <c r="AF8" s="64"/>
      <c r="AG8" s="64">
        <v>3</v>
      </c>
      <c r="AH8" s="64"/>
      <c r="AI8" s="64"/>
      <c r="AJ8" s="64"/>
      <c r="AK8" s="64"/>
      <c r="AL8" s="64"/>
      <c r="AM8" s="64"/>
      <c r="AN8" s="64"/>
      <c r="AO8" s="64"/>
      <c r="AP8" s="64">
        <v>2</v>
      </c>
      <c r="AQ8" s="64"/>
      <c r="AR8" s="64"/>
      <c r="AS8" s="64"/>
      <c r="AT8" s="64"/>
      <c r="AV8" s="52">
        <f t="shared" si="1"/>
        <v>6</v>
      </c>
      <c r="AW8" s="52" t="str">
        <f t="shared" si="0"/>
        <v>属性100022_2</v>
      </c>
      <c r="AX8" s="52" t="str">
        <f t="shared" si="2"/>
        <v>melee;reloadSpeed</v>
      </c>
      <c r="AY8" s="52" t="str">
        <f ca="1">[1]!连接单元格(C8:G8,";")</f>
        <v>20;10</v>
      </c>
      <c r="BA8" s="52" t="str">
        <f t="shared" si="3"/>
        <v>1002:5|1022:3|1027:3|1036:2</v>
      </c>
      <c r="BB8" s="52" t="str">
        <f>"&lt;color=#FFCB00FF&gt;" &amp; 描述生成($H$3:$AT$3,H8:AT8)&amp;"&lt;/color&gt;;&lt;color=#FFEFAEFF &gt;"&amp; 描述生成($C$3:$G$3,C8:G8) &amp; "&lt;/color&gt;"</f>
        <v>&lt;color=#FFCB00FF&gt;榴弹+5,伤痛记忆+3,纳米涂层+3,热力追踪+2&lt;/color&gt;;&lt;color=#FFEFAEFF &gt;攻击力+20,填装速度+10&lt;/color&gt;</v>
      </c>
    </row>
    <row r="9" spans="1:54" x14ac:dyDescent="0.3">
      <c r="A9" s="67">
        <v>100023</v>
      </c>
      <c r="B9" s="59">
        <f t="shared" si="4"/>
        <v>3</v>
      </c>
      <c r="C9" s="62"/>
      <c r="D9" s="62">
        <v>30</v>
      </c>
      <c r="E9" s="62"/>
      <c r="F9" s="62">
        <v>15</v>
      </c>
      <c r="G9" s="62"/>
      <c r="H9" s="63"/>
      <c r="I9" s="63">
        <v>5</v>
      </c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>
        <v>3</v>
      </c>
      <c r="AD9" s="63"/>
      <c r="AE9" s="64"/>
      <c r="AF9" s="64"/>
      <c r="AG9" s="64">
        <v>3</v>
      </c>
      <c r="AH9" s="64"/>
      <c r="AI9" s="64"/>
      <c r="AJ9" s="64"/>
      <c r="AK9" s="64"/>
      <c r="AL9" s="64"/>
      <c r="AM9" s="64"/>
      <c r="AN9" s="64"/>
      <c r="AO9" s="64"/>
      <c r="AP9" s="64">
        <v>2</v>
      </c>
      <c r="AQ9" s="64"/>
      <c r="AR9" s="64"/>
      <c r="AS9" s="64"/>
      <c r="AT9" s="64"/>
      <c r="AV9" s="52">
        <f t="shared" si="1"/>
        <v>6</v>
      </c>
      <c r="AW9" s="52" t="str">
        <f t="shared" si="0"/>
        <v>属性100023_3</v>
      </c>
      <c r="AX9" s="52" t="str">
        <f t="shared" si="2"/>
        <v>melee;reloadSpeed</v>
      </c>
      <c r="AY9" s="52" t="str">
        <f ca="1">[1]!连接单元格(C9:G9,";")</f>
        <v>30;15</v>
      </c>
      <c r="BA9" s="52" t="str">
        <f t="shared" si="3"/>
        <v>1002:5|1022:3|1027:3|1036:2</v>
      </c>
      <c r="BB9" s="52" t="str">
        <f>"&lt;color=#FFCB00FF&gt;" &amp; 描述生成($H$3:$AT$3,H9:AT9)&amp;"&lt;/color&gt;;&lt;color=#FFEFAEFF &gt;"&amp; 描述生成($C$3:$G$3,C9:G9) &amp; "&lt;/color&gt;"</f>
        <v>&lt;color=#FFCB00FF&gt;榴弹+5,伤痛记忆+3,纳米涂层+3,热力追踪+2&lt;/color&gt;;&lt;color=#FFEFAEFF &gt;攻击力+30,填装速度+15&lt;/color&gt;</v>
      </c>
    </row>
    <row r="10" spans="1:54" x14ac:dyDescent="0.3">
      <c r="A10" s="69">
        <v>100031</v>
      </c>
      <c r="B10" s="59">
        <f t="shared" si="4"/>
        <v>1</v>
      </c>
      <c r="C10" s="62">
        <v>40</v>
      </c>
      <c r="D10" s="62"/>
      <c r="E10" s="62">
        <v>2</v>
      </c>
      <c r="F10" s="62"/>
      <c r="G10" s="62"/>
      <c r="H10" s="63"/>
      <c r="I10" s="63"/>
      <c r="J10" s="63"/>
      <c r="K10" s="63"/>
      <c r="L10" s="63"/>
      <c r="M10" s="63">
        <v>5</v>
      </c>
      <c r="N10" s="63"/>
      <c r="O10" s="63"/>
      <c r="P10" s="63"/>
      <c r="Q10" s="63"/>
      <c r="R10" s="63"/>
      <c r="S10" s="63"/>
      <c r="T10" s="63"/>
      <c r="U10" s="63"/>
      <c r="V10" s="63">
        <v>3</v>
      </c>
      <c r="W10" s="63"/>
      <c r="X10" s="63"/>
      <c r="Y10" s="63"/>
      <c r="Z10" s="63"/>
      <c r="AA10" s="63"/>
      <c r="AB10" s="63"/>
      <c r="AC10" s="63"/>
      <c r="AD10" s="63"/>
      <c r="AE10" s="64">
        <v>3</v>
      </c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>
        <v>2</v>
      </c>
      <c r="AR10" s="64"/>
      <c r="AS10" s="64"/>
      <c r="AT10" s="64"/>
      <c r="AV10" s="52">
        <f t="shared" si="1"/>
        <v>6</v>
      </c>
      <c r="AW10" s="52" t="str">
        <f t="shared" si="0"/>
        <v>属性100031_1</v>
      </c>
      <c r="AX10" s="52" t="str">
        <f t="shared" si="2"/>
        <v>mhp;speed</v>
      </c>
      <c r="AY10" s="52" t="str">
        <f ca="1">[1]!连接单元格(C10:G10,";")</f>
        <v>40;2</v>
      </c>
      <c r="BA10" s="52" t="str">
        <f t="shared" si="3"/>
        <v>1006:5|1015:3|1025:3|1037:2</v>
      </c>
      <c r="BB10" s="52" t="str">
        <f>"&lt;color=#FFCB00FF&gt;" &amp; 描述生成($H$3:$AT$3,H10:AT10)&amp;"&lt;/color&gt;;&lt;color=#FFEFAEFF &gt;"&amp; 描述生成($C$3:$G$3,C10:G10) &amp; "&lt;/color&gt;"</f>
        <v>&lt;color=#FFCB00FF&gt;汽油弹+5,中子弹+3,先发制人+3,没有雾霾+2&lt;/color&gt;;&lt;color=#FFEFAEFF &gt;生命值+40,先攻+2&lt;/color&gt;</v>
      </c>
    </row>
    <row r="11" spans="1:54" x14ac:dyDescent="0.3">
      <c r="A11" s="67">
        <v>100032</v>
      </c>
      <c r="B11" s="59">
        <f t="shared" si="4"/>
        <v>2</v>
      </c>
      <c r="C11" s="62">
        <v>80</v>
      </c>
      <c r="D11" s="62"/>
      <c r="E11" s="62">
        <v>4</v>
      </c>
      <c r="F11" s="62"/>
      <c r="G11" s="62"/>
      <c r="H11" s="63"/>
      <c r="I11" s="63"/>
      <c r="J11" s="63"/>
      <c r="K11" s="63"/>
      <c r="L11" s="63"/>
      <c r="M11" s="63">
        <v>5</v>
      </c>
      <c r="N11" s="63"/>
      <c r="O11" s="63"/>
      <c r="P11" s="63"/>
      <c r="Q11" s="63"/>
      <c r="R11" s="63"/>
      <c r="S11" s="63"/>
      <c r="T11" s="63"/>
      <c r="U11" s="63"/>
      <c r="V11" s="63">
        <v>3</v>
      </c>
      <c r="W11" s="63"/>
      <c r="X11" s="63"/>
      <c r="Y11" s="63"/>
      <c r="Z11" s="63"/>
      <c r="AA11" s="63"/>
      <c r="AB11" s="63"/>
      <c r="AC11" s="63"/>
      <c r="AD11" s="63"/>
      <c r="AE11" s="64">
        <v>3</v>
      </c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>
        <v>2</v>
      </c>
      <c r="AR11" s="64"/>
      <c r="AS11" s="64"/>
      <c r="AT11" s="64"/>
      <c r="AV11" s="52">
        <f t="shared" si="1"/>
        <v>6</v>
      </c>
      <c r="AW11" s="52" t="str">
        <f t="shared" si="0"/>
        <v>属性100032_2</v>
      </c>
      <c r="AX11" s="52" t="str">
        <f t="shared" si="2"/>
        <v>mhp;speed</v>
      </c>
      <c r="AY11" s="52" t="str">
        <f ca="1">[1]!连接单元格(C11:G11,";")</f>
        <v>80;4</v>
      </c>
      <c r="BA11" s="52" t="str">
        <f t="shared" si="3"/>
        <v>1006:5|1015:3|1025:3|1037:2</v>
      </c>
      <c r="BB11" s="52" t="str">
        <f>"&lt;color=#FFCB00FF&gt;" &amp; 描述生成($H$3:$AT$3,H11:AT11)&amp;"&lt;/color&gt;;&lt;color=#FFEFAEFF &gt;"&amp; 描述生成($C$3:$G$3,C11:G11) &amp; "&lt;/color&gt;"</f>
        <v>&lt;color=#FFCB00FF&gt;汽油弹+5,中子弹+3,先发制人+3,没有雾霾+2&lt;/color&gt;;&lt;color=#FFEFAEFF &gt;生命值+80,先攻+4&lt;/color&gt;</v>
      </c>
    </row>
    <row r="12" spans="1:54" x14ac:dyDescent="0.3">
      <c r="A12" s="67">
        <v>100033</v>
      </c>
      <c r="B12" s="59">
        <f t="shared" si="4"/>
        <v>3</v>
      </c>
      <c r="C12" s="62">
        <v>120</v>
      </c>
      <c r="D12" s="62"/>
      <c r="E12" s="62">
        <v>5</v>
      </c>
      <c r="F12" s="62"/>
      <c r="G12" s="62"/>
      <c r="H12" s="63"/>
      <c r="I12" s="63"/>
      <c r="J12" s="63"/>
      <c r="K12" s="63"/>
      <c r="L12" s="63"/>
      <c r="M12" s="63">
        <v>5</v>
      </c>
      <c r="N12" s="63"/>
      <c r="O12" s="63"/>
      <c r="P12" s="63"/>
      <c r="Q12" s="63"/>
      <c r="R12" s="63"/>
      <c r="S12" s="63"/>
      <c r="T12" s="63"/>
      <c r="U12" s="63"/>
      <c r="V12" s="63">
        <v>3</v>
      </c>
      <c r="W12" s="63"/>
      <c r="X12" s="63"/>
      <c r="Y12" s="63"/>
      <c r="Z12" s="63"/>
      <c r="AA12" s="63"/>
      <c r="AB12" s="63"/>
      <c r="AC12" s="63"/>
      <c r="AD12" s="63"/>
      <c r="AE12" s="64">
        <v>3</v>
      </c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>
        <v>2</v>
      </c>
      <c r="AR12" s="64"/>
      <c r="AS12" s="64"/>
      <c r="AT12" s="64"/>
      <c r="AV12" s="52">
        <f t="shared" si="1"/>
        <v>6</v>
      </c>
      <c r="AW12" s="52" t="str">
        <f t="shared" si="0"/>
        <v>属性100033_3</v>
      </c>
      <c r="AX12" s="52" t="str">
        <f t="shared" si="2"/>
        <v>mhp;speed</v>
      </c>
      <c r="AY12" s="52" t="str">
        <f ca="1">[1]!连接单元格(C12:G12,";")</f>
        <v>120;5</v>
      </c>
      <c r="BA12" s="52" t="str">
        <f t="shared" si="3"/>
        <v>1006:5|1015:3|1025:3|1037:2</v>
      </c>
      <c r="BB12" s="52" t="str">
        <f>"&lt;color=#FFCB00FF&gt;" &amp; 描述生成($H$3:$AT$3,H12:AT12)&amp;"&lt;/color&gt;;&lt;color=#FFEFAEFF &gt;"&amp; 描述生成($C$3:$G$3,C12:G12) &amp; "&lt;/color&gt;"</f>
        <v>&lt;color=#FFCB00FF&gt;汽油弹+5,中子弹+3,先发制人+3,没有雾霾+2&lt;/color&gt;;&lt;color=#FFEFAEFF &gt;生命值+120,先攻+5&lt;/color&gt;</v>
      </c>
    </row>
    <row r="13" spans="1:54" x14ac:dyDescent="0.3">
      <c r="A13" s="70">
        <v>100041</v>
      </c>
      <c r="B13" s="59">
        <f t="shared" si="4"/>
        <v>1</v>
      </c>
      <c r="C13" s="62">
        <v>20</v>
      </c>
      <c r="D13" s="62">
        <v>5</v>
      </c>
      <c r="E13" s="62"/>
      <c r="F13" s="62">
        <v>5</v>
      </c>
      <c r="G13" s="62"/>
      <c r="H13" s="63"/>
      <c r="I13" s="63"/>
      <c r="J13" s="63"/>
      <c r="K13" s="63">
        <v>5</v>
      </c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>
        <v>3</v>
      </c>
      <c r="AD13" s="63"/>
      <c r="AE13" s="64"/>
      <c r="AF13" s="64"/>
      <c r="AG13" s="64"/>
      <c r="AH13" s="64"/>
      <c r="AI13" s="64">
        <v>3</v>
      </c>
      <c r="AJ13" s="64"/>
      <c r="AK13" s="64"/>
      <c r="AL13" s="64"/>
      <c r="AM13" s="64"/>
      <c r="AN13" s="64"/>
      <c r="AO13" s="64"/>
      <c r="AP13" s="64"/>
      <c r="AQ13" s="64"/>
      <c r="AR13" s="64">
        <v>2</v>
      </c>
      <c r="AS13" s="64"/>
      <c r="AT13" s="64"/>
      <c r="AV13" s="52">
        <f t="shared" si="1"/>
        <v>7</v>
      </c>
      <c r="AW13" s="52" t="str">
        <f t="shared" si="0"/>
        <v>属性100041_1</v>
      </c>
      <c r="AX13" s="52" t="str">
        <f t="shared" si="2"/>
        <v>mhp;melee;reloadSpeed</v>
      </c>
      <c r="AY13" s="52" t="str">
        <f ca="1">[1]!连接单元格(C13:G13,";")</f>
        <v>20;5;5</v>
      </c>
      <c r="BA13" s="52" t="str">
        <f t="shared" si="3"/>
        <v>1004:5|1022:3|1029:3|1038:2</v>
      </c>
      <c r="BB13" s="52" t="str">
        <f>"&lt;color=#FFCB00FF&gt;" &amp; 描述生成($H$3:$AT$3,H13:AT13)&amp;"&lt;/color&gt;;&lt;color=#FFEFAEFF &gt;"&amp; 描述生成($C$3:$G$3,C13:G13) &amp; "&lt;/color&gt;"</f>
        <v>&lt;color=#FFCB00FF&gt;全弹齐发+5,伤痛记忆+3,实弹增强+3,纳米修复+2&lt;/color&gt;;&lt;color=#FFEFAEFF &gt;生命值+20,攻击力+5,填装速度+5&lt;/color&gt;</v>
      </c>
    </row>
    <row r="14" spans="1:54" x14ac:dyDescent="0.3">
      <c r="A14" s="67">
        <v>100042</v>
      </c>
      <c r="B14" s="59">
        <f t="shared" si="4"/>
        <v>2</v>
      </c>
      <c r="C14" s="62">
        <v>40</v>
      </c>
      <c r="D14" s="62">
        <v>10</v>
      </c>
      <c r="E14" s="62"/>
      <c r="F14" s="62">
        <v>10</v>
      </c>
      <c r="G14" s="62"/>
      <c r="H14" s="63"/>
      <c r="I14" s="63"/>
      <c r="J14" s="63"/>
      <c r="K14" s="63">
        <v>5</v>
      </c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>
        <v>3</v>
      </c>
      <c r="AD14" s="63"/>
      <c r="AE14" s="64"/>
      <c r="AF14" s="64"/>
      <c r="AG14" s="64"/>
      <c r="AH14" s="64"/>
      <c r="AI14" s="64">
        <v>3</v>
      </c>
      <c r="AJ14" s="64"/>
      <c r="AK14" s="64"/>
      <c r="AL14" s="64"/>
      <c r="AM14" s="64"/>
      <c r="AN14" s="64"/>
      <c r="AO14" s="64"/>
      <c r="AP14" s="64"/>
      <c r="AQ14" s="64"/>
      <c r="AR14" s="64">
        <v>2</v>
      </c>
      <c r="AS14" s="64"/>
      <c r="AT14" s="64"/>
      <c r="AV14" s="52">
        <f t="shared" si="1"/>
        <v>7</v>
      </c>
      <c r="AW14" s="52" t="str">
        <f t="shared" si="0"/>
        <v>属性100042_2</v>
      </c>
      <c r="AX14" s="52" t="str">
        <f t="shared" si="2"/>
        <v>mhp;melee;reloadSpeed</v>
      </c>
      <c r="AY14" s="52" t="str">
        <f ca="1">[1]!连接单元格(C14:G14,";")</f>
        <v>40;10;10</v>
      </c>
      <c r="BA14" s="52" t="str">
        <f t="shared" si="3"/>
        <v>1004:5|1022:3|1029:3|1038:2</v>
      </c>
      <c r="BB14" s="52" t="str">
        <f>"&lt;color=#FFCB00FF&gt;" &amp; 描述生成($H$3:$AT$3,H14:AT14)&amp;"&lt;/color&gt;;&lt;color=#FFEFAEFF &gt;"&amp; 描述生成($C$3:$G$3,C14:G14) &amp; "&lt;/color&gt;"</f>
        <v>&lt;color=#FFCB00FF&gt;全弹齐发+5,伤痛记忆+3,实弹增强+3,纳米修复+2&lt;/color&gt;;&lt;color=#FFEFAEFF &gt;生命值+40,攻击力+10,填装速度+10&lt;/color&gt;</v>
      </c>
    </row>
    <row r="15" spans="1:54" x14ac:dyDescent="0.3">
      <c r="A15" s="67">
        <v>100043</v>
      </c>
      <c r="B15" s="59">
        <f t="shared" si="4"/>
        <v>3</v>
      </c>
      <c r="C15" s="62">
        <v>60</v>
      </c>
      <c r="D15" s="62">
        <v>15</v>
      </c>
      <c r="E15" s="62"/>
      <c r="F15" s="62">
        <v>15</v>
      </c>
      <c r="G15" s="62"/>
      <c r="H15" s="63"/>
      <c r="I15" s="63"/>
      <c r="J15" s="63"/>
      <c r="K15" s="63">
        <v>5</v>
      </c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>
        <v>3</v>
      </c>
      <c r="AD15" s="63"/>
      <c r="AE15" s="64"/>
      <c r="AF15" s="64"/>
      <c r="AG15" s="64"/>
      <c r="AH15" s="64"/>
      <c r="AI15" s="64">
        <v>3</v>
      </c>
      <c r="AJ15" s="64"/>
      <c r="AK15" s="64"/>
      <c r="AL15" s="64"/>
      <c r="AM15" s="64"/>
      <c r="AN15" s="64"/>
      <c r="AO15" s="64"/>
      <c r="AP15" s="64"/>
      <c r="AQ15" s="64"/>
      <c r="AR15" s="64">
        <v>2</v>
      </c>
      <c r="AS15" s="64"/>
      <c r="AT15" s="64"/>
      <c r="AV15" s="52">
        <f t="shared" si="1"/>
        <v>7</v>
      </c>
      <c r="AW15" s="52" t="str">
        <f t="shared" si="0"/>
        <v>属性100043_3</v>
      </c>
      <c r="AX15" s="52" t="str">
        <f t="shared" si="2"/>
        <v>mhp;melee;reloadSpeed</v>
      </c>
      <c r="AY15" s="52" t="str">
        <f ca="1">[1]!连接单元格(C15:G15,";")</f>
        <v>60;15;15</v>
      </c>
      <c r="BA15" s="52" t="str">
        <f t="shared" si="3"/>
        <v>1004:5|1022:3|1029:3|1038:2</v>
      </c>
      <c r="BB15" s="52" t="str">
        <f>"&lt;color=#FFCB00FF&gt;" &amp; 描述生成($H$3:$AT$3,H15:AT15)&amp;"&lt;/color&gt;;&lt;color=#FFEFAEFF &gt;"&amp; 描述生成($C$3:$G$3,C15:G15) &amp; "&lt;/color&gt;"</f>
        <v>&lt;color=#FFCB00FF&gt;全弹齐发+5,伤痛记忆+3,实弹增强+3,纳米修复+2&lt;/color&gt;;&lt;color=#FFEFAEFF &gt;生命值+60,攻击力+15,填装速度+15&lt;/color&gt;</v>
      </c>
    </row>
    <row r="16" spans="1:54" x14ac:dyDescent="0.3">
      <c r="A16" s="67">
        <v>100051</v>
      </c>
      <c r="B16" s="59">
        <f t="shared" si="4"/>
        <v>1</v>
      </c>
      <c r="C16" s="62">
        <v>10</v>
      </c>
      <c r="D16" s="62"/>
      <c r="E16" s="62">
        <v>2</v>
      </c>
      <c r="F16" s="62"/>
      <c r="G16" s="62">
        <v>5</v>
      </c>
      <c r="H16" s="63"/>
      <c r="I16" s="63"/>
      <c r="J16" s="63"/>
      <c r="K16" s="63"/>
      <c r="L16" s="63"/>
      <c r="M16" s="63"/>
      <c r="N16" s="63">
        <v>5</v>
      </c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>
        <v>3</v>
      </c>
      <c r="AE16" s="64"/>
      <c r="AF16" s="64"/>
      <c r="AG16" s="64"/>
      <c r="AH16" s="64"/>
      <c r="AI16" s="64"/>
      <c r="AJ16" s="64"/>
      <c r="AK16" s="64"/>
      <c r="AL16" s="64">
        <v>3</v>
      </c>
      <c r="AM16" s="64"/>
      <c r="AN16" s="64"/>
      <c r="AO16" s="64"/>
      <c r="AP16" s="64"/>
      <c r="AQ16" s="64"/>
      <c r="AR16" s="64"/>
      <c r="AS16" s="64">
        <v>2</v>
      </c>
      <c r="AT16" s="64"/>
      <c r="AV16" s="52">
        <f t="shared" si="1"/>
        <v>7</v>
      </c>
      <c r="AW16" s="52" t="str">
        <f t="shared" si="0"/>
        <v>属性100051_1</v>
      </c>
      <c r="AX16" s="52" t="str">
        <f t="shared" si="2"/>
        <v>mhp;speed;motorized</v>
      </c>
      <c r="AY16" s="52" t="str">
        <f ca="1">[1]!连接单元格(C16:G16,";")</f>
        <v>10;2;5</v>
      </c>
      <c r="BA16" s="52" t="str">
        <f t="shared" si="3"/>
        <v>1007:5|1023:3|1032:3|1039:2</v>
      </c>
      <c r="BB16" s="52" t="str">
        <f>"&lt;color=#FFCB00FF&gt;" &amp; 描述生成($H$3:$AT$3,H16:AT16)&amp;"&lt;/color&gt;;&lt;color=#FFEFAEFF &gt;"&amp; 描述生成($C$3:$G$3,C16:G16) &amp; "&lt;/color&gt;"</f>
        <v>&lt;color=#FFCB00FF&gt;炫光射线+5,急速填装+3,强击光线+3,灵魂修复+2&lt;/color&gt;;&lt;color=#FFEFAEFF &gt;生命值+10,先攻+2,机动+5&lt;/color&gt;</v>
      </c>
    </row>
    <row r="17" spans="1:54" x14ac:dyDescent="0.3">
      <c r="A17" s="67">
        <v>100052</v>
      </c>
      <c r="B17" s="59">
        <f t="shared" si="4"/>
        <v>2</v>
      </c>
      <c r="C17" s="62">
        <v>20</v>
      </c>
      <c r="D17" s="62"/>
      <c r="E17" s="62">
        <v>2</v>
      </c>
      <c r="F17" s="62"/>
      <c r="G17" s="62">
        <v>10</v>
      </c>
      <c r="H17" s="63"/>
      <c r="I17" s="63"/>
      <c r="J17" s="63"/>
      <c r="K17" s="63"/>
      <c r="L17" s="63"/>
      <c r="M17" s="63"/>
      <c r="N17" s="63">
        <v>5</v>
      </c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>
        <v>3</v>
      </c>
      <c r="AE17" s="64"/>
      <c r="AF17" s="64"/>
      <c r="AG17" s="64"/>
      <c r="AH17" s="64"/>
      <c r="AI17" s="64"/>
      <c r="AJ17" s="64"/>
      <c r="AK17" s="64"/>
      <c r="AL17" s="64">
        <v>3</v>
      </c>
      <c r="AM17" s="64"/>
      <c r="AN17" s="64"/>
      <c r="AO17" s="64"/>
      <c r="AP17" s="64"/>
      <c r="AQ17" s="64"/>
      <c r="AR17" s="64"/>
      <c r="AS17" s="64">
        <v>2</v>
      </c>
      <c r="AT17" s="64"/>
      <c r="AV17" s="52">
        <f t="shared" si="1"/>
        <v>7</v>
      </c>
      <c r="AW17" s="52" t="str">
        <f t="shared" si="0"/>
        <v>属性100052_2</v>
      </c>
      <c r="AX17" s="52" t="str">
        <f t="shared" si="2"/>
        <v>mhp;speed;motorized</v>
      </c>
      <c r="AY17" s="52" t="str">
        <f ca="1">[1]!连接单元格(C17:G17,";")</f>
        <v>20;2;10</v>
      </c>
      <c r="BA17" s="52" t="str">
        <f t="shared" si="3"/>
        <v>1007:5|1023:3|1032:3|1039:2</v>
      </c>
      <c r="BB17" s="52" t="str">
        <f>"&lt;color=#FFCB00FF&gt;" &amp; 描述生成($H$3:$AT$3,H17:AT17)&amp;"&lt;/color&gt;;&lt;color=#FFEFAEFF &gt;"&amp; 描述生成($C$3:$G$3,C17:G17) &amp; "&lt;/color&gt;"</f>
        <v>&lt;color=#FFCB00FF&gt;炫光射线+5,急速填装+3,强击光线+3,灵魂修复+2&lt;/color&gt;;&lt;color=#FFEFAEFF &gt;生命值+20,先攻+2,机动+10&lt;/color&gt;</v>
      </c>
    </row>
    <row r="18" spans="1:54" x14ac:dyDescent="0.3">
      <c r="A18" s="67">
        <v>100053</v>
      </c>
      <c r="B18" s="59">
        <f t="shared" si="4"/>
        <v>3</v>
      </c>
      <c r="C18" s="62">
        <v>30</v>
      </c>
      <c r="D18" s="62"/>
      <c r="E18" s="62">
        <v>4</v>
      </c>
      <c r="F18" s="62"/>
      <c r="G18" s="62">
        <v>15</v>
      </c>
      <c r="H18" s="63"/>
      <c r="I18" s="63"/>
      <c r="J18" s="63"/>
      <c r="K18" s="63"/>
      <c r="L18" s="63"/>
      <c r="M18" s="63"/>
      <c r="N18" s="63">
        <v>5</v>
      </c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>
        <v>3</v>
      </c>
      <c r="AE18" s="64"/>
      <c r="AF18" s="64"/>
      <c r="AG18" s="64"/>
      <c r="AH18" s="64"/>
      <c r="AI18" s="64"/>
      <c r="AJ18" s="64"/>
      <c r="AK18" s="64"/>
      <c r="AL18" s="64">
        <v>3</v>
      </c>
      <c r="AM18" s="64"/>
      <c r="AN18" s="64"/>
      <c r="AO18" s="64"/>
      <c r="AP18" s="64"/>
      <c r="AQ18" s="64"/>
      <c r="AR18" s="64"/>
      <c r="AS18" s="64">
        <v>2</v>
      </c>
      <c r="AT18" s="64"/>
      <c r="AV18" s="52">
        <f t="shared" si="1"/>
        <v>7</v>
      </c>
      <c r="AW18" s="52" t="str">
        <f t="shared" si="0"/>
        <v>属性100053_3</v>
      </c>
      <c r="AX18" s="52" t="str">
        <f t="shared" si="2"/>
        <v>mhp;speed;motorized</v>
      </c>
      <c r="AY18" s="52" t="str">
        <f ca="1">[1]!连接单元格(C18:G18,";")</f>
        <v>30;4;15</v>
      </c>
      <c r="BA18" s="52" t="str">
        <f t="shared" si="3"/>
        <v>1007:5|1023:3|1032:3|1039:2</v>
      </c>
      <c r="BB18" s="52" t="str">
        <f>"&lt;color=#FFCB00FF&gt;" &amp; 描述生成($H$3:$AT$3,H18:AT18)&amp;"&lt;/color&gt;;&lt;color=#FFEFAEFF &gt;"&amp; 描述生成($C$3:$G$3,C18:G18) &amp; "&lt;/color&gt;"</f>
        <v>&lt;color=#FFCB00FF&gt;炫光射线+5,急速填装+3,强击光线+3,灵魂修复+2&lt;/color&gt;;&lt;color=#FFEFAEFF &gt;生命值+30,先攻+4,机动+15&lt;/color&gt;</v>
      </c>
    </row>
    <row r="19" spans="1:54" x14ac:dyDescent="0.3">
      <c r="A19" s="67">
        <v>100061</v>
      </c>
      <c r="B19" s="59">
        <f t="shared" si="4"/>
        <v>1</v>
      </c>
      <c r="C19" s="62">
        <v>20</v>
      </c>
      <c r="D19" s="62">
        <v>10</v>
      </c>
      <c r="E19" s="62"/>
      <c r="F19" s="62"/>
      <c r="G19" s="62"/>
      <c r="H19" s="63"/>
      <c r="I19" s="63"/>
      <c r="J19" s="63">
        <v>5</v>
      </c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>
        <v>2</v>
      </c>
      <c r="AB19" s="63"/>
      <c r="AC19" s="63"/>
      <c r="AD19" s="63"/>
      <c r="AE19" s="64"/>
      <c r="AF19" s="64"/>
      <c r="AG19" s="64"/>
      <c r="AH19" s="64">
        <v>3</v>
      </c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>
        <v>2</v>
      </c>
      <c r="AV19" s="52">
        <f t="shared" si="1"/>
        <v>6</v>
      </c>
      <c r="AW19" s="52" t="str">
        <f t="shared" si="0"/>
        <v>属性100061_1</v>
      </c>
      <c r="AX19" s="52" t="str">
        <f t="shared" si="2"/>
        <v>mhp;melee</v>
      </c>
      <c r="AY19" s="52" t="str">
        <f ca="1">[1]!连接单元格(C19:G19,";")</f>
        <v>20;10</v>
      </c>
      <c r="BA19" s="52" t="str">
        <f t="shared" si="3"/>
        <v>1003:5|1020:2|1028:3|1040:2</v>
      </c>
      <c r="BB19" s="52" t="str">
        <f>"&lt;color=#FFCB00FF&gt;" &amp; 描述生成($H$3:$AT$3,H19:AT19)&amp;"&lt;/color&gt;;&lt;color=#FFEFAEFF &gt;"&amp; 描述生成($C$3:$G$3,C19:G19) &amp; "&lt;/color&gt;"</f>
        <v>&lt;color=#FFCB00FF&gt;贯通射线+5,虫洞+2,冲锋+3,晕眩攻击+2&lt;/color&gt;;&lt;color=#FFEFAEFF &gt;生命值+20,攻击力+10&lt;/color&gt;</v>
      </c>
    </row>
    <row r="20" spans="1:54" x14ac:dyDescent="0.3">
      <c r="A20" s="67">
        <v>100062</v>
      </c>
      <c r="B20" s="59">
        <f t="shared" si="4"/>
        <v>2</v>
      </c>
      <c r="C20" s="62">
        <v>40</v>
      </c>
      <c r="D20" s="62">
        <v>20</v>
      </c>
      <c r="E20" s="62"/>
      <c r="F20" s="62"/>
      <c r="G20" s="62"/>
      <c r="H20" s="63"/>
      <c r="I20" s="63"/>
      <c r="J20" s="63">
        <v>5</v>
      </c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>
        <v>2</v>
      </c>
      <c r="AB20" s="63"/>
      <c r="AC20" s="63"/>
      <c r="AD20" s="63"/>
      <c r="AE20" s="64"/>
      <c r="AF20" s="64"/>
      <c r="AG20" s="64"/>
      <c r="AH20" s="64">
        <v>3</v>
      </c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>
        <v>2</v>
      </c>
      <c r="AV20" s="52">
        <f t="shared" si="1"/>
        <v>6</v>
      </c>
      <c r="AW20" s="52" t="str">
        <f t="shared" si="0"/>
        <v>属性100062_2</v>
      </c>
      <c r="AX20" s="52" t="str">
        <f t="shared" si="2"/>
        <v>mhp;melee</v>
      </c>
      <c r="AY20" s="52" t="str">
        <f ca="1">[1]!连接单元格(C20:G20,";")</f>
        <v>40;20</v>
      </c>
      <c r="BA20" s="52" t="str">
        <f t="shared" si="3"/>
        <v>1003:5|1020:2|1028:3|1040:2</v>
      </c>
      <c r="BB20" s="52" t="str">
        <f>"&lt;color=#FFCB00FF&gt;" &amp; 描述生成($H$3:$AT$3,H20:AT20)&amp;"&lt;/color&gt;;&lt;color=#FFEFAEFF &gt;"&amp; 描述生成($C$3:$G$3,C20:G20) &amp; "&lt;/color&gt;"</f>
        <v>&lt;color=#FFCB00FF&gt;贯通射线+5,虫洞+2,冲锋+3,晕眩攻击+2&lt;/color&gt;;&lt;color=#FFEFAEFF &gt;生命值+40,攻击力+20&lt;/color&gt;</v>
      </c>
    </row>
    <row r="21" spans="1:54" x14ac:dyDescent="0.3">
      <c r="A21" s="67">
        <v>100063</v>
      </c>
      <c r="B21" s="59">
        <f t="shared" si="4"/>
        <v>3</v>
      </c>
      <c r="C21" s="62">
        <v>60</v>
      </c>
      <c r="D21" s="62">
        <v>30</v>
      </c>
      <c r="E21" s="62"/>
      <c r="F21" s="62"/>
      <c r="G21" s="62"/>
      <c r="H21" s="63"/>
      <c r="I21" s="63"/>
      <c r="J21" s="63">
        <v>5</v>
      </c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>
        <v>2</v>
      </c>
      <c r="AB21" s="63"/>
      <c r="AC21" s="63"/>
      <c r="AD21" s="63"/>
      <c r="AE21" s="64"/>
      <c r="AF21" s="64"/>
      <c r="AG21" s="64"/>
      <c r="AH21" s="64">
        <v>3</v>
      </c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>
        <v>2</v>
      </c>
      <c r="AV21" s="52">
        <f t="shared" si="1"/>
        <v>6</v>
      </c>
      <c r="AW21" s="52" t="str">
        <f t="shared" si="0"/>
        <v>属性100063_3</v>
      </c>
      <c r="AX21" s="52" t="str">
        <f t="shared" si="2"/>
        <v>mhp;melee</v>
      </c>
      <c r="AY21" s="52" t="str">
        <f ca="1">[1]!连接单元格(C21:G21,";")</f>
        <v>60;30</v>
      </c>
      <c r="BA21" s="52" t="str">
        <f t="shared" si="3"/>
        <v>1003:5|1020:2|1028:3|1040:2</v>
      </c>
      <c r="BB21" s="52" t="str">
        <f>"&lt;color=#FFCB00FF&gt;" &amp; 描述生成($H$3:$AT$3,H21:AT21)&amp;"&lt;/color&gt;;&lt;color=#FFEFAEFF &gt;"&amp; 描述生成($C$3:$G$3,C21:G21) &amp; "&lt;/color&gt;"</f>
        <v>&lt;color=#FFCB00FF&gt;贯通射线+5,虫洞+2,冲锋+3,晕眩攻击+2&lt;/color&gt;;&lt;color=#FFEFAEFF &gt;生命值+60,攻击力+30&lt;/color&gt;</v>
      </c>
    </row>
    <row r="22" spans="1:54" x14ac:dyDescent="0.3">
      <c r="A22" s="70">
        <v>100071</v>
      </c>
      <c r="B22" s="59">
        <f t="shared" si="4"/>
        <v>1</v>
      </c>
      <c r="C22" s="62"/>
      <c r="D22" s="62"/>
      <c r="E22" s="62"/>
      <c r="F22" s="62">
        <v>7</v>
      </c>
      <c r="G22" s="62">
        <v>5</v>
      </c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>
        <v>5</v>
      </c>
      <c r="V22" s="63"/>
      <c r="W22" s="63"/>
      <c r="X22" s="63"/>
      <c r="Y22" s="63"/>
      <c r="Z22" s="63"/>
      <c r="AA22" s="63"/>
      <c r="AB22" s="63"/>
      <c r="AC22" s="63"/>
      <c r="AD22" s="63"/>
      <c r="AE22" s="64"/>
      <c r="AF22" s="64"/>
      <c r="AG22" s="64"/>
      <c r="AH22" s="64"/>
      <c r="AI22" s="64"/>
      <c r="AJ22" s="64"/>
      <c r="AK22" s="64">
        <v>3</v>
      </c>
      <c r="AL22" s="64"/>
      <c r="AM22" s="64"/>
      <c r="AN22" s="64"/>
      <c r="AO22" s="64"/>
      <c r="AP22" s="64">
        <v>2</v>
      </c>
      <c r="AQ22" s="64"/>
      <c r="AR22" s="64"/>
      <c r="AS22" s="64"/>
      <c r="AT22" s="64"/>
      <c r="AV22" s="52">
        <f t="shared" si="1"/>
        <v>5</v>
      </c>
      <c r="AW22" s="52" t="str">
        <f t="shared" si="0"/>
        <v>属性100071_1</v>
      </c>
      <c r="AX22" s="52" t="str">
        <f t="shared" si="2"/>
        <v>reloadSpeed;motorized</v>
      </c>
      <c r="AY22" s="52" t="str">
        <f ca="1">[1]!连接单元格(C22:G22,";")</f>
        <v>7;5</v>
      </c>
      <c r="BA22" s="52" t="str">
        <f t="shared" si="3"/>
        <v>1014:5|1031:3|1036:2</v>
      </c>
      <c r="BB22" s="52" t="str">
        <f>"&lt;color=#FFCB00FF&gt;" &amp; 描述生成($H$3:$AT$3,H22:AT22)&amp;"&lt;/color&gt;;&lt;color=#FFEFAEFF &gt;"&amp; 描述生成($C$3:$G$3,C22:G22) &amp; "&lt;/color&gt;"</f>
        <v>&lt;color=#FFCB00FF&gt;生命抽取+5,斩杀+3,热力追踪+2&lt;/color&gt;;&lt;color=#FFEFAEFF &gt;填装速度+7,机动+5&lt;/color&gt;</v>
      </c>
    </row>
    <row r="23" spans="1:54" x14ac:dyDescent="0.3">
      <c r="A23" s="67">
        <v>100072</v>
      </c>
      <c r="B23" s="59">
        <f t="shared" si="4"/>
        <v>2</v>
      </c>
      <c r="C23" s="62"/>
      <c r="D23" s="62"/>
      <c r="E23" s="62"/>
      <c r="F23" s="62">
        <v>15</v>
      </c>
      <c r="G23" s="62">
        <v>10</v>
      </c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>
        <v>5</v>
      </c>
      <c r="V23" s="63"/>
      <c r="W23" s="63"/>
      <c r="X23" s="63"/>
      <c r="Y23" s="63"/>
      <c r="Z23" s="63"/>
      <c r="AA23" s="63"/>
      <c r="AB23" s="63"/>
      <c r="AC23" s="63"/>
      <c r="AD23" s="63"/>
      <c r="AE23" s="64"/>
      <c r="AF23" s="64"/>
      <c r="AG23" s="64"/>
      <c r="AH23" s="64"/>
      <c r="AI23" s="64"/>
      <c r="AJ23" s="64"/>
      <c r="AK23" s="64">
        <v>3</v>
      </c>
      <c r="AL23" s="64"/>
      <c r="AM23" s="64"/>
      <c r="AN23" s="64"/>
      <c r="AO23" s="64"/>
      <c r="AP23" s="64">
        <v>2</v>
      </c>
      <c r="AQ23" s="64"/>
      <c r="AR23" s="64"/>
      <c r="AS23" s="64"/>
      <c r="AT23" s="64"/>
      <c r="AV23" s="52">
        <f t="shared" si="1"/>
        <v>5</v>
      </c>
      <c r="AW23" s="52" t="str">
        <f t="shared" si="0"/>
        <v>属性100072_2</v>
      </c>
      <c r="AX23" s="52" t="str">
        <f t="shared" si="2"/>
        <v>reloadSpeed;motorized</v>
      </c>
      <c r="AY23" s="52" t="str">
        <f ca="1">[1]!连接单元格(C23:G23,";")</f>
        <v>15;10</v>
      </c>
      <c r="BA23" s="52" t="str">
        <f t="shared" si="3"/>
        <v>1014:5|1031:3|1036:2</v>
      </c>
      <c r="BB23" s="52" t="str">
        <f>"&lt;color=#FFCB00FF&gt;" &amp; 描述生成($H$3:$AT$3,H23:AT23)&amp;"&lt;/color&gt;;&lt;color=#FFEFAEFF &gt;"&amp; 描述生成($C$3:$G$3,C23:G23) &amp; "&lt;/color&gt;"</f>
        <v>&lt;color=#FFCB00FF&gt;生命抽取+5,斩杀+3,热力追踪+2&lt;/color&gt;;&lt;color=#FFEFAEFF &gt;填装速度+15,机动+10&lt;/color&gt;</v>
      </c>
    </row>
    <row r="24" spans="1:54" x14ac:dyDescent="0.3">
      <c r="A24" s="67">
        <v>100073</v>
      </c>
      <c r="B24" s="59">
        <f t="shared" si="4"/>
        <v>3</v>
      </c>
      <c r="C24" s="62"/>
      <c r="D24" s="62"/>
      <c r="E24" s="62"/>
      <c r="F24" s="62">
        <v>20</v>
      </c>
      <c r="G24" s="62">
        <v>15</v>
      </c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>
        <v>5</v>
      </c>
      <c r="V24" s="63"/>
      <c r="W24" s="63"/>
      <c r="X24" s="63"/>
      <c r="Y24" s="63"/>
      <c r="Z24" s="63"/>
      <c r="AA24" s="63"/>
      <c r="AB24" s="63"/>
      <c r="AC24" s="63"/>
      <c r="AD24" s="63"/>
      <c r="AE24" s="64"/>
      <c r="AF24" s="64"/>
      <c r="AG24" s="64"/>
      <c r="AH24" s="64"/>
      <c r="AI24" s="64"/>
      <c r="AJ24" s="64"/>
      <c r="AK24" s="64">
        <v>3</v>
      </c>
      <c r="AL24" s="64"/>
      <c r="AM24" s="64"/>
      <c r="AN24" s="64"/>
      <c r="AO24" s="64"/>
      <c r="AP24" s="64">
        <v>2</v>
      </c>
      <c r="AQ24" s="64"/>
      <c r="AR24" s="64"/>
      <c r="AS24" s="64"/>
      <c r="AT24" s="64"/>
      <c r="AV24" s="52">
        <f t="shared" si="1"/>
        <v>5</v>
      </c>
      <c r="AW24" s="52" t="str">
        <f t="shared" si="0"/>
        <v>属性100073_3</v>
      </c>
      <c r="AX24" s="52" t="str">
        <f t="shared" si="2"/>
        <v>reloadSpeed;motorized</v>
      </c>
      <c r="AY24" s="52" t="str">
        <f ca="1">[1]!连接单元格(C24:G24,";")</f>
        <v>20;15</v>
      </c>
      <c r="BA24" s="52" t="str">
        <f t="shared" si="3"/>
        <v>1014:5|1031:3|1036:2</v>
      </c>
      <c r="BB24" s="52" t="str">
        <f>"&lt;color=#FFCB00FF&gt;" &amp; 描述生成($H$3:$AT$3,H24:AT24)&amp;"&lt;/color&gt;;&lt;color=#FFEFAEFF &gt;"&amp; 描述生成($C$3:$G$3,C24:G24) &amp; "&lt;/color&gt;"</f>
        <v>&lt;color=#FFCB00FF&gt;生命抽取+5,斩杀+3,热力追踪+2&lt;/color&gt;;&lt;color=#FFEFAEFF &gt;填装速度+20,机动+15&lt;/color&gt;</v>
      </c>
    </row>
    <row r="25" spans="1:54" x14ac:dyDescent="0.3">
      <c r="A25" s="67">
        <v>100081</v>
      </c>
      <c r="B25" s="59">
        <f t="shared" si="4"/>
        <v>1</v>
      </c>
      <c r="C25" s="62">
        <v>10</v>
      </c>
      <c r="D25" s="62">
        <v>7</v>
      </c>
      <c r="E25" s="62">
        <v>2</v>
      </c>
      <c r="F25" s="62"/>
      <c r="G25" s="62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>
        <v>4</v>
      </c>
      <c r="X25" s="63"/>
      <c r="Y25" s="63">
        <v>2</v>
      </c>
      <c r="Z25" s="63"/>
      <c r="AA25" s="63"/>
      <c r="AB25" s="63"/>
      <c r="AC25" s="63"/>
      <c r="AD25" s="63"/>
      <c r="AE25" s="64"/>
      <c r="AF25" s="64"/>
      <c r="AG25" s="64"/>
      <c r="AH25" s="64"/>
      <c r="AI25" s="64">
        <v>2</v>
      </c>
      <c r="AJ25" s="64"/>
      <c r="AK25" s="64"/>
      <c r="AL25" s="64"/>
      <c r="AM25" s="64">
        <v>3</v>
      </c>
      <c r="AN25" s="64"/>
      <c r="AO25" s="64"/>
      <c r="AP25" s="64"/>
      <c r="AQ25" s="64"/>
      <c r="AR25" s="64"/>
      <c r="AS25" s="64"/>
      <c r="AT25" s="64"/>
      <c r="AV25" s="52">
        <f t="shared" si="1"/>
        <v>7</v>
      </c>
      <c r="AW25" s="52" t="str">
        <f t="shared" si="0"/>
        <v>属性100081_1</v>
      </c>
      <c r="AX25" s="52" t="str">
        <f t="shared" si="2"/>
        <v>mhp;melee;speed</v>
      </c>
      <c r="AY25" s="52" t="str">
        <f ca="1">[1]!连接单元格(C25:G25,";")</f>
        <v>10;7;2</v>
      </c>
      <c r="BA25" s="52" t="str">
        <f t="shared" si="3"/>
        <v>1016:4|1018:2|1029:2|1033:3</v>
      </c>
      <c r="BB25" s="52" t="str">
        <f>"&lt;color=#FFCB00FF&gt;" &amp; 描述生成($H$3:$AT$3,H25:AT25)&amp;"&lt;/color&gt;;&lt;color=#FFEFAEFF &gt;"&amp; 描述生成($C$3:$G$3,C25:G25) &amp; "&lt;/color&gt;"</f>
        <v>&lt;color=#FFCB00FF&gt;干扰弹+4,时空转移+2,实弹增强+2,燃料引爆+3&lt;/color&gt;;&lt;color=#FFEFAEFF &gt;生命值+10,攻击力+7,先攻+2&lt;/color&gt;</v>
      </c>
    </row>
    <row r="26" spans="1:54" x14ac:dyDescent="0.3">
      <c r="A26" s="67">
        <v>100082</v>
      </c>
      <c r="B26" s="59">
        <f t="shared" si="4"/>
        <v>2</v>
      </c>
      <c r="C26" s="62">
        <v>20</v>
      </c>
      <c r="D26" s="62">
        <v>15</v>
      </c>
      <c r="E26" s="62">
        <v>4</v>
      </c>
      <c r="F26" s="62"/>
      <c r="G26" s="62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>
        <v>4</v>
      </c>
      <c r="X26" s="63"/>
      <c r="Y26" s="63">
        <v>2</v>
      </c>
      <c r="Z26" s="63"/>
      <c r="AA26" s="63"/>
      <c r="AB26" s="63"/>
      <c r="AC26" s="63"/>
      <c r="AD26" s="63"/>
      <c r="AE26" s="64"/>
      <c r="AF26" s="64"/>
      <c r="AG26" s="64"/>
      <c r="AH26" s="64"/>
      <c r="AI26" s="64">
        <v>2</v>
      </c>
      <c r="AJ26" s="64"/>
      <c r="AK26" s="64"/>
      <c r="AL26" s="64"/>
      <c r="AM26" s="64">
        <v>3</v>
      </c>
      <c r="AN26" s="64"/>
      <c r="AO26" s="64"/>
      <c r="AP26" s="64"/>
      <c r="AQ26" s="64"/>
      <c r="AR26" s="64"/>
      <c r="AS26" s="64"/>
      <c r="AT26" s="64"/>
      <c r="AV26" s="52">
        <f t="shared" si="1"/>
        <v>7</v>
      </c>
      <c r="AW26" s="52" t="str">
        <f t="shared" si="0"/>
        <v>属性100082_2</v>
      </c>
      <c r="AX26" s="52" t="str">
        <f t="shared" si="2"/>
        <v>mhp;melee;speed</v>
      </c>
      <c r="AY26" s="52" t="str">
        <f ca="1">[1]!连接单元格(C26:G26,";")</f>
        <v>20;15;4</v>
      </c>
      <c r="BA26" s="52" t="str">
        <f t="shared" si="3"/>
        <v>1016:4|1018:2|1029:2|1033:3</v>
      </c>
      <c r="BB26" s="52" t="str">
        <f>"&lt;color=#FFCB00FF&gt;" &amp; 描述生成($H$3:$AT$3,H26:AT26)&amp;"&lt;/color&gt;;&lt;color=#FFEFAEFF &gt;"&amp; 描述生成($C$3:$G$3,C26:G26) &amp; "&lt;/color&gt;"</f>
        <v>&lt;color=#FFCB00FF&gt;干扰弹+4,时空转移+2,实弹增强+2,燃料引爆+3&lt;/color&gt;;&lt;color=#FFEFAEFF &gt;生命值+20,攻击力+15,先攻+4&lt;/color&gt;</v>
      </c>
    </row>
    <row r="27" spans="1:54" x14ac:dyDescent="0.3">
      <c r="A27" s="67">
        <v>100083</v>
      </c>
      <c r="B27" s="59">
        <f t="shared" si="4"/>
        <v>3</v>
      </c>
      <c r="C27" s="62">
        <v>30</v>
      </c>
      <c r="D27" s="62">
        <v>20</v>
      </c>
      <c r="E27" s="62">
        <v>5</v>
      </c>
      <c r="F27" s="62"/>
      <c r="G27" s="62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>
        <v>4</v>
      </c>
      <c r="X27" s="63"/>
      <c r="Y27" s="63">
        <v>2</v>
      </c>
      <c r="Z27" s="63"/>
      <c r="AA27" s="63"/>
      <c r="AB27" s="63"/>
      <c r="AC27" s="63"/>
      <c r="AD27" s="63"/>
      <c r="AE27" s="64"/>
      <c r="AF27" s="64"/>
      <c r="AG27" s="64"/>
      <c r="AH27" s="64"/>
      <c r="AI27" s="64">
        <v>2</v>
      </c>
      <c r="AJ27" s="64"/>
      <c r="AK27" s="64"/>
      <c r="AL27" s="64"/>
      <c r="AM27" s="64">
        <v>3</v>
      </c>
      <c r="AN27" s="64"/>
      <c r="AO27" s="64"/>
      <c r="AP27" s="64"/>
      <c r="AQ27" s="64"/>
      <c r="AR27" s="64"/>
      <c r="AS27" s="64"/>
      <c r="AT27" s="64"/>
      <c r="AV27" s="52">
        <f t="shared" si="1"/>
        <v>7</v>
      </c>
      <c r="AW27" s="52" t="str">
        <f t="shared" si="0"/>
        <v>属性100083_3</v>
      </c>
      <c r="AX27" s="52" t="str">
        <f t="shared" si="2"/>
        <v>mhp;melee;speed</v>
      </c>
      <c r="AY27" s="52" t="str">
        <f ca="1">[1]!连接单元格(C27:G27,";")</f>
        <v>30;20;5</v>
      </c>
      <c r="BA27" s="52" t="str">
        <f t="shared" si="3"/>
        <v>1016:4|1018:2|1029:2|1033:3</v>
      </c>
      <c r="BB27" s="52" t="str">
        <f>"&lt;color=#FFCB00FF&gt;" &amp; 描述生成($H$3:$AT$3,H27:AT27)&amp;"&lt;/color&gt;;&lt;color=#FFEFAEFF &gt;"&amp; 描述生成($C$3:$G$3,C27:G27) &amp; "&lt;/color&gt;"</f>
        <v>&lt;color=#FFCB00FF&gt;干扰弹+4,时空转移+2,实弹增强+2,燃料引爆+3&lt;/color&gt;;&lt;color=#FFEFAEFF &gt;生命值+30,攻击力+20,先攻+5&lt;/color&gt;</v>
      </c>
    </row>
    <row r="28" spans="1:54" x14ac:dyDescent="0.3">
      <c r="A28" s="71">
        <v>100091</v>
      </c>
      <c r="B28" s="59">
        <f t="shared" si="4"/>
        <v>1</v>
      </c>
      <c r="C28" s="62">
        <v>20</v>
      </c>
      <c r="D28" s="62">
        <v>7</v>
      </c>
      <c r="E28" s="62"/>
      <c r="F28" s="62"/>
      <c r="G28" s="62">
        <v>5</v>
      </c>
      <c r="H28" s="63"/>
      <c r="I28" s="63"/>
      <c r="J28" s="63"/>
      <c r="K28" s="63"/>
      <c r="L28" s="63">
        <v>5</v>
      </c>
      <c r="M28" s="63"/>
      <c r="N28" s="63"/>
      <c r="O28" s="63"/>
      <c r="P28" s="63"/>
      <c r="Q28" s="63"/>
      <c r="R28" s="63"/>
      <c r="S28" s="63">
        <v>3</v>
      </c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4"/>
      <c r="AF28" s="64"/>
      <c r="AG28" s="64"/>
      <c r="AH28" s="64"/>
      <c r="AI28" s="64"/>
      <c r="AJ28" s="64"/>
      <c r="AK28" s="64"/>
      <c r="AL28" s="64"/>
      <c r="AM28" s="64"/>
      <c r="AN28" s="64">
        <v>3</v>
      </c>
      <c r="AO28" s="64"/>
      <c r="AP28" s="64"/>
      <c r="AQ28" s="64"/>
      <c r="AR28" s="64">
        <v>2</v>
      </c>
      <c r="AS28" s="64"/>
      <c r="AT28" s="64"/>
      <c r="AV28" s="52">
        <f t="shared" si="1"/>
        <v>7</v>
      </c>
      <c r="AW28" s="52" t="str">
        <f t="shared" si="0"/>
        <v>属性100091_1</v>
      </c>
      <c r="AX28" s="52" t="str">
        <f t="shared" si="2"/>
        <v>mhp;melee;motorized</v>
      </c>
      <c r="AY28" s="52" t="str">
        <f ca="1">[1]!连接单元格(C28:G28,";")</f>
        <v>20;7;5</v>
      </c>
      <c r="BA28" s="52" t="str">
        <f t="shared" si="3"/>
        <v>1005:5|1012:3|1034:3|1038:2</v>
      </c>
      <c r="BB28" s="52" t="str">
        <f>"&lt;color=#FFCB00FF&gt;" &amp; 描述生成($H$3:$AT$3,H28:AT28)&amp;"&lt;/color&gt;;&lt;color=#FFEFAEFF &gt;"&amp; 描述生成($C$3:$G$3,C28:G28) &amp; "&lt;/color&gt;"</f>
        <v>&lt;color=#FFCB00FF&gt;散射+5,沉默+3,机械工程+3,纳米修复+2&lt;/color&gt;;&lt;color=#FFEFAEFF &gt;生命值+20,攻击力+7,机动+5&lt;/color&gt;</v>
      </c>
    </row>
    <row r="29" spans="1:54" x14ac:dyDescent="0.3">
      <c r="A29" s="67">
        <v>100092</v>
      </c>
      <c r="B29" s="59">
        <f t="shared" si="4"/>
        <v>2</v>
      </c>
      <c r="C29" s="62">
        <v>40</v>
      </c>
      <c r="D29" s="62">
        <v>15</v>
      </c>
      <c r="E29" s="62"/>
      <c r="F29" s="62"/>
      <c r="G29" s="62">
        <v>10</v>
      </c>
      <c r="H29" s="63"/>
      <c r="I29" s="63"/>
      <c r="J29" s="63"/>
      <c r="K29" s="63"/>
      <c r="L29" s="63">
        <v>5</v>
      </c>
      <c r="M29" s="63"/>
      <c r="N29" s="63"/>
      <c r="O29" s="63"/>
      <c r="P29" s="63"/>
      <c r="Q29" s="63"/>
      <c r="R29" s="63"/>
      <c r="S29" s="63">
        <v>3</v>
      </c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4"/>
      <c r="AF29" s="64"/>
      <c r="AG29" s="64"/>
      <c r="AH29" s="64"/>
      <c r="AI29" s="64"/>
      <c r="AJ29" s="64"/>
      <c r="AK29" s="64"/>
      <c r="AL29" s="64"/>
      <c r="AM29" s="64"/>
      <c r="AN29" s="64">
        <v>3</v>
      </c>
      <c r="AO29" s="64"/>
      <c r="AP29" s="64"/>
      <c r="AQ29" s="64"/>
      <c r="AR29" s="64">
        <v>2</v>
      </c>
      <c r="AS29" s="64"/>
      <c r="AT29" s="64"/>
      <c r="AV29" s="52">
        <f t="shared" si="1"/>
        <v>7</v>
      </c>
      <c r="AW29" s="52" t="str">
        <f t="shared" si="0"/>
        <v>属性100092_2</v>
      </c>
      <c r="AX29" s="52" t="str">
        <f t="shared" si="2"/>
        <v>mhp;melee;motorized</v>
      </c>
      <c r="AY29" s="52" t="str">
        <f ca="1">[1]!连接单元格(C29:G29,";")</f>
        <v>40;15;10</v>
      </c>
      <c r="BA29" s="52" t="str">
        <f t="shared" si="3"/>
        <v>1005:5|1012:3|1034:3|1038:2</v>
      </c>
      <c r="BB29" s="52" t="str">
        <f>"&lt;color=#FFCB00FF&gt;" &amp; 描述生成($H$3:$AT$3,H29:AT29)&amp;"&lt;/color&gt;;&lt;color=#FFEFAEFF &gt;"&amp; 描述生成($C$3:$G$3,C29:G29) &amp; "&lt;/color&gt;"</f>
        <v>&lt;color=#FFCB00FF&gt;散射+5,沉默+3,机械工程+3,纳米修复+2&lt;/color&gt;;&lt;color=#FFEFAEFF &gt;生命值+40,攻击力+15,机动+10&lt;/color&gt;</v>
      </c>
    </row>
    <row r="30" spans="1:54" x14ac:dyDescent="0.3">
      <c r="A30" s="67">
        <v>100093</v>
      </c>
      <c r="B30" s="59">
        <f t="shared" si="4"/>
        <v>3</v>
      </c>
      <c r="C30" s="62">
        <v>60</v>
      </c>
      <c r="D30" s="62">
        <v>20</v>
      </c>
      <c r="E30" s="62"/>
      <c r="F30" s="62"/>
      <c r="G30" s="62">
        <v>15</v>
      </c>
      <c r="H30" s="63"/>
      <c r="I30" s="63"/>
      <c r="J30" s="63"/>
      <c r="K30" s="63"/>
      <c r="L30" s="63">
        <v>5</v>
      </c>
      <c r="M30" s="63"/>
      <c r="N30" s="63"/>
      <c r="O30" s="63"/>
      <c r="P30" s="63"/>
      <c r="Q30" s="63"/>
      <c r="R30" s="63"/>
      <c r="S30" s="63">
        <v>3</v>
      </c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4"/>
      <c r="AF30" s="64"/>
      <c r="AG30" s="64"/>
      <c r="AH30" s="64"/>
      <c r="AI30" s="64"/>
      <c r="AJ30" s="64"/>
      <c r="AK30" s="64"/>
      <c r="AL30" s="64"/>
      <c r="AM30" s="64"/>
      <c r="AN30" s="64">
        <v>3</v>
      </c>
      <c r="AO30" s="64"/>
      <c r="AP30" s="64"/>
      <c r="AQ30" s="64"/>
      <c r="AR30" s="64">
        <v>2</v>
      </c>
      <c r="AS30" s="64"/>
      <c r="AT30" s="64"/>
      <c r="AV30" s="52">
        <f t="shared" si="1"/>
        <v>7</v>
      </c>
      <c r="AW30" s="52" t="str">
        <f t="shared" si="0"/>
        <v>属性100093_3</v>
      </c>
      <c r="AX30" s="52" t="str">
        <f t="shared" si="2"/>
        <v>mhp;melee;motorized</v>
      </c>
      <c r="AY30" s="52" t="str">
        <f ca="1">[1]!连接单元格(C30:G30,";")</f>
        <v>60;20;15</v>
      </c>
      <c r="BA30" s="52" t="str">
        <f t="shared" si="3"/>
        <v>1005:5|1012:3|1034:3|1038:2</v>
      </c>
      <c r="BB30" s="52" t="str">
        <f>"&lt;color=#FFCB00FF&gt;" &amp; 描述生成($H$3:$AT$3,H30:AT30)&amp;"&lt;/color&gt;;&lt;color=#FFEFAEFF &gt;"&amp; 描述生成($C$3:$G$3,C30:G30) &amp; "&lt;/color&gt;"</f>
        <v>&lt;color=#FFCB00FF&gt;散射+5,沉默+3,机械工程+3,纳米修复+2&lt;/color&gt;;&lt;color=#FFEFAEFF &gt;生命值+60,攻击力+20,机动+15&lt;/color&gt;</v>
      </c>
    </row>
    <row r="31" spans="1:54" x14ac:dyDescent="0.3">
      <c r="A31" s="67">
        <v>100101</v>
      </c>
      <c r="B31" s="59">
        <f t="shared" si="4"/>
        <v>1</v>
      </c>
      <c r="C31" s="62"/>
      <c r="D31" s="62">
        <v>5</v>
      </c>
      <c r="E31" s="62">
        <v>3</v>
      </c>
      <c r="F31" s="62"/>
      <c r="G31" s="62"/>
      <c r="H31" s="63"/>
      <c r="I31" s="63"/>
      <c r="J31" s="63"/>
      <c r="K31" s="63"/>
      <c r="L31" s="63"/>
      <c r="M31" s="63"/>
      <c r="N31" s="63"/>
      <c r="O31" s="63"/>
      <c r="P31" s="63">
        <v>3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>
        <v>3</v>
      </c>
      <c r="AP31" s="64"/>
      <c r="AQ31" s="64"/>
      <c r="AR31" s="64"/>
      <c r="AS31" s="64">
        <v>2</v>
      </c>
      <c r="AT31" s="64">
        <v>2</v>
      </c>
      <c r="AV31" s="52">
        <f t="shared" si="1"/>
        <v>6</v>
      </c>
      <c r="AW31" s="52" t="str">
        <f t="shared" si="0"/>
        <v>属性100101_1</v>
      </c>
      <c r="AX31" s="52" t="str">
        <f t="shared" si="2"/>
        <v>melee;speed</v>
      </c>
      <c r="AY31" s="52" t="str">
        <f ca="1">[1]!连接单元格(C31:G31,";")</f>
        <v>5;3</v>
      </c>
      <c r="BA31" s="52" t="str">
        <f t="shared" si="3"/>
        <v>1009:3|1035:3|1039:2|1040:2</v>
      </c>
      <c r="BB31" s="52" t="str">
        <f>"&lt;color=#FFCB00FF&gt;" &amp; 描述生成($H$3:$AT$3,H31:AT31)&amp;"&lt;/color&gt;;&lt;color=#FFEFAEFF &gt;"&amp; 描述生成($C$3:$G$3,C31:G31) &amp; "&lt;/color&gt;"</f>
        <v>&lt;color=#FFCB00FF&gt;变形+3,生命工程+3,灵魂修复+2,晕眩攻击+2&lt;/color&gt;;&lt;color=#FFEFAEFF &gt;攻击力+5,先攻+3&lt;/color&gt;</v>
      </c>
    </row>
    <row r="32" spans="1:54" x14ac:dyDescent="0.3">
      <c r="A32" s="67">
        <v>100102</v>
      </c>
      <c r="B32" s="59">
        <f t="shared" si="4"/>
        <v>2</v>
      </c>
      <c r="C32" s="62"/>
      <c r="D32" s="62">
        <v>10</v>
      </c>
      <c r="E32" s="62">
        <v>6</v>
      </c>
      <c r="F32" s="62"/>
      <c r="G32" s="62"/>
      <c r="H32" s="63"/>
      <c r="I32" s="63"/>
      <c r="J32" s="63"/>
      <c r="K32" s="63"/>
      <c r="L32" s="63"/>
      <c r="M32" s="63"/>
      <c r="N32" s="63"/>
      <c r="O32" s="63"/>
      <c r="P32" s="63">
        <v>3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>
        <v>3</v>
      </c>
      <c r="AP32" s="64"/>
      <c r="AQ32" s="64"/>
      <c r="AR32" s="64"/>
      <c r="AS32" s="64">
        <v>2</v>
      </c>
      <c r="AT32" s="64">
        <v>2</v>
      </c>
      <c r="AV32" s="52">
        <f t="shared" si="1"/>
        <v>6</v>
      </c>
      <c r="AW32" s="52" t="str">
        <f t="shared" si="0"/>
        <v>属性100102_2</v>
      </c>
      <c r="AX32" s="52" t="str">
        <f t="shared" si="2"/>
        <v>melee;speed</v>
      </c>
      <c r="AY32" s="52" t="str">
        <f ca="1">[1]!连接单元格(C32:G32,";")</f>
        <v>10;6</v>
      </c>
      <c r="BA32" s="52" t="str">
        <f t="shared" si="3"/>
        <v>1009:3|1035:3|1039:2|1040:2</v>
      </c>
      <c r="BB32" s="52" t="str">
        <f>"&lt;color=#FFCB00FF&gt;" &amp; 描述生成($H$3:$AT$3,H32:AT32)&amp;"&lt;/color&gt;;&lt;color=#FFEFAEFF &gt;"&amp; 描述生成($C$3:$G$3,C32:G32) &amp; "&lt;/color&gt;"</f>
        <v>&lt;color=#FFCB00FF&gt;变形+3,生命工程+3,灵魂修复+2,晕眩攻击+2&lt;/color&gt;;&lt;color=#FFEFAEFF &gt;攻击力+10,先攻+6&lt;/color&gt;</v>
      </c>
    </row>
    <row r="33" spans="1:54" x14ac:dyDescent="0.3">
      <c r="A33" s="67">
        <v>100103</v>
      </c>
      <c r="B33" s="59">
        <f t="shared" si="4"/>
        <v>3</v>
      </c>
      <c r="C33" s="62"/>
      <c r="D33" s="62">
        <v>15</v>
      </c>
      <c r="E33" s="62">
        <v>9</v>
      </c>
      <c r="F33" s="62"/>
      <c r="G33" s="62"/>
      <c r="H33" s="63"/>
      <c r="I33" s="63"/>
      <c r="J33" s="63"/>
      <c r="K33" s="63"/>
      <c r="L33" s="63"/>
      <c r="M33" s="63"/>
      <c r="N33" s="63"/>
      <c r="O33" s="63"/>
      <c r="P33" s="63">
        <v>3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>
        <v>3</v>
      </c>
      <c r="AP33" s="64"/>
      <c r="AQ33" s="64"/>
      <c r="AR33" s="64"/>
      <c r="AS33" s="64">
        <v>2</v>
      </c>
      <c r="AT33" s="64">
        <v>2</v>
      </c>
      <c r="AV33" s="52">
        <f t="shared" si="1"/>
        <v>6</v>
      </c>
      <c r="AW33" s="52" t="str">
        <f t="shared" si="0"/>
        <v>属性100103_3</v>
      </c>
      <c r="AX33" s="52" t="str">
        <f t="shared" si="2"/>
        <v>melee;speed</v>
      </c>
      <c r="AY33" s="52" t="str">
        <f ca="1">[1]!连接单元格(C33:G33,";")</f>
        <v>15;9</v>
      </c>
      <c r="BA33" s="52" t="str">
        <f t="shared" si="3"/>
        <v>1009:3|1035:3|1039:2|1040:2</v>
      </c>
      <c r="BB33" s="52" t="str">
        <f>"&lt;color=#FFCB00FF&gt;" &amp; 描述生成($H$3:$AT$3,H33:AT33)&amp;"&lt;/color&gt;;&lt;color=#FFEFAEFF &gt;"&amp; 描述生成($C$3:$G$3,C33:G33) &amp; "&lt;/color&gt;"</f>
        <v>&lt;color=#FFCB00FF&gt;变形+3,生命工程+3,灵魂修复+2,晕眩攻击+2&lt;/color&gt;;&lt;color=#FFEFAEFF &gt;攻击力+15,先攻+9&lt;/color&gt;</v>
      </c>
    </row>
    <row r="34" spans="1:54" x14ac:dyDescent="0.3">
      <c r="A34" s="69">
        <v>100111</v>
      </c>
      <c r="B34" s="59">
        <f t="shared" si="4"/>
        <v>1</v>
      </c>
      <c r="C34" s="62">
        <v>10</v>
      </c>
      <c r="D34" s="62"/>
      <c r="E34" s="62"/>
      <c r="F34" s="62">
        <v>7</v>
      </c>
      <c r="G34" s="62">
        <v>5</v>
      </c>
      <c r="H34" s="63">
        <v>5</v>
      </c>
      <c r="I34" s="63"/>
      <c r="J34" s="63"/>
      <c r="K34" s="63"/>
      <c r="L34" s="63"/>
      <c r="M34" s="63"/>
      <c r="N34" s="63"/>
      <c r="O34" s="63">
        <v>3</v>
      </c>
      <c r="P34" s="63"/>
      <c r="Q34" s="63"/>
      <c r="R34" s="63"/>
      <c r="S34" s="63"/>
      <c r="T34" s="63"/>
      <c r="U34" s="63"/>
      <c r="V34" s="63">
        <v>3</v>
      </c>
      <c r="W34" s="63"/>
      <c r="X34" s="63"/>
      <c r="Y34" s="63"/>
      <c r="Z34" s="63"/>
      <c r="AA34" s="63"/>
      <c r="AB34" s="63"/>
      <c r="AC34" s="63"/>
      <c r="AD34" s="63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>
        <v>2</v>
      </c>
      <c r="AQ34" s="64"/>
      <c r="AR34" s="64">
        <v>3</v>
      </c>
      <c r="AS34" s="64"/>
      <c r="AT34" s="64"/>
      <c r="AV34" s="52">
        <f t="shared" si="1"/>
        <v>8</v>
      </c>
      <c r="AW34" s="52" t="str">
        <f t="shared" si="0"/>
        <v>属性100111_1</v>
      </c>
      <c r="AX34" s="52" t="str">
        <f t="shared" si="2"/>
        <v>mhp;reloadSpeed;motorized</v>
      </c>
      <c r="AY34" s="52" t="str">
        <f ca="1">[1]!连接单元格(C34:G34,";")</f>
        <v>10;7;5</v>
      </c>
      <c r="BA34" s="52" t="str">
        <f t="shared" si="3"/>
        <v>1001:5|1008:3|1015:3|1036:2|1038:3</v>
      </c>
      <c r="BB34" s="52" t="str">
        <f>"&lt;color=#FFCB00FF&gt;" &amp; 描述生成($H$3:$AT$3,H34:AT34)&amp;"&lt;/color&gt;;&lt;color=#FFEFAEFF &gt;"&amp; 描述生成($C$3:$G$3,C34:G34) &amp; "&lt;/color&gt;"</f>
        <v>&lt;color=#FFCB00FF&gt;南瓜+5,精神错乱+3,中子弹+3,热力追踪+2,纳米修复+3&lt;/color&gt;;&lt;color=#FFEFAEFF &gt;生命值+10,填装速度+7,机动+5&lt;/color&gt;</v>
      </c>
    </row>
    <row r="35" spans="1:54" x14ac:dyDescent="0.3">
      <c r="A35" s="67">
        <v>100112</v>
      </c>
      <c r="B35" s="59">
        <f t="shared" si="4"/>
        <v>2</v>
      </c>
      <c r="C35" s="62">
        <v>20</v>
      </c>
      <c r="D35" s="62"/>
      <c r="E35" s="62"/>
      <c r="F35" s="62">
        <v>15</v>
      </c>
      <c r="G35" s="62">
        <v>10</v>
      </c>
      <c r="H35" s="63">
        <v>5</v>
      </c>
      <c r="I35" s="63"/>
      <c r="J35" s="63"/>
      <c r="K35" s="63"/>
      <c r="L35" s="63"/>
      <c r="M35" s="63"/>
      <c r="N35" s="63"/>
      <c r="O35" s="63">
        <v>3</v>
      </c>
      <c r="P35" s="63"/>
      <c r="Q35" s="63"/>
      <c r="R35" s="63"/>
      <c r="S35" s="63"/>
      <c r="T35" s="63"/>
      <c r="U35" s="63"/>
      <c r="V35" s="63">
        <v>3</v>
      </c>
      <c r="W35" s="63"/>
      <c r="X35" s="63"/>
      <c r="Y35" s="63"/>
      <c r="Z35" s="63"/>
      <c r="AA35" s="63"/>
      <c r="AB35" s="63"/>
      <c r="AC35" s="63"/>
      <c r="AD35" s="63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>
        <v>2</v>
      </c>
      <c r="AQ35" s="64"/>
      <c r="AR35" s="64">
        <v>3</v>
      </c>
      <c r="AS35" s="64"/>
      <c r="AT35" s="64"/>
      <c r="AV35" s="52">
        <f t="shared" si="1"/>
        <v>8</v>
      </c>
      <c r="AW35" s="52" t="str">
        <f t="shared" si="0"/>
        <v>属性100112_2</v>
      </c>
      <c r="AX35" s="52" t="str">
        <f t="shared" si="2"/>
        <v>mhp;reloadSpeed;motorized</v>
      </c>
      <c r="AY35" s="52" t="str">
        <f ca="1">[1]!连接单元格(C35:G35,";")</f>
        <v>20;15;10</v>
      </c>
      <c r="BA35" s="52" t="str">
        <f t="shared" si="3"/>
        <v>1001:5|1008:3|1015:3|1036:2|1038:3</v>
      </c>
      <c r="BB35" s="52" t="str">
        <f>"&lt;color=#FFCB00FF&gt;" &amp; 描述生成($H$3:$AT$3,H35:AT35)&amp;"&lt;/color&gt;;&lt;color=#FFEFAEFF &gt;"&amp; 描述生成($C$3:$G$3,C35:G35) &amp; "&lt;/color&gt;"</f>
        <v>&lt;color=#FFCB00FF&gt;南瓜+5,精神错乱+3,中子弹+3,热力追踪+2,纳米修复+3&lt;/color&gt;;&lt;color=#FFEFAEFF &gt;生命值+20,填装速度+15,机动+10&lt;/color&gt;</v>
      </c>
    </row>
    <row r="36" spans="1:54" x14ac:dyDescent="0.3">
      <c r="A36" s="67">
        <v>100113</v>
      </c>
      <c r="B36" s="59">
        <f t="shared" si="4"/>
        <v>3</v>
      </c>
      <c r="C36" s="62">
        <v>30</v>
      </c>
      <c r="D36" s="62"/>
      <c r="E36" s="62"/>
      <c r="F36" s="62">
        <v>20</v>
      </c>
      <c r="G36" s="62">
        <v>15</v>
      </c>
      <c r="H36" s="63">
        <v>5</v>
      </c>
      <c r="I36" s="63"/>
      <c r="J36" s="63"/>
      <c r="K36" s="63"/>
      <c r="L36" s="63"/>
      <c r="M36" s="63"/>
      <c r="N36" s="63"/>
      <c r="O36" s="63">
        <v>3</v>
      </c>
      <c r="P36" s="63"/>
      <c r="Q36" s="63"/>
      <c r="R36" s="63"/>
      <c r="S36" s="63"/>
      <c r="T36" s="63"/>
      <c r="U36" s="63"/>
      <c r="V36" s="63">
        <v>3</v>
      </c>
      <c r="W36" s="63"/>
      <c r="X36" s="63"/>
      <c r="Y36" s="63"/>
      <c r="Z36" s="63"/>
      <c r="AA36" s="63"/>
      <c r="AB36" s="63"/>
      <c r="AC36" s="63"/>
      <c r="AD36" s="63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>
        <v>2</v>
      </c>
      <c r="AQ36" s="64"/>
      <c r="AR36" s="64">
        <v>3</v>
      </c>
      <c r="AS36" s="64"/>
      <c r="AT36" s="64"/>
      <c r="AV36" s="52">
        <f t="shared" si="1"/>
        <v>8</v>
      </c>
      <c r="AW36" s="52" t="str">
        <f t="shared" si="0"/>
        <v>属性100113_3</v>
      </c>
      <c r="AX36" s="52" t="str">
        <f t="shared" si="2"/>
        <v>mhp;reloadSpeed;motorized</v>
      </c>
      <c r="AY36" s="52" t="str">
        <f ca="1">[1]!连接单元格(C36:G36,";")</f>
        <v>30;20;15</v>
      </c>
      <c r="BA36" s="52" t="str">
        <f t="shared" si="3"/>
        <v>1001:5|1008:3|1015:3|1036:2|1038:3</v>
      </c>
      <c r="BB36" s="52" t="str">
        <f>"&lt;color=#FFCB00FF&gt;" &amp; 描述生成($H$3:$AT$3,H36:AT36)&amp;"&lt;/color&gt;;&lt;color=#FFEFAEFF &gt;"&amp; 描述生成($C$3:$G$3,C36:G36) &amp; "&lt;/color&gt;"</f>
        <v>&lt;color=#FFCB00FF&gt;南瓜+5,精神错乱+3,中子弹+3,热力追踪+2,纳米修复+3&lt;/color&gt;;&lt;color=#FFEFAEFF &gt;生命值+30,填装速度+20,机动+15&lt;/color&gt;</v>
      </c>
    </row>
    <row r="37" spans="1:54" x14ac:dyDescent="0.3">
      <c r="A37" s="70">
        <v>100121</v>
      </c>
      <c r="B37" s="59">
        <f t="shared" si="4"/>
        <v>1</v>
      </c>
      <c r="C37" s="62">
        <v>10</v>
      </c>
      <c r="D37" s="62"/>
      <c r="E37" s="62">
        <v>2</v>
      </c>
      <c r="F37" s="62"/>
      <c r="G37" s="62">
        <v>5</v>
      </c>
      <c r="H37" s="63"/>
      <c r="I37" s="63"/>
      <c r="J37" s="63">
        <v>4</v>
      </c>
      <c r="K37" s="63"/>
      <c r="L37" s="63"/>
      <c r="M37" s="63"/>
      <c r="N37" s="63">
        <v>4</v>
      </c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>
        <v>2</v>
      </c>
      <c r="AA37" s="63"/>
      <c r="AB37" s="63"/>
      <c r="AC37" s="63"/>
      <c r="AD37" s="63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>
        <v>2</v>
      </c>
      <c r="AR37" s="64"/>
      <c r="AS37" s="64"/>
      <c r="AT37" s="64">
        <v>5</v>
      </c>
      <c r="AV37" s="52">
        <f t="shared" si="1"/>
        <v>8</v>
      </c>
      <c r="AW37" s="52" t="str">
        <f t="shared" si="0"/>
        <v>属性100121_1</v>
      </c>
      <c r="AX37" s="52" t="str">
        <f t="shared" si="2"/>
        <v>mhp;speed;motorized</v>
      </c>
      <c r="AY37" s="52" t="str">
        <f ca="1">[1]!连接单元格(C37:G37,";")</f>
        <v>10;2;5</v>
      </c>
      <c r="BA37" s="52" t="str">
        <f t="shared" si="3"/>
        <v>1003:4|1007:4|1019:2|1037:2|1040:5</v>
      </c>
      <c r="BB37" s="52" t="str">
        <f>"&lt;color=#FFCB00FF&gt;" &amp; 描述生成($H$3:$AT$3,H37:AT37)&amp;"&lt;/color&gt;;&lt;color=#FFEFAEFF &gt;"&amp; 描述生成($C$3:$G$3,C37:G37) &amp; "&lt;/color&gt;"</f>
        <v>&lt;color=#FFCB00FF&gt;贯通射线+4,炫光射线+4,死亡标记+2,没有雾霾+2,晕眩攻击+5&lt;/color&gt;;&lt;color=#FFEFAEFF &gt;生命值+10,先攻+2,机动+5&lt;/color&gt;</v>
      </c>
    </row>
    <row r="38" spans="1:54" x14ac:dyDescent="0.3">
      <c r="A38" s="67">
        <v>100122</v>
      </c>
      <c r="B38" s="59">
        <f t="shared" si="4"/>
        <v>2</v>
      </c>
      <c r="C38" s="62">
        <v>20</v>
      </c>
      <c r="D38" s="62"/>
      <c r="E38" s="62">
        <v>4</v>
      </c>
      <c r="F38" s="62"/>
      <c r="G38" s="62">
        <v>10</v>
      </c>
      <c r="H38" s="63"/>
      <c r="I38" s="63"/>
      <c r="J38" s="63">
        <v>4</v>
      </c>
      <c r="K38" s="63"/>
      <c r="L38" s="63"/>
      <c r="M38" s="63"/>
      <c r="N38" s="63">
        <v>4</v>
      </c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>
        <v>2</v>
      </c>
      <c r="AA38" s="63"/>
      <c r="AB38" s="63"/>
      <c r="AC38" s="63"/>
      <c r="AD38" s="63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>
        <v>2</v>
      </c>
      <c r="AR38" s="64"/>
      <c r="AS38" s="64"/>
      <c r="AT38" s="64">
        <v>5</v>
      </c>
      <c r="AV38" s="52">
        <f t="shared" si="1"/>
        <v>8</v>
      </c>
      <c r="AW38" s="52" t="str">
        <f t="shared" si="0"/>
        <v>属性100122_2</v>
      </c>
      <c r="AX38" s="52" t="str">
        <f t="shared" si="2"/>
        <v>mhp;speed;motorized</v>
      </c>
      <c r="AY38" s="52" t="str">
        <f ca="1">[1]!连接单元格(C38:G38,";")</f>
        <v>20;4;10</v>
      </c>
      <c r="BA38" s="52" t="str">
        <f t="shared" si="3"/>
        <v>1003:4|1007:4|1019:2|1037:2|1040:5</v>
      </c>
      <c r="BB38" s="52" t="str">
        <f>"&lt;color=#FFCB00FF&gt;" &amp; 描述生成($H$3:$AT$3,H38:AT38)&amp;"&lt;/color&gt;;&lt;color=#FFEFAEFF &gt;"&amp; 描述生成($C$3:$G$3,C38:G38) &amp; "&lt;/color&gt;"</f>
        <v>&lt;color=#FFCB00FF&gt;贯通射线+4,炫光射线+4,死亡标记+2,没有雾霾+2,晕眩攻击+5&lt;/color&gt;;&lt;color=#FFEFAEFF &gt;生命值+20,先攻+4,机动+10&lt;/color&gt;</v>
      </c>
    </row>
    <row r="39" spans="1:54" x14ac:dyDescent="0.3">
      <c r="A39" s="67">
        <v>100123</v>
      </c>
      <c r="B39" s="59">
        <f t="shared" si="4"/>
        <v>3</v>
      </c>
      <c r="C39" s="62">
        <v>30</v>
      </c>
      <c r="D39" s="62"/>
      <c r="E39" s="62">
        <v>5</v>
      </c>
      <c r="F39" s="62"/>
      <c r="G39" s="62">
        <v>15</v>
      </c>
      <c r="H39" s="63"/>
      <c r="I39" s="63"/>
      <c r="J39" s="63">
        <v>4</v>
      </c>
      <c r="K39" s="63"/>
      <c r="L39" s="63"/>
      <c r="M39" s="63"/>
      <c r="N39" s="63">
        <v>4</v>
      </c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>
        <v>2</v>
      </c>
      <c r="AA39" s="63"/>
      <c r="AB39" s="63"/>
      <c r="AC39" s="63"/>
      <c r="AD39" s="63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>
        <v>2</v>
      </c>
      <c r="AR39" s="64"/>
      <c r="AS39" s="64"/>
      <c r="AT39" s="64">
        <v>5</v>
      </c>
      <c r="AV39" s="52">
        <f t="shared" si="1"/>
        <v>8</v>
      </c>
      <c r="AW39" s="52" t="str">
        <f t="shared" si="0"/>
        <v>属性100123_3</v>
      </c>
      <c r="AX39" s="52" t="str">
        <f t="shared" si="2"/>
        <v>mhp;speed;motorized</v>
      </c>
      <c r="AY39" s="52" t="str">
        <f ca="1">[1]!连接单元格(C39:G39,";")</f>
        <v>30;5;15</v>
      </c>
      <c r="BA39" s="52" t="str">
        <f t="shared" si="3"/>
        <v>1003:4|1007:4|1019:2|1037:2|1040:5</v>
      </c>
      <c r="BB39" s="52" t="str">
        <f>"&lt;color=#FFCB00FF&gt;" &amp; 描述生成($H$3:$AT$3,H39:AT39)&amp;"&lt;/color&gt;;&lt;color=#FFEFAEFF &gt;"&amp; 描述生成($C$3:$G$3,C39:G39) &amp; "&lt;/color&gt;"</f>
        <v>&lt;color=#FFCB00FF&gt;贯通射线+4,炫光射线+4,死亡标记+2,没有雾霾+2,晕眩攻击+5&lt;/color&gt;;&lt;color=#FFEFAEFF &gt;生命值+30,先攻+5,机动+15&lt;/color&gt;</v>
      </c>
    </row>
    <row r="40" spans="1:54" x14ac:dyDescent="0.3">
      <c r="A40" s="70">
        <v>100131</v>
      </c>
      <c r="B40" s="59">
        <f t="shared" si="4"/>
        <v>1</v>
      </c>
      <c r="C40" s="62">
        <v>20</v>
      </c>
      <c r="D40" s="62">
        <v>10</v>
      </c>
      <c r="E40" s="62"/>
      <c r="F40" s="62"/>
      <c r="G40" s="62"/>
      <c r="H40" s="63"/>
      <c r="I40" s="63"/>
      <c r="J40" s="63"/>
      <c r="K40" s="63"/>
      <c r="L40" s="63"/>
      <c r="M40" s="63"/>
      <c r="N40" s="63"/>
      <c r="O40" s="63"/>
      <c r="P40" s="63"/>
      <c r="Q40" s="63">
        <v>3</v>
      </c>
      <c r="R40" s="63"/>
      <c r="S40" s="63"/>
      <c r="T40" s="63"/>
      <c r="U40" s="63"/>
      <c r="V40" s="63"/>
      <c r="W40" s="63"/>
      <c r="X40" s="63"/>
      <c r="Y40" s="63">
        <v>2</v>
      </c>
      <c r="Z40" s="63"/>
      <c r="AA40" s="63"/>
      <c r="AB40" s="63"/>
      <c r="AC40" s="63"/>
      <c r="AD40" s="63"/>
      <c r="AE40" s="64">
        <v>2</v>
      </c>
      <c r="AF40" s="64"/>
      <c r="AG40" s="64"/>
      <c r="AH40" s="64"/>
      <c r="AI40" s="64"/>
      <c r="AJ40" s="64"/>
      <c r="AK40" s="64">
        <v>2</v>
      </c>
      <c r="AL40" s="64"/>
      <c r="AM40" s="64"/>
      <c r="AN40" s="64"/>
      <c r="AO40" s="64"/>
      <c r="AP40" s="64"/>
      <c r="AQ40" s="64"/>
      <c r="AR40" s="64"/>
      <c r="AS40" s="64">
        <v>3</v>
      </c>
      <c r="AT40" s="64"/>
      <c r="AV40" s="52">
        <f t="shared" si="1"/>
        <v>7</v>
      </c>
      <c r="AW40" s="52" t="str">
        <f t="shared" si="0"/>
        <v>属性100131_1</v>
      </c>
      <c r="AX40" s="52" t="str">
        <f t="shared" si="2"/>
        <v>mhp;melee</v>
      </c>
      <c r="AY40" s="52" t="str">
        <f ca="1">[1]!连接单元格(C40:G40,";")</f>
        <v>20;10</v>
      </c>
      <c r="BA40" s="52" t="str">
        <f t="shared" si="3"/>
        <v>1010:3|1018:2|1025:2|1031:2|1039:3</v>
      </c>
      <c r="BB40" s="52" t="str">
        <f>"&lt;color=#FFCB00FF&gt;" &amp; 描述生成($H$3:$AT$3,H40:AT40)&amp;"&lt;/color&gt;;&lt;color=#FFEFAEFF &gt;"&amp; 描述生成($C$3:$G$3,C40:G40) &amp; "&lt;/color&gt;"</f>
        <v>&lt;color=#FFCB00FF&gt;奴役+3,时空转移+2,先发制人+2,斩杀+2,灵魂修复+3&lt;/color&gt;;&lt;color=#FFEFAEFF &gt;生命值+20,攻击力+10&lt;/color&gt;</v>
      </c>
    </row>
    <row r="41" spans="1:54" x14ac:dyDescent="0.3">
      <c r="A41" s="67">
        <v>100132</v>
      </c>
      <c r="B41" s="59">
        <f t="shared" si="4"/>
        <v>2</v>
      </c>
      <c r="C41" s="62">
        <v>40</v>
      </c>
      <c r="D41" s="62">
        <v>20</v>
      </c>
      <c r="E41" s="62"/>
      <c r="F41" s="62"/>
      <c r="G41" s="62"/>
      <c r="H41" s="63"/>
      <c r="I41" s="63"/>
      <c r="J41" s="63"/>
      <c r="K41" s="63"/>
      <c r="L41" s="63"/>
      <c r="M41" s="63"/>
      <c r="N41" s="63"/>
      <c r="O41" s="63"/>
      <c r="P41" s="63"/>
      <c r="Q41" s="63">
        <v>3</v>
      </c>
      <c r="R41" s="63"/>
      <c r="S41" s="63"/>
      <c r="T41" s="63"/>
      <c r="U41" s="63"/>
      <c r="V41" s="63"/>
      <c r="W41" s="63"/>
      <c r="X41" s="63"/>
      <c r="Y41" s="63">
        <v>2</v>
      </c>
      <c r="Z41" s="63"/>
      <c r="AA41" s="63"/>
      <c r="AB41" s="63"/>
      <c r="AC41" s="63"/>
      <c r="AD41" s="63"/>
      <c r="AE41" s="64">
        <v>2</v>
      </c>
      <c r="AF41" s="64"/>
      <c r="AG41" s="64"/>
      <c r="AH41" s="64"/>
      <c r="AI41" s="64"/>
      <c r="AJ41" s="64"/>
      <c r="AK41" s="64">
        <v>2</v>
      </c>
      <c r="AL41" s="64"/>
      <c r="AM41" s="64"/>
      <c r="AN41" s="64"/>
      <c r="AO41" s="64"/>
      <c r="AP41" s="64"/>
      <c r="AQ41" s="64"/>
      <c r="AR41" s="64"/>
      <c r="AS41" s="64">
        <v>3</v>
      </c>
      <c r="AT41" s="64"/>
      <c r="AV41" s="52">
        <f t="shared" si="1"/>
        <v>7</v>
      </c>
      <c r="AW41" s="52" t="str">
        <f t="shared" si="0"/>
        <v>属性100132_2</v>
      </c>
      <c r="AX41" s="52" t="str">
        <f t="shared" si="2"/>
        <v>mhp;melee</v>
      </c>
      <c r="AY41" s="52" t="str">
        <f ca="1">[1]!连接单元格(C41:G41,";")</f>
        <v>40;20</v>
      </c>
      <c r="BA41" s="52" t="str">
        <f t="shared" si="3"/>
        <v>1010:3|1018:2|1025:2|1031:2|1039:3</v>
      </c>
      <c r="BB41" s="52" t="str">
        <f>"&lt;color=#FFCB00FF&gt;" &amp; 描述生成($H$3:$AT$3,H41:AT41)&amp;"&lt;/color&gt;;&lt;color=#FFEFAEFF &gt;"&amp; 描述生成($C$3:$G$3,C41:G41) &amp; "&lt;/color&gt;"</f>
        <v>&lt;color=#FFCB00FF&gt;奴役+3,时空转移+2,先发制人+2,斩杀+2,灵魂修复+3&lt;/color&gt;;&lt;color=#FFEFAEFF &gt;生命值+40,攻击力+20&lt;/color&gt;</v>
      </c>
    </row>
    <row r="42" spans="1:54" x14ac:dyDescent="0.3">
      <c r="A42" s="67">
        <v>100133</v>
      </c>
      <c r="B42" s="59">
        <f t="shared" si="4"/>
        <v>3</v>
      </c>
      <c r="C42" s="62">
        <v>60</v>
      </c>
      <c r="D42" s="62">
        <v>30</v>
      </c>
      <c r="E42" s="62"/>
      <c r="F42" s="62"/>
      <c r="G42" s="62"/>
      <c r="H42" s="63"/>
      <c r="I42" s="63"/>
      <c r="J42" s="63"/>
      <c r="K42" s="63"/>
      <c r="L42" s="63"/>
      <c r="M42" s="63"/>
      <c r="N42" s="63"/>
      <c r="O42" s="63"/>
      <c r="P42" s="63"/>
      <c r="Q42" s="63">
        <v>3</v>
      </c>
      <c r="R42" s="63"/>
      <c r="S42" s="63"/>
      <c r="T42" s="63"/>
      <c r="U42" s="63"/>
      <c r="V42" s="63"/>
      <c r="W42" s="63"/>
      <c r="X42" s="63"/>
      <c r="Y42" s="63">
        <v>2</v>
      </c>
      <c r="Z42" s="63"/>
      <c r="AA42" s="63"/>
      <c r="AB42" s="63"/>
      <c r="AC42" s="63"/>
      <c r="AD42" s="63"/>
      <c r="AE42" s="64">
        <v>2</v>
      </c>
      <c r="AF42" s="64"/>
      <c r="AG42" s="64"/>
      <c r="AH42" s="64"/>
      <c r="AI42" s="64"/>
      <c r="AJ42" s="64"/>
      <c r="AK42" s="64">
        <v>2</v>
      </c>
      <c r="AL42" s="64"/>
      <c r="AM42" s="64"/>
      <c r="AN42" s="64"/>
      <c r="AO42" s="64"/>
      <c r="AP42" s="64"/>
      <c r="AQ42" s="64"/>
      <c r="AR42" s="64"/>
      <c r="AS42" s="64">
        <v>3</v>
      </c>
      <c r="AT42" s="64"/>
      <c r="AV42" s="52">
        <f t="shared" si="1"/>
        <v>7</v>
      </c>
      <c r="AW42" s="52" t="str">
        <f t="shared" si="0"/>
        <v>属性100133_3</v>
      </c>
      <c r="AX42" s="52" t="str">
        <f t="shared" si="2"/>
        <v>mhp;melee</v>
      </c>
      <c r="AY42" s="52" t="str">
        <f ca="1">[1]!连接单元格(C42:G42,";")</f>
        <v>60;30</v>
      </c>
      <c r="BA42" s="52" t="str">
        <f t="shared" si="3"/>
        <v>1010:3|1018:2|1025:2|1031:2|1039:3</v>
      </c>
      <c r="BB42" s="52" t="str">
        <f>"&lt;color=#FFCB00FF&gt;" &amp; 描述生成($H$3:$AT$3,H42:AT42)&amp;"&lt;/color&gt;;&lt;color=#FFEFAEFF &gt;"&amp; 描述生成($C$3:$G$3,C42:G42) &amp; "&lt;/color&gt;"</f>
        <v>&lt;color=#FFCB00FF&gt;奴役+3,时空转移+2,先发制人+2,斩杀+2,灵魂修复+3&lt;/color&gt;;&lt;color=#FFEFAEFF &gt;生命值+60,攻击力+30&lt;/color&gt;</v>
      </c>
    </row>
    <row r="43" spans="1:54" x14ac:dyDescent="0.3">
      <c r="A43" s="70">
        <v>100141</v>
      </c>
      <c r="B43" s="59">
        <f t="shared" si="4"/>
        <v>1</v>
      </c>
      <c r="C43" s="62"/>
      <c r="D43" s="62">
        <v>10</v>
      </c>
      <c r="E43" s="62">
        <v>2</v>
      </c>
      <c r="F43" s="62"/>
      <c r="G43" s="62"/>
      <c r="H43" s="63"/>
      <c r="I43" s="63"/>
      <c r="J43" s="63"/>
      <c r="K43" s="63">
        <v>5</v>
      </c>
      <c r="L43" s="63"/>
      <c r="M43" s="63"/>
      <c r="N43" s="63"/>
      <c r="O43" s="63"/>
      <c r="P43" s="63"/>
      <c r="Q43" s="63"/>
      <c r="R43" s="63"/>
      <c r="S43" s="63"/>
      <c r="T43" s="63">
        <v>2</v>
      </c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4"/>
      <c r="AF43" s="64"/>
      <c r="AG43" s="64"/>
      <c r="AH43" s="64">
        <v>3</v>
      </c>
      <c r="AI43" s="64"/>
      <c r="AJ43" s="64"/>
      <c r="AK43" s="64"/>
      <c r="AL43" s="64">
        <v>2</v>
      </c>
      <c r="AM43" s="64"/>
      <c r="AN43" s="64"/>
      <c r="AO43" s="64"/>
      <c r="AP43" s="64"/>
      <c r="AQ43" s="64"/>
      <c r="AR43" s="64"/>
      <c r="AS43" s="64"/>
      <c r="AT43" s="64"/>
      <c r="AV43" s="52">
        <f t="shared" si="1"/>
        <v>6</v>
      </c>
      <c r="AW43" s="52" t="str">
        <f t="shared" si="0"/>
        <v>属性100141_1</v>
      </c>
      <c r="AX43" s="52" t="str">
        <f t="shared" si="2"/>
        <v>melee;speed</v>
      </c>
      <c r="AY43" s="52" t="str">
        <f ca="1">[1]!连接单元格(C43:G43,";")</f>
        <v>10;2</v>
      </c>
      <c r="BA43" s="52" t="str">
        <f t="shared" si="3"/>
        <v>1004:5|1013:2|1028:3|1032:2</v>
      </c>
      <c r="BB43" s="52" t="str">
        <f>"&lt;color=#FFCB00FF&gt;" &amp; 描述生成($H$3:$AT$3,H43:AT43)&amp;"&lt;/color&gt;;&lt;color=#FFEFAEFF &gt;"&amp; 描述生成($C$3:$G$3,C43:G43) &amp; "&lt;/color&gt;"</f>
        <v>&lt;color=#FFCB00FF&gt;全弹齐发+5,镜花水月+2,冲锋+3,强击光线+2&lt;/color&gt;;&lt;color=#FFEFAEFF &gt;攻击力+10,先攻+2&lt;/color&gt;</v>
      </c>
    </row>
    <row r="44" spans="1:54" x14ac:dyDescent="0.3">
      <c r="A44" s="67">
        <v>100142</v>
      </c>
      <c r="B44" s="59">
        <f t="shared" si="4"/>
        <v>2</v>
      </c>
      <c r="C44" s="62"/>
      <c r="D44" s="62">
        <v>20</v>
      </c>
      <c r="E44" s="62">
        <v>4</v>
      </c>
      <c r="F44" s="62"/>
      <c r="G44" s="62"/>
      <c r="H44" s="63"/>
      <c r="I44" s="63"/>
      <c r="J44" s="63"/>
      <c r="K44" s="63">
        <v>5</v>
      </c>
      <c r="L44" s="63"/>
      <c r="M44" s="63"/>
      <c r="N44" s="63"/>
      <c r="O44" s="63"/>
      <c r="P44" s="63"/>
      <c r="Q44" s="63"/>
      <c r="R44" s="63"/>
      <c r="S44" s="63"/>
      <c r="T44" s="63">
        <v>2</v>
      </c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4"/>
      <c r="AF44" s="64"/>
      <c r="AG44" s="64"/>
      <c r="AH44" s="64">
        <v>3</v>
      </c>
      <c r="AI44" s="64"/>
      <c r="AJ44" s="64"/>
      <c r="AK44" s="64"/>
      <c r="AL44" s="64">
        <v>2</v>
      </c>
      <c r="AM44" s="64"/>
      <c r="AN44" s="64"/>
      <c r="AO44" s="64"/>
      <c r="AP44" s="64"/>
      <c r="AQ44" s="64"/>
      <c r="AR44" s="64"/>
      <c r="AS44" s="64"/>
      <c r="AT44" s="64"/>
      <c r="AV44" s="52">
        <f t="shared" si="1"/>
        <v>6</v>
      </c>
      <c r="AW44" s="52" t="str">
        <f t="shared" si="0"/>
        <v>属性100142_2</v>
      </c>
      <c r="AX44" s="52" t="str">
        <f t="shared" si="2"/>
        <v>melee;speed</v>
      </c>
      <c r="AY44" s="52" t="str">
        <f ca="1">[1]!连接单元格(C44:G44,";")</f>
        <v>20;4</v>
      </c>
      <c r="BA44" s="52" t="str">
        <f t="shared" si="3"/>
        <v>1004:5|1013:2|1028:3|1032:2</v>
      </c>
      <c r="BB44" s="52" t="str">
        <f>"&lt;color=#FFCB00FF&gt;" &amp; 描述生成($H$3:$AT$3,H44:AT44)&amp;"&lt;/color&gt;;&lt;color=#FFEFAEFF &gt;"&amp; 描述生成($C$3:$G$3,C44:G44) &amp; "&lt;/color&gt;"</f>
        <v>&lt;color=#FFCB00FF&gt;全弹齐发+5,镜花水月+2,冲锋+3,强击光线+2&lt;/color&gt;;&lt;color=#FFEFAEFF &gt;攻击力+20,先攻+4&lt;/color&gt;</v>
      </c>
    </row>
    <row r="45" spans="1:54" x14ac:dyDescent="0.3">
      <c r="A45" s="67">
        <v>100143</v>
      </c>
      <c r="B45" s="59">
        <f t="shared" si="4"/>
        <v>3</v>
      </c>
      <c r="C45" s="62"/>
      <c r="D45" s="62">
        <v>30</v>
      </c>
      <c r="E45" s="62">
        <v>5</v>
      </c>
      <c r="F45" s="62"/>
      <c r="G45" s="62"/>
      <c r="H45" s="63"/>
      <c r="I45" s="63"/>
      <c r="J45" s="63"/>
      <c r="K45" s="63">
        <v>5</v>
      </c>
      <c r="L45" s="63"/>
      <c r="M45" s="63"/>
      <c r="N45" s="63"/>
      <c r="O45" s="63"/>
      <c r="P45" s="63"/>
      <c r="Q45" s="63"/>
      <c r="R45" s="63"/>
      <c r="S45" s="63"/>
      <c r="T45" s="63">
        <v>2</v>
      </c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4"/>
      <c r="AF45" s="64"/>
      <c r="AG45" s="64"/>
      <c r="AH45" s="64">
        <v>3</v>
      </c>
      <c r="AI45" s="64"/>
      <c r="AJ45" s="64"/>
      <c r="AK45" s="64"/>
      <c r="AL45" s="64">
        <v>2</v>
      </c>
      <c r="AM45" s="64"/>
      <c r="AN45" s="64"/>
      <c r="AO45" s="64"/>
      <c r="AP45" s="64"/>
      <c r="AQ45" s="64"/>
      <c r="AR45" s="64"/>
      <c r="AS45" s="64"/>
      <c r="AT45" s="64"/>
      <c r="AV45" s="52">
        <f t="shared" si="1"/>
        <v>6</v>
      </c>
      <c r="AW45" s="52" t="str">
        <f t="shared" si="0"/>
        <v>属性100143_3</v>
      </c>
      <c r="AX45" s="52" t="str">
        <f t="shared" si="2"/>
        <v>melee;speed</v>
      </c>
      <c r="AY45" s="52" t="str">
        <f ca="1">[1]!连接单元格(C45:G45,";")</f>
        <v>30;5</v>
      </c>
      <c r="BA45" s="52" t="str">
        <f t="shared" si="3"/>
        <v>1004:5|1013:2|1028:3|1032:2</v>
      </c>
      <c r="BB45" s="52" t="str">
        <f>"&lt;color=#FFCB00FF&gt;" &amp; 描述生成($H$3:$AT$3,H45:AT45)&amp;"&lt;/color&gt;;&lt;color=#FFEFAEFF &gt;"&amp; 描述生成($C$3:$G$3,C45:G45) &amp; "&lt;/color&gt;"</f>
        <v>&lt;color=#FFCB00FF&gt;全弹齐发+5,镜花水月+2,冲锋+3,强击光线+2&lt;/color&gt;;&lt;color=#FFEFAEFF &gt;攻击力+30,先攻+5&lt;/color&gt;</v>
      </c>
    </row>
    <row r="46" spans="1:54" x14ac:dyDescent="0.3">
      <c r="A46" s="70">
        <v>100151</v>
      </c>
      <c r="B46" s="59">
        <f t="shared" si="4"/>
        <v>1</v>
      </c>
      <c r="C46" s="62">
        <v>10</v>
      </c>
      <c r="D46" s="62"/>
      <c r="E46" s="62"/>
      <c r="F46" s="62">
        <v>7</v>
      </c>
      <c r="G46" s="62">
        <v>5</v>
      </c>
      <c r="H46" s="63"/>
      <c r="I46" s="63">
        <v>5</v>
      </c>
      <c r="J46" s="63"/>
      <c r="K46" s="63"/>
      <c r="L46" s="63"/>
      <c r="M46" s="63"/>
      <c r="N46" s="63"/>
      <c r="O46" s="63">
        <v>2</v>
      </c>
      <c r="P46" s="63"/>
      <c r="Q46" s="63"/>
      <c r="R46" s="63"/>
      <c r="S46" s="63"/>
      <c r="T46" s="63"/>
      <c r="U46" s="63"/>
      <c r="V46" s="63"/>
      <c r="W46" s="63"/>
      <c r="X46" s="63">
        <v>2</v>
      </c>
      <c r="Y46" s="63"/>
      <c r="Z46" s="63"/>
      <c r="AA46" s="63"/>
      <c r="AB46" s="63"/>
      <c r="AC46" s="63"/>
      <c r="AD46" s="63"/>
      <c r="AE46" s="64"/>
      <c r="AF46" s="64"/>
      <c r="AG46" s="64"/>
      <c r="AH46" s="64"/>
      <c r="AI46" s="64"/>
      <c r="AJ46" s="64"/>
      <c r="AK46" s="64"/>
      <c r="AL46" s="64"/>
      <c r="AM46" s="64"/>
      <c r="AN46" s="64">
        <v>2</v>
      </c>
      <c r="AO46" s="64"/>
      <c r="AP46" s="64"/>
      <c r="AQ46" s="64">
        <v>3</v>
      </c>
      <c r="AR46" s="64"/>
      <c r="AS46" s="64"/>
      <c r="AT46" s="64"/>
      <c r="AV46" s="52">
        <f t="shared" si="1"/>
        <v>8</v>
      </c>
      <c r="AW46" s="52" t="str">
        <f t="shared" si="0"/>
        <v>属性100151_1</v>
      </c>
      <c r="AX46" s="52" t="str">
        <f t="shared" si="2"/>
        <v>mhp;reloadSpeed;motorized</v>
      </c>
      <c r="AY46" s="52" t="str">
        <f ca="1">[1]!连接单元格(C46:G46,";")</f>
        <v>10;7;5</v>
      </c>
      <c r="BA46" s="52" t="str">
        <f t="shared" si="3"/>
        <v>1002:5|1008:2|1017:2|1034:2|1037:3</v>
      </c>
      <c r="BB46" s="52" t="str">
        <f>"&lt;color=#FFCB00FF&gt;" &amp; 描述生成($H$3:$AT$3,H46:AT46)&amp;"&lt;/color&gt;;&lt;color=#FFEFAEFF &gt;"&amp; 描述生成($C$3:$G$3,C46:G46) &amp; "&lt;/color&gt;"</f>
        <v>&lt;color=#FFCB00FF&gt;榴弹+5,精神错乱+2,神威+2,机械工程+2,没有雾霾+3&lt;/color&gt;;&lt;color=#FFEFAEFF &gt;生命值+10,填装速度+7,机动+5&lt;/color&gt;</v>
      </c>
    </row>
    <row r="47" spans="1:54" x14ac:dyDescent="0.3">
      <c r="A47" s="67">
        <v>100152</v>
      </c>
      <c r="B47" s="59">
        <f t="shared" si="4"/>
        <v>2</v>
      </c>
      <c r="C47" s="62">
        <v>20</v>
      </c>
      <c r="D47" s="62"/>
      <c r="E47" s="62"/>
      <c r="F47" s="62">
        <v>15</v>
      </c>
      <c r="G47" s="62">
        <v>10</v>
      </c>
      <c r="H47" s="63"/>
      <c r="I47" s="63">
        <v>5</v>
      </c>
      <c r="J47" s="63"/>
      <c r="K47" s="63"/>
      <c r="L47" s="63"/>
      <c r="M47" s="63"/>
      <c r="N47" s="63"/>
      <c r="O47" s="63">
        <v>2</v>
      </c>
      <c r="P47" s="63"/>
      <c r="Q47" s="63"/>
      <c r="R47" s="63"/>
      <c r="S47" s="63"/>
      <c r="T47" s="63"/>
      <c r="U47" s="63"/>
      <c r="V47" s="63"/>
      <c r="W47" s="63"/>
      <c r="X47" s="63">
        <v>2</v>
      </c>
      <c r="Y47" s="63"/>
      <c r="Z47" s="63"/>
      <c r="AA47" s="63"/>
      <c r="AB47" s="63"/>
      <c r="AC47" s="63"/>
      <c r="AD47" s="63"/>
      <c r="AE47" s="64"/>
      <c r="AF47" s="64"/>
      <c r="AG47" s="64"/>
      <c r="AH47" s="64"/>
      <c r="AI47" s="64"/>
      <c r="AJ47" s="64"/>
      <c r="AK47" s="64"/>
      <c r="AL47" s="64"/>
      <c r="AM47" s="64"/>
      <c r="AN47" s="64">
        <v>2</v>
      </c>
      <c r="AO47" s="64"/>
      <c r="AP47" s="64"/>
      <c r="AQ47" s="64">
        <v>3</v>
      </c>
      <c r="AR47" s="64"/>
      <c r="AS47" s="64"/>
      <c r="AT47" s="64"/>
      <c r="AV47" s="52">
        <f t="shared" si="1"/>
        <v>8</v>
      </c>
      <c r="AW47" s="52" t="str">
        <f t="shared" si="0"/>
        <v>属性100152_2</v>
      </c>
      <c r="AX47" s="52" t="str">
        <f t="shared" si="2"/>
        <v>mhp;reloadSpeed;motorized</v>
      </c>
      <c r="AY47" s="52" t="str">
        <f ca="1">[1]!连接单元格(C47:G47,";")</f>
        <v>20;15;10</v>
      </c>
      <c r="BA47" s="52" t="str">
        <f t="shared" si="3"/>
        <v>1002:5|1008:2|1017:2|1034:2|1037:3</v>
      </c>
      <c r="BB47" s="52" t="str">
        <f>"&lt;color=#FFCB00FF&gt;" &amp; 描述生成($H$3:$AT$3,H47:AT47)&amp;"&lt;/color&gt;;&lt;color=#FFEFAEFF &gt;"&amp; 描述生成($C$3:$G$3,C47:G47) &amp; "&lt;/color&gt;"</f>
        <v>&lt;color=#FFCB00FF&gt;榴弹+5,精神错乱+2,神威+2,机械工程+2,没有雾霾+3&lt;/color&gt;;&lt;color=#FFEFAEFF &gt;生命值+20,填装速度+15,机动+10&lt;/color&gt;</v>
      </c>
    </row>
    <row r="48" spans="1:54" x14ac:dyDescent="0.3">
      <c r="A48" s="67">
        <v>100153</v>
      </c>
      <c r="B48" s="59">
        <f t="shared" si="4"/>
        <v>3</v>
      </c>
      <c r="C48" s="62">
        <v>30</v>
      </c>
      <c r="D48" s="62"/>
      <c r="E48" s="62"/>
      <c r="F48" s="62">
        <v>20</v>
      </c>
      <c r="G48" s="62">
        <v>15</v>
      </c>
      <c r="H48" s="63"/>
      <c r="I48" s="63">
        <v>5</v>
      </c>
      <c r="J48" s="63"/>
      <c r="K48" s="63"/>
      <c r="L48" s="63"/>
      <c r="M48" s="63"/>
      <c r="N48" s="63"/>
      <c r="O48" s="63">
        <v>2</v>
      </c>
      <c r="P48" s="63"/>
      <c r="Q48" s="63"/>
      <c r="R48" s="63"/>
      <c r="S48" s="63"/>
      <c r="T48" s="63"/>
      <c r="U48" s="63"/>
      <c r="V48" s="63"/>
      <c r="W48" s="63"/>
      <c r="X48" s="63">
        <v>2</v>
      </c>
      <c r="Y48" s="63"/>
      <c r="Z48" s="63"/>
      <c r="AA48" s="63"/>
      <c r="AB48" s="63"/>
      <c r="AC48" s="63"/>
      <c r="AD48" s="63"/>
      <c r="AE48" s="64"/>
      <c r="AF48" s="64"/>
      <c r="AG48" s="64"/>
      <c r="AH48" s="64"/>
      <c r="AI48" s="64"/>
      <c r="AJ48" s="64"/>
      <c r="AK48" s="64"/>
      <c r="AL48" s="64"/>
      <c r="AM48" s="64"/>
      <c r="AN48" s="64">
        <v>2</v>
      </c>
      <c r="AO48" s="64"/>
      <c r="AP48" s="64"/>
      <c r="AQ48" s="64">
        <v>3</v>
      </c>
      <c r="AR48" s="64"/>
      <c r="AS48" s="64"/>
      <c r="AT48" s="64"/>
      <c r="AV48" s="52">
        <f t="shared" si="1"/>
        <v>8</v>
      </c>
      <c r="AW48" s="52" t="str">
        <f t="shared" si="0"/>
        <v>属性100153_3</v>
      </c>
      <c r="AX48" s="52" t="str">
        <f t="shared" si="2"/>
        <v>mhp;reloadSpeed;motorized</v>
      </c>
      <c r="AY48" s="52" t="str">
        <f ca="1">[1]!连接单元格(C48:G48,";")</f>
        <v>30;20;15</v>
      </c>
      <c r="BA48" s="52" t="str">
        <f t="shared" si="3"/>
        <v>1002:5|1008:2|1017:2|1034:2|1037:3</v>
      </c>
      <c r="BB48" s="52" t="str">
        <f>"&lt;color=#FFCB00FF&gt;" &amp; 描述生成($H$3:$AT$3,H48:AT48)&amp;"&lt;/color&gt;;&lt;color=#FFEFAEFF &gt;"&amp; 描述生成($C$3:$G$3,C48:G48) &amp; "&lt;/color&gt;"</f>
        <v>&lt;color=#FFCB00FF&gt;榴弹+5,精神错乱+2,神威+2,机械工程+2,没有雾霾+3&lt;/color&gt;;&lt;color=#FFEFAEFF &gt;生命值+30,填装速度+20,机动+15&lt;/color&gt;</v>
      </c>
    </row>
    <row r="49" spans="1:54" x14ac:dyDescent="0.3">
      <c r="A49" s="69">
        <v>100161</v>
      </c>
      <c r="B49" s="59">
        <f t="shared" si="4"/>
        <v>1</v>
      </c>
      <c r="C49" s="62">
        <v>10</v>
      </c>
      <c r="D49" s="62">
        <v>7</v>
      </c>
      <c r="E49" s="62"/>
      <c r="F49" s="62"/>
      <c r="G49" s="62">
        <v>5</v>
      </c>
      <c r="H49" s="63"/>
      <c r="I49" s="63"/>
      <c r="J49" s="63"/>
      <c r="K49" s="63"/>
      <c r="L49" s="63">
        <v>4</v>
      </c>
      <c r="M49" s="63"/>
      <c r="N49" s="63"/>
      <c r="O49" s="63"/>
      <c r="P49" s="63"/>
      <c r="Q49" s="63"/>
      <c r="R49" s="63">
        <v>3</v>
      </c>
      <c r="S49" s="63"/>
      <c r="T49" s="63"/>
      <c r="U49" s="63"/>
      <c r="V49" s="63"/>
      <c r="W49" s="63"/>
      <c r="X49" s="63"/>
      <c r="Y49" s="63">
        <v>2</v>
      </c>
      <c r="Z49" s="63"/>
      <c r="AA49" s="63"/>
      <c r="AB49" s="63"/>
      <c r="AC49" s="63"/>
      <c r="AD49" s="63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>
        <v>3</v>
      </c>
      <c r="AT49" s="64">
        <v>2</v>
      </c>
      <c r="AV49" s="52">
        <f t="shared" si="1"/>
        <v>8</v>
      </c>
      <c r="AW49" s="52" t="str">
        <f t="shared" si="0"/>
        <v>属性100161_1</v>
      </c>
      <c r="AX49" s="52" t="str">
        <f t="shared" si="2"/>
        <v>mhp;melee;motorized</v>
      </c>
      <c r="AY49" s="52" t="str">
        <f ca="1">[1]!连接单元格(C49:G49,";")</f>
        <v>10;7;5</v>
      </c>
      <c r="BA49" s="52" t="str">
        <f t="shared" si="3"/>
        <v>1005:4|1011:3|1018:2|1039:3|1040:2</v>
      </c>
      <c r="BB49" s="52" t="str">
        <f>"&lt;color=#FFCB00FF&gt;" &amp; 描述生成($H$3:$AT$3,H49:AT49)&amp;"&lt;/color&gt;;&lt;color=#FFEFAEFF &gt;"&amp; 描述生成($C$3:$G$3,C49:G49) &amp; "&lt;/color&gt;"</f>
        <v>&lt;color=#FFCB00FF&gt;散射+4,催眠+3,时空转移+2,灵魂修复+3,晕眩攻击+2&lt;/color&gt;;&lt;color=#FFEFAEFF &gt;生命值+10,攻击力+7,机动+5&lt;/color&gt;</v>
      </c>
    </row>
    <row r="50" spans="1:54" x14ac:dyDescent="0.3">
      <c r="A50" s="67">
        <v>100162</v>
      </c>
      <c r="B50" s="59">
        <f t="shared" si="4"/>
        <v>2</v>
      </c>
      <c r="C50" s="62">
        <v>20</v>
      </c>
      <c r="D50" s="62">
        <v>15</v>
      </c>
      <c r="E50" s="62"/>
      <c r="F50" s="62"/>
      <c r="G50" s="62">
        <v>10</v>
      </c>
      <c r="H50" s="63"/>
      <c r="I50" s="63"/>
      <c r="J50" s="63"/>
      <c r="K50" s="63"/>
      <c r="L50" s="63">
        <v>4</v>
      </c>
      <c r="M50" s="63"/>
      <c r="N50" s="63"/>
      <c r="O50" s="63"/>
      <c r="P50" s="63"/>
      <c r="Q50" s="63"/>
      <c r="R50" s="63">
        <v>3</v>
      </c>
      <c r="S50" s="63"/>
      <c r="T50" s="63"/>
      <c r="U50" s="63"/>
      <c r="V50" s="63"/>
      <c r="W50" s="63"/>
      <c r="X50" s="63"/>
      <c r="Y50" s="63">
        <v>2</v>
      </c>
      <c r="Z50" s="63"/>
      <c r="AA50" s="63"/>
      <c r="AB50" s="63"/>
      <c r="AC50" s="63"/>
      <c r="AD50" s="63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>
        <v>3</v>
      </c>
      <c r="AT50" s="64">
        <v>2</v>
      </c>
      <c r="AV50" s="52">
        <f t="shared" si="1"/>
        <v>8</v>
      </c>
      <c r="AW50" s="52" t="str">
        <f t="shared" si="0"/>
        <v>属性100162_2</v>
      </c>
      <c r="AX50" s="52" t="str">
        <f t="shared" si="2"/>
        <v>mhp;melee;motorized</v>
      </c>
      <c r="AY50" s="52" t="str">
        <f ca="1">[1]!连接单元格(C50:G50,";")</f>
        <v>20;15;10</v>
      </c>
      <c r="BA50" s="52" t="str">
        <f t="shared" si="3"/>
        <v>1005:4|1011:3|1018:2|1039:3|1040:2</v>
      </c>
      <c r="BB50" s="52" t="str">
        <f>"&lt;color=#FFCB00FF&gt;" &amp; 描述生成($H$3:$AT$3,H50:AT50)&amp;"&lt;/color&gt;;&lt;color=#FFEFAEFF &gt;"&amp; 描述生成($C$3:$G$3,C50:G50) &amp; "&lt;/color&gt;"</f>
        <v>&lt;color=#FFCB00FF&gt;散射+4,催眠+3,时空转移+2,灵魂修复+3,晕眩攻击+2&lt;/color&gt;;&lt;color=#FFEFAEFF &gt;生命值+20,攻击力+15,机动+10&lt;/color&gt;</v>
      </c>
    </row>
    <row r="51" spans="1:54" x14ac:dyDescent="0.3">
      <c r="A51" s="67">
        <v>100163</v>
      </c>
      <c r="B51" s="59">
        <f t="shared" si="4"/>
        <v>3</v>
      </c>
      <c r="C51" s="62">
        <v>30</v>
      </c>
      <c r="D51" s="62">
        <v>20</v>
      </c>
      <c r="E51" s="62"/>
      <c r="F51" s="62"/>
      <c r="G51" s="62">
        <v>15</v>
      </c>
      <c r="H51" s="63"/>
      <c r="I51" s="63"/>
      <c r="J51" s="63"/>
      <c r="K51" s="63"/>
      <c r="L51" s="63">
        <v>4</v>
      </c>
      <c r="M51" s="63"/>
      <c r="N51" s="63"/>
      <c r="O51" s="63"/>
      <c r="P51" s="63"/>
      <c r="Q51" s="63"/>
      <c r="R51" s="63">
        <v>3</v>
      </c>
      <c r="S51" s="63"/>
      <c r="T51" s="63"/>
      <c r="U51" s="63"/>
      <c r="V51" s="63"/>
      <c r="W51" s="63"/>
      <c r="X51" s="63"/>
      <c r="Y51" s="63">
        <v>2</v>
      </c>
      <c r="Z51" s="63"/>
      <c r="AA51" s="63"/>
      <c r="AB51" s="63"/>
      <c r="AC51" s="63"/>
      <c r="AD51" s="63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>
        <v>3</v>
      </c>
      <c r="AT51" s="64">
        <v>2</v>
      </c>
      <c r="AV51" s="52">
        <f t="shared" si="1"/>
        <v>8</v>
      </c>
      <c r="AW51" s="52" t="str">
        <f t="shared" si="0"/>
        <v>属性100163_3</v>
      </c>
      <c r="AX51" s="52" t="str">
        <f t="shared" si="2"/>
        <v>mhp;melee;motorized</v>
      </c>
      <c r="AY51" s="52" t="str">
        <f ca="1">[1]!连接单元格(C51:G51,";")</f>
        <v>30;20;15</v>
      </c>
      <c r="BA51" s="52" t="str">
        <f t="shared" si="3"/>
        <v>1005:4|1011:3|1018:2|1039:3|1040:2</v>
      </c>
      <c r="BB51" s="52" t="str">
        <f>"&lt;color=#FFCB00FF&gt;" &amp; 描述生成($H$3:$AT$3,H51:AT51)&amp;"&lt;/color&gt;;&lt;color=#FFEFAEFF &gt;"&amp; 描述生成($C$3:$G$3,C51:G51) &amp; "&lt;/color&gt;"</f>
        <v>&lt;color=#FFCB00FF&gt;散射+4,催眠+3,时空转移+2,灵魂修复+3,晕眩攻击+2&lt;/color&gt;;&lt;color=#FFEFAEFF &gt;生命值+30,攻击力+20,机动+15&lt;/color&gt;</v>
      </c>
    </row>
    <row r="52" spans="1:54" x14ac:dyDescent="0.3">
      <c r="A52" s="67">
        <v>100171</v>
      </c>
      <c r="B52" s="59">
        <f t="shared" si="4"/>
        <v>1</v>
      </c>
      <c r="C52" s="62"/>
      <c r="D52" s="62">
        <v>7</v>
      </c>
      <c r="E52" s="62"/>
      <c r="F52" s="62">
        <v>5</v>
      </c>
      <c r="G52" s="62">
        <v>5</v>
      </c>
      <c r="H52" s="63"/>
      <c r="I52" s="63"/>
      <c r="J52" s="63"/>
      <c r="K52" s="63"/>
      <c r="L52" s="63"/>
      <c r="M52" s="63">
        <v>5</v>
      </c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>
        <v>2</v>
      </c>
      <c r="AA52" s="63"/>
      <c r="AB52" s="63"/>
      <c r="AC52" s="63"/>
      <c r="AD52" s="63"/>
      <c r="AE52" s="64"/>
      <c r="AF52" s="64"/>
      <c r="AG52" s="64"/>
      <c r="AH52" s="64"/>
      <c r="AI52" s="64"/>
      <c r="AJ52" s="64"/>
      <c r="AK52" s="64">
        <v>3</v>
      </c>
      <c r="AL52" s="64"/>
      <c r="AM52" s="64"/>
      <c r="AN52" s="64"/>
      <c r="AO52" s="64"/>
      <c r="AP52" s="64">
        <v>2</v>
      </c>
      <c r="AQ52" s="64"/>
      <c r="AR52" s="64">
        <v>2</v>
      </c>
      <c r="AS52" s="64"/>
      <c r="AT52" s="64"/>
      <c r="AV52" s="52">
        <f t="shared" si="1"/>
        <v>8</v>
      </c>
      <c r="AW52" s="52" t="str">
        <f t="shared" si="0"/>
        <v>属性100171_1</v>
      </c>
      <c r="AX52" s="52" t="str">
        <f t="shared" si="2"/>
        <v>melee;reloadSpeed;motorized</v>
      </c>
      <c r="AY52" s="52" t="str">
        <f ca="1">[1]!连接单元格(C52:G52,";")</f>
        <v>7;5;5</v>
      </c>
      <c r="BA52" s="52" t="str">
        <f t="shared" si="3"/>
        <v>1006:5|1019:2|1031:3|1036:2|1038:2</v>
      </c>
      <c r="BB52" s="52" t="str">
        <f>"&lt;color=#FFCB00FF&gt;" &amp; 描述生成($H$3:$AT$3,H52:AT52)&amp;"&lt;/color&gt;;&lt;color=#FFEFAEFF &gt;"&amp; 描述生成($C$3:$G$3,C52:G52) &amp; "&lt;/color&gt;"</f>
        <v>&lt;color=#FFCB00FF&gt;汽油弹+5,死亡标记+2,斩杀+3,热力追踪+2,纳米修复+2&lt;/color&gt;;&lt;color=#FFEFAEFF &gt;攻击力+7,填装速度+5,机动+5&lt;/color&gt;</v>
      </c>
    </row>
    <row r="53" spans="1:54" x14ac:dyDescent="0.3">
      <c r="A53" s="67">
        <v>100172</v>
      </c>
      <c r="B53" s="59">
        <f t="shared" si="4"/>
        <v>2</v>
      </c>
      <c r="C53" s="62"/>
      <c r="D53" s="62">
        <v>15</v>
      </c>
      <c r="E53" s="62"/>
      <c r="F53" s="62">
        <v>10</v>
      </c>
      <c r="G53" s="62">
        <v>10</v>
      </c>
      <c r="H53" s="63"/>
      <c r="I53" s="63"/>
      <c r="J53" s="63"/>
      <c r="K53" s="63"/>
      <c r="L53" s="63"/>
      <c r="M53" s="63">
        <v>5</v>
      </c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>
        <v>2</v>
      </c>
      <c r="AA53" s="63"/>
      <c r="AB53" s="63"/>
      <c r="AC53" s="63"/>
      <c r="AD53" s="63"/>
      <c r="AE53" s="64"/>
      <c r="AF53" s="64"/>
      <c r="AG53" s="64"/>
      <c r="AH53" s="64"/>
      <c r="AI53" s="64"/>
      <c r="AJ53" s="64"/>
      <c r="AK53" s="64">
        <v>3</v>
      </c>
      <c r="AL53" s="64"/>
      <c r="AM53" s="64"/>
      <c r="AN53" s="64"/>
      <c r="AO53" s="64"/>
      <c r="AP53" s="64">
        <v>2</v>
      </c>
      <c r="AQ53" s="64"/>
      <c r="AR53" s="64">
        <v>2</v>
      </c>
      <c r="AS53" s="64"/>
      <c r="AT53" s="64"/>
      <c r="AV53" s="52">
        <f t="shared" si="1"/>
        <v>8</v>
      </c>
      <c r="AW53" s="52" t="str">
        <f t="shared" si="0"/>
        <v>属性100172_2</v>
      </c>
      <c r="AX53" s="52" t="str">
        <f t="shared" si="2"/>
        <v>melee;reloadSpeed;motorized</v>
      </c>
      <c r="AY53" s="52" t="str">
        <f ca="1">[1]!连接单元格(C53:G53,";")</f>
        <v>15;10;10</v>
      </c>
      <c r="BA53" s="52" t="str">
        <f t="shared" si="3"/>
        <v>1006:5|1019:2|1031:3|1036:2|1038:2</v>
      </c>
      <c r="BB53" s="52" t="str">
        <f>"&lt;color=#FFCB00FF&gt;" &amp; 描述生成($H$3:$AT$3,H53:AT53)&amp;"&lt;/color&gt;;&lt;color=#FFEFAEFF &gt;"&amp; 描述生成($C$3:$G$3,C53:G53) &amp; "&lt;/color&gt;"</f>
        <v>&lt;color=#FFCB00FF&gt;汽油弹+5,死亡标记+2,斩杀+3,热力追踪+2,纳米修复+2&lt;/color&gt;;&lt;color=#FFEFAEFF &gt;攻击力+15,填装速度+10,机动+10&lt;/color&gt;</v>
      </c>
    </row>
    <row r="54" spans="1:54" x14ac:dyDescent="0.3">
      <c r="A54" s="67">
        <v>100173</v>
      </c>
      <c r="B54" s="59">
        <f t="shared" si="4"/>
        <v>3</v>
      </c>
      <c r="C54" s="62"/>
      <c r="D54" s="62">
        <v>20</v>
      </c>
      <c r="E54" s="62"/>
      <c r="F54" s="62">
        <v>15</v>
      </c>
      <c r="G54" s="62">
        <v>15</v>
      </c>
      <c r="H54" s="63"/>
      <c r="I54" s="63"/>
      <c r="J54" s="63"/>
      <c r="K54" s="63"/>
      <c r="L54" s="63"/>
      <c r="M54" s="63">
        <v>5</v>
      </c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>
        <v>2</v>
      </c>
      <c r="AA54" s="63"/>
      <c r="AB54" s="63"/>
      <c r="AC54" s="63"/>
      <c r="AD54" s="63"/>
      <c r="AE54" s="64"/>
      <c r="AF54" s="64"/>
      <c r="AG54" s="64"/>
      <c r="AH54" s="64"/>
      <c r="AI54" s="64"/>
      <c r="AJ54" s="64"/>
      <c r="AK54" s="64">
        <v>3</v>
      </c>
      <c r="AL54" s="64"/>
      <c r="AM54" s="64"/>
      <c r="AN54" s="64"/>
      <c r="AO54" s="64"/>
      <c r="AP54" s="64">
        <v>2</v>
      </c>
      <c r="AQ54" s="64"/>
      <c r="AR54" s="64">
        <v>2</v>
      </c>
      <c r="AS54" s="64"/>
      <c r="AT54" s="64"/>
      <c r="AV54" s="52">
        <f t="shared" si="1"/>
        <v>8</v>
      </c>
      <c r="AW54" s="52" t="str">
        <f t="shared" si="0"/>
        <v>属性100173_3</v>
      </c>
      <c r="AX54" s="52" t="str">
        <f t="shared" si="2"/>
        <v>melee;reloadSpeed;motorized</v>
      </c>
      <c r="AY54" s="52" t="str">
        <f ca="1">[1]!连接单元格(C54:G54,";")</f>
        <v>20;15;15</v>
      </c>
      <c r="BA54" s="52" t="str">
        <f t="shared" si="3"/>
        <v>1006:5|1019:2|1031:3|1036:2|1038:2</v>
      </c>
      <c r="BB54" s="52" t="str">
        <f>"&lt;color=#FFCB00FF&gt;" &amp; 描述生成($H$3:$AT$3,H54:AT54)&amp;"&lt;/color&gt;;&lt;color=#FFEFAEFF &gt;"&amp; 描述生成($C$3:$G$3,C54:G54) &amp; "&lt;/color&gt;"</f>
        <v>&lt;color=#FFCB00FF&gt;汽油弹+5,死亡标记+2,斩杀+3,热力追踪+2,纳米修复+2&lt;/color&gt;;&lt;color=#FFEFAEFF &gt;攻击力+20,填装速度+15,机动+15&lt;/color&gt;</v>
      </c>
    </row>
    <row r="55" spans="1:54" x14ac:dyDescent="0.3">
      <c r="A55" s="71">
        <v>100181</v>
      </c>
      <c r="B55" s="59">
        <f t="shared" si="4"/>
        <v>1</v>
      </c>
      <c r="C55" s="62">
        <v>40</v>
      </c>
      <c r="D55" s="62"/>
      <c r="E55" s="62">
        <v>2</v>
      </c>
      <c r="F55" s="62"/>
      <c r="G55" s="62"/>
      <c r="H55" s="63"/>
      <c r="I55" s="63"/>
      <c r="J55" s="63"/>
      <c r="K55" s="63"/>
      <c r="L55" s="63"/>
      <c r="M55" s="63"/>
      <c r="N55" s="63"/>
      <c r="O55" s="63">
        <v>3</v>
      </c>
      <c r="P55" s="63"/>
      <c r="Q55" s="63"/>
      <c r="R55" s="63"/>
      <c r="S55" s="63">
        <v>3</v>
      </c>
      <c r="T55" s="63"/>
      <c r="U55" s="63"/>
      <c r="V55" s="63"/>
      <c r="W55" s="63"/>
      <c r="X55" s="63"/>
      <c r="Y55" s="63"/>
      <c r="Z55" s="63"/>
      <c r="AA55" s="63">
        <v>2</v>
      </c>
      <c r="AB55" s="63"/>
      <c r="AC55" s="63"/>
      <c r="AD55" s="63"/>
      <c r="AE55" s="64"/>
      <c r="AF55" s="64"/>
      <c r="AG55" s="64">
        <v>2</v>
      </c>
      <c r="AH55" s="64">
        <v>3</v>
      </c>
      <c r="AI55" s="64"/>
      <c r="AJ55" s="64"/>
      <c r="AK55" s="64"/>
      <c r="AL55" s="64"/>
      <c r="AM55" s="64"/>
      <c r="AN55" s="64"/>
      <c r="AO55" s="64">
        <v>2</v>
      </c>
      <c r="AP55" s="64"/>
      <c r="AQ55" s="64"/>
      <c r="AR55" s="64"/>
      <c r="AS55" s="64"/>
      <c r="AT55" s="64"/>
      <c r="AV55" s="52">
        <f t="shared" si="1"/>
        <v>8</v>
      </c>
      <c r="AW55" s="52" t="str">
        <f t="shared" si="0"/>
        <v>属性100181_1</v>
      </c>
      <c r="AX55" s="52" t="str">
        <f t="shared" si="2"/>
        <v>mhp;speed</v>
      </c>
      <c r="AY55" s="52" t="str">
        <f ca="1">[1]!连接单元格(C55:G55,";")</f>
        <v>40;2</v>
      </c>
      <c r="BA55" s="52" t="str">
        <f t="shared" si="3"/>
        <v>1008:3|1012:3|1020:2|1027:2|1028:3|1035:2</v>
      </c>
      <c r="BB55" s="52" t="str">
        <f>"&lt;color=#FFCB00FF&gt;" &amp; 描述生成($H$3:$AT$3,H55:AT55)&amp;"&lt;/color&gt;;&lt;color=#FFEFAEFF &gt;"&amp; 描述生成($C$3:$G$3,C55:G55) &amp; "&lt;/color&gt;"</f>
        <v>&lt;color=#FFCB00FF&gt;精神错乱+3,沉默+3,虫洞+2,纳米涂层+2,冲锋+3,生命工程+2&lt;/color&gt;;&lt;color=#FFEFAEFF &gt;生命值+40,先攻+2&lt;/color&gt;</v>
      </c>
    </row>
    <row r="56" spans="1:54" x14ac:dyDescent="0.3">
      <c r="A56" s="67">
        <v>100182</v>
      </c>
      <c r="B56" s="59">
        <f t="shared" si="4"/>
        <v>2</v>
      </c>
      <c r="C56" s="62">
        <v>80</v>
      </c>
      <c r="D56" s="62"/>
      <c r="E56" s="62">
        <v>4</v>
      </c>
      <c r="F56" s="62"/>
      <c r="G56" s="62"/>
      <c r="H56" s="63"/>
      <c r="I56" s="63"/>
      <c r="J56" s="63"/>
      <c r="K56" s="63"/>
      <c r="L56" s="63"/>
      <c r="M56" s="63"/>
      <c r="N56" s="63"/>
      <c r="O56" s="63">
        <v>3</v>
      </c>
      <c r="P56" s="63"/>
      <c r="Q56" s="63"/>
      <c r="R56" s="63"/>
      <c r="S56" s="63">
        <v>3</v>
      </c>
      <c r="T56" s="63"/>
      <c r="U56" s="63"/>
      <c r="V56" s="63"/>
      <c r="W56" s="63"/>
      <c r="X56" s="63"/>
      <c r="Y56" s="63"/>
      <c r="Z56" s="63"/>
      <c r="AA56" s="63">
        <v>2</v>
      </c>
      <c r="AB56" s="63"/>
      <c r="AC56" s="63"/>
      <c r="AD56" s="63"/>
      <c r="AE56" s="64"/>
      <c r="AF56" s="64"/>
      <c r="AG56" s="64">
        <v>2</v>
      </c>
      <c r="AH56" s="64">
        <v>3</v>
      </c>
      <c r="AI56" s="64"/>
      <c r="AJ56" s="64"/>
      <c r="AK56" s="64"/>
      <c r="AL56" s="64"/>
      <c r="AM56" s="64"/>
      <c r="AN56" s="64"/>
      <c r="AO56" s="64">
        <v>2</v>
      </c>
      <c r="AP56" s="64"/>
      <c r="AQ56" s="64"/>
      <c r="AR56" s="64"/>
      <c r="AS56" s="64"/>
      <c r="AT56" s="64"/>
      <c r="AV56" s="52">
        <f t="shared" si="1"/>
        <v>8</v>
      </c>
      <c r="AW56" s="52" t="str">
        <f t="shared" si="0"/>
        <v>属性100182_2</v>
      </c>
      <c r="AX56" s="52" t="str">
        <f t="shared" si="2"/>
        <v>mhp;speed</v>
      </c>
      <c r="AY56" s="52" t="str">
        <f ca="1">[1]!连接单元格(C56:G56,";")</f>
        <v>80;4</v>
      </c>
      <c r="BA56" s="52" t="str">
        <f t="shared" si="3"/>
        <v>1008:3|1012:3|1020:2|1027:2|1028:3|1035:2</v>
      </c>
      <c r="BB56" s="52" t="str">
        <f>"&lt;color=#FFCB00FF&gt;" &amp; 描述生成($H$3:$AT$3,H56:AT56)&amp;"&lt;/color&gt;;&lt;color=#FFEFAEFF &gt;"&amp; 描述生成($C$3:$G$3,C56:G56) &amp; "&lt;/color&gt;"</f>
        <v>&lt;color=#FFCB00FF&gt;精神错乱+3,沉默+3,虫洞+2,纳米涂层+2,冲锋+3,生命工程+2&lt;/color&gt;;&lt;color=#FFEFAEFF &gt;生命值+80,先攻+4&lt;/color&gt;</v>
      </c>
    </row>
    <row r="57" spans="1:54" x14ac:dyDescent="0.3">
      <c r="A57" s="67">
        <v>100183</v>
      </c>
      <c r="B57" s="59">
        <f t="shared" si="4"/>
        <v>3</v>
      </c>
      <c r="C57" s="62">
        <v>120</v>
      </c>
      <c r="D57" s="62"/>
      <c r="E57" s="62">
        <v>5</v>
      </c>
      <c r="F57" s="62"/>
      <c r="G57" s="62"/>
      <c r="H57" s="63"/>
      <c r="I57" s="63"/>
      <c r="J57" s="63"/>
      <c r="K57" s="63"/>
      <c r="L57" s="63"/>
      <c r="M57" s="63"/>
      <c r="N57" s="63"/>
      <c r="O57" s="63">
        <v>3</v>
      </c>
      <c r="P57" s="63"/>
      <c r="Q57" s="63"/>
      <c r="R57" s="63"/>
      <c r="S57" s="63">
        <v>3</v>
      </c>
      <c r="T57" s="63"/>
      <c r="U57" s="63"/>
      <c r="V57" s="63"/>
      <c r="W57" s="63"/>
      <c r="X57" s="63"/>
      <c r="Y57" s="63"/>
      <c r="Z57" s="63"/>
      <c r="AA57" s="63">
        <v>2</v>
      </c>
      <c r="AB57" s="63"/>
      <c r="AC57" s="63"/>
      <c r="AD57" s="63"/>
      <c r="AE57" s="64"/>
      <c r="AF57" s="64"/>
      <c r="AG57" s="64">
        <v>2</v>
      </c>
      <c r="AH57" s="64">
        <v>3</v>
      </c>
      <c r="AI57" s="64"/>
      <c r="AJ57" s="64"/>
      <c r="AK57" s="64"/>
      <c r="AL57" s="64"/>
      <c r="AM57" s="64"/>
      <c r="AN57" s="64"/>
      <c r="AO57" s="64">
        <v>2</v>
      </c>
      <c r="AP57" s="64"/>
      <c r="AQ57" s="64"/>
      <c r="AR57" s="64"/>
      <c r="AS57" s="64"/>
      <c r="AT57" s="64"/>
      <c r="AV57" s="52">
        <f t="shared" si="1"/>
        <v>8</v>
      </c>
      <c r="AW57" s="52" t="str">
        <f t="shared" si="0"/>
        <v>属性100183_3</v>
      </c>
      <c r="AX57" s="52" t="str">
        <f t="shared" si="2"/>
        <v>mhp;speed</v>
      </c>
      <c r="AY57" s="52" t="str">
        <f ca="1">[1]!连接单元格(C57:G57,";")</f>
        <v>120;5</v>
      </c>
      <c r="BA57" s="52" t="str">
        <f t="shared" si="3"/>
        <v>1008:3|1012:3|1020:2|1027:2|1028:3|1035:2</v>
      </c>
      <c r="BB57" s="52" t="str">
        <f>"&lt;color=#FFCB00FF&gt;" &amp; 描述生成($H$3:$AT$3,H57:AT57)&amp;"&lt;/color&gt;;&lt;color=#FFEFAEFF &gt;"&amp; 描述生成($C$3:$G$3,C57:G57) &amp; "&lt;/color&gt;"</f>
        <v>&lt;color=#FFCB00FF&gt;精神错乱+3,沉默+3,虫洞+2,纳米涂层+2,冲锋+3,生命工程+2&lt;/color&gt;;&lt;color=#FFEFAEFF &gt;生命值+120,先攻+5&lt;/color&gt;</v>
      </c>
    </row>
    <row r="58" spans="1:54" x14ac:dyDescent="0.3">
      <c r="A58" s="70">
        <v>100191</v>
      </c>
      <c r="B58" s="59">
        <f t="shared" si="4"/>
        <v>1</v>
      </c>
      <c r="C58" s="62"/>
      <c r="D58" s="62">
        <v>7</v>
      </c>
      <c r="E58" s="62">
        <v>2</v>
      </c>
      <c r="F58" s="62"/>
      <c r="G58" s="62">
        <v>5</v>
      </c>
      <c r="H58" s="63"/>
      <c r="I58" s="63"/>
      <c r="J58" s="63"/>
      <c r="K58" s="63">
        <v>3</v>
      </c>
      <c r="L58" s="63">
        <v>3</v>
      </c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>
        <v>2</v>
      </c>
      <c r="AC58" s="63"/>
      <c r="AD58" s="63"/>
      <c r="AE58" s="64"/>
      <c r="AF58" s="64"/>
      <c r="AG58" s="64"/>
      <c r="AH58" s="64"/>
      <c r="AI58" s="64">
        <v>2</v>
      </c>
      <c r="AJ58" s="64"/>
      <c r="AK58" s="64"/>
      <c r="AL58" s="64">
        <v>3</v>
      </c>
      <c r="AM58" s="64"/>
      <c r="AN58" s="64"/>
      <c r="AO58" s="64"/>
      <c r="AP58" s="64"/>
      <c r="AQ58" s="64"/>
      <c r="AR58" s="64"/>
      <c r="AS58" s="64"/>
      <c r="AT58" s="64"/>
      <c r="AV58" s="52">
        <f t="shared" si="1"/>
        <v>8</v>
      </c>
      <c r="AW58" s="52" t="str">
        <f t="shared" si="0"/>
        <v>属性100191_1</v>
      </c>
      <c r="AX58" s="52" t="str">
        <f t="shared" si="2"/>
        <v>melee;speed;motorized</v>
      </c>
      <c r="AY58" s="52" t="str">
        <f ca="1">[1]!连接单元格(C58:G58,";")</f>
        <v>7;2;5</v>
      </c>
      <c r="BA58" s="52" t="str">
        <f t="shared" si="3"/>
        <v>1004:3|1005:3|1021:2|1029:2|1032:3</v>
      </c>
      <c r="BB58" s="52" t="str">
        <f>"&lt;color=#FFCB00FF&gt;" &amp; 描述生成($H$3:$AT$3,H58:AT58)&amp;"&lt;/color&gt;;&lt;color=#FFEFAEFF &gt;"&amp; 描述生成($C$3:$G$3,C58:G58) &amp; "&lt;/color&gt;"</f>
        <v>&lt;color=#FFCB00FF&gt;全弹齐发+3,散射+3,偏转涂层+2,实弹增强+2,强击光线+3&lt;/color&gt;;&lt;color=#FFEFAEFF &gt;攻击力+7,先攻+2,机动+5&lt;/color&gt;</v>
      </c>
    </row>
    <row r="59" spans="1:54" x14ac:dyDescent="0.3">
      <c r="A59" s="67">
        <v>100192</v>
      </c>
      <c r="B59" s="59">
        <f t="shared" si="4"/>
        <v>2</v>
      </c>
      <c r="C59" s="62"/>
      <c r="D59" s="62">
        <v>15</v>
      </c>
      <c r="E59" s="62">
        <v>4</v>
      </c>
      <c r="F59" s="62"/>
      <c r="G59" s="62">
        <v>10</v>
      </c>
      <c r="H59" s="63"/>
      <c r="I59" s="63"/>
      <c r="J59" s="63"/>
      <c r="K59" s="63">
        <v>3</v>
      </c>
      <c r="L59" s="63">
        <v>3</v>
      </c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>
        <v>2</v>
      </c>
      <c r="AC59" s="63"/>
      <c r="AD59" s="63"/>
      <c r="AE59" s="64"/>
      <c r="AF59" s="64"/>
      <c r="AG59" s="64"/>
      <c r="AH59" s="64"/>
      <c r="AI59" s="64">
        <v>2</v>
      </c>
      <c r="AJ59" s="64"/>
      <c r="AK59" s="64"/>
      <c r="AL59" s="64">
        <v>3</v>
      </c>
      <c r="AM59" s="64"/>
      <c r="AN59" s="64"/>
      <c r="AO59" s="64"/>
      <c r="AP59" s="64"/>
      <c r="AQ59" s="64"/>
      <c r="AR59" s="64"/>
      <c r="AS59" s="64"/>
      <c r="AT59" s="64"/>
      <c r="AV59" s="52">
        <f t="shared" si="1"/>
        <v>8</v>
      </c>
      <c r="AW59" s="52" t="str">
        <f t="shared" si="0"/>
        <v>属性100192_2</v>
      </c>
      <c r="AX59" s="52" t="str">
        <f t="shared" si="2"/>
        <v>melee;speed;motorized</v>
      </c>
      <c r="AY59" s="52" t="str">
        <f ca="1">[1]!连接单元格(C59:G59,";")</f>
        <v>15;4;10</v>
      </c>
      <c r="BA59" s="52" t="str">
        <f t="shared" si="3"/>
        <v>1004:3|1005:3|1021:2|1029:2|1032:3</v>
      </c>
      <c r="BB59" s="52" t="str">
        <f>"&lt;color=#FFCB00FF&gt;" &amp; 描述生成($H$3:$AT$3,H59:AT59)&amp;"&lt;/color&gt;;&lt;color=#FFEFAEFF &gt;"&amp; 描述生成($C$3:$G$3,C59:G59) &amp; "&lt;/color&gt;"</f>
        <v>&lt;color=#FFCB00FF&gt;全弹齐发+3,散射+3,偏转涂层+2,实弹增强+2,强击光线+3&lt;/color&gt;;&lt;color=#FFEFAEFF &gt;攻击力+15,先攻+4,机动+10&lt;/color&gt;</v>
      </c>
    </row>
    <row r="60" spans="1:54" x14ac:dyDescent="0.3">
      <c r="A60" s="67">
        <v>100193</v>
      </c>
      <c r="B60" s="59">
        <f t="shared" si="4"/>
        <v>3</v>
      </c>
      <c r="C60" s="62"/>
      <c r="D60" s="62">
        <v>20</v>
      </c>
      <c r="E60" s="62">
        <v>5</v>
      </c>
      <c r="F60" s="62"/>
      <c r="G60" s="62">
        <v>15</v>
      </c>
      <c r="H60" s="63"/>
      <c r="I60" s="63"/>
      <c r="J60" s="63"/>
      <c r="K60" s="63">
        <v>3</v>
      </c>
      <c r="L60" s="63">
        <v>3</v>
      </c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>
        <v>2</v>
      </c>
      <c r="AC60" s="63"/>
      <c r="AD60" s="63"/>
      <c r="AE60" s="64"/>
      <c r="AF60" s="64"/>
      <c r="AG60" s="64"/>
      <c r="AH60" s="64"/>
      <c r="AI60" s="64">
        <v>2</v>
      </c>
      <c r="AJ60" s="64"/>
      <c r="AK60" s="64"/>
      <c r="AL60" s="64">
        <v>3</v>
      </c>
      <c r="AM60" s="64"/>
      <c r="AN60" s="64"/>
      <c r="AO60" s="64"/>
      <c r="AP60" s="64"/>
      <c r="AQ60" s="64"/>
      <c r="AR60" s="64"/>
      <c r="AS60" s="64"/>
      <c r="AT60" s="64"/>
      <c r="AV60" s="52">
        <f t="shared" si="1"/>
        <v>8</v>
      </c>
      <c r="AW60" s="52" t="str">
        <f t="shared" si="0"/>
        <v>属性100193_3</v>
      </c>
      <c r="AX60" s="52" t="str">
        <f t="shared" si="2"/>
        <v>melee;speed;motorized</v>
      </c>
      <c r="AY60" s="52" t="str">
        <f ca="1">[1]!连接单元格(C60:G60,";")</f>
        <v>20;5;15</v>
      </c>
      <c r="BA60" s="52" t="str">
        <f t="shared" si="3"/>
        <v>1004:3|1005:3|1021:2|1029:2|1032:3</v>
      </c>
      <c r="BB60" s="52" t="str">
        <f>"&lt;color=#FFCB00FF&gt;" &amp; 描述生成($H$3:$AT$3,H60:AT60)&amp;"&lt;/color&gt;;&lt;color=#FFEFAEFF &gt;"&amp; 描述生成($C$3:$G$3,C60:G60) &amp; "&lt;/color&gt;"</f>
        <v>&lt;color=#FFCB00FF&gt;全弹齐发+3,散射+3,偏转涂层+2,实弹增强+2,强击光线+3&lt;/color&gt;;&lt;color=#FFEFAEFF &gt;攻击力+20,先攻+5,机动+15&lt;/color&gt;</v>
      </c>
    </row>
    <row r="61" spans="1:54" x14ac:dyDescent="0.3">
      <c r="A61" s="70">
        <v>100201</v>
      </c>
      <c r="B61" s="59">
        <f t="shared" si="4"/>
        <v>1</v>
      </c>
      <c r="C61" s="62">
        <v>10</v>
      </c>
      <c r="D61" s="62">
        <v>7</v>
      </c>
      <c r="E61" s="62"/>
      <c r="F61" s="62">
        <v>5</v>
      </c>
      <c r="G61" s="62"/>
      <c r="H61" s="63"/>
      <c r="I61" s="63"/>
      <c r="J61" s="63"/>
      <c r="K61" s="63"/>
      <c r="L61" s="63"/>
      <c r="M61" s="63">
        <v>3</v>
      </c>
      <c r="N61" s="63">
        <v>5</v>
      </c>
      <c r="O61" s="63"/>
      <c r="P61" s="63"/>
      <c r="Q61" s="63"/>
      <c r="R61" s="63"/>
      <c r="S61" s="63"/>
      <c r="T61" s="63"/>
      <c r="U61" s="63">
        <v>2</v>
      </c>
      <c r="V61" s="63"/>
      <c r="W61" s="63"/>
      <c r="X61" s="63"/>
      <c r="Y61" s="63"/>
      <c r="Z61" s="63"/>
      <c r="AA61" s="63"/>
      <c r="AB61" s="63"/>
      <c r="AC61" s="63"/>
      <c r="AD61" s="63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>
        <v>3</v>
      </c>
      <c r="AP61" s="64"/>
      <c r="AQ61" s="64">
        <v>2</v>
      </c>
      <c r="AR61" s="64"/>
      <c r="AS61" s="64"/>
      <c r="AT61" s="64"/>
      <c r="AV61" s="52">
        <f t="shared" si="1"/>
        <v>8</v>
      </c>
      <c r="AW61" s="52" t="str">
        <f t="shared" si="0"/>
        <v>属性100201_1</v>
      </c>
      <c r="AX61" s="52" t="str">
        <f t="shared" si="2"/>
        <v>mhp;melee;reloadSpeed</v>
      </c>
      <c r="AY61" s="52" t="str">
        <f ca="1">[1]!连接单元格(C61:G61,";")</f>
        <v>10;7;5</v>
      </c>
      <c r="BA61" s="52" t="str">
        <f t="shared" si="3"/>
        <v>1006:3|1007:5|1014:2|1035:3|1037:2</v>
      </c>
      <c r="BB61" s="52" t="str">
        <f>"&lt;color=#FFCB00FF&gt;" &amp; 描述生成($H$3:$AT$3,H61:AT61)&amp;"&lt;/color&gt;;&lt;color=#FFEFAEFF &gt;"&amp; 描述生成($C$3:$G$3,C61:G61) &amp; "&lt;/color&gt;"</f>
        <v>&lt;color=#FFCB00FF&gt;汽油弹+3,炫光射线+5,生命抽取+2,生命工程+3,没有雾霾+2&lt;/color&gt;;&lt;color=#FFEFAEFF &gt;生命值+10,攻击力+7,填装速度+5&lt;/color&gt;</v>
      </c>
    </row>
    <row r="62" spans="1:54" x14ac:dyDescent="0.3">
      <c r="A62" s="67">
        <v>100202</v>
      </c>
      <c r="B62" s="59">
        <f t="shared" si="4"/>
        <v>2</v>
      </c>
      <c r="C62" s="62">
        <v>20</v>
      </c>
      <c r="D62" s="62">
        <v>15</v>
      </c>
      <c r="E62" s="62"/>
      <c r="F62" s="62">
        <v>10</v>
      </c>
      <c r="G62" s="62"/>
      <c r="H62" s="63"/>
      <c r="I62" s="63"/>
      <c r="J62" s="63"/>
      <c r="K62" s="63"/>
      <c r="L62" s="63"/>
      <c r="M62" s="63">
        <v>3</v>
      </c>
      <c r="N62" s="63">
        <v>5</v>
      </c>
      <c r="O62" s="63"/>
      <c r="P62" s="63"/>
      <c r="Q62" s="63"/>
      <c r="R62" s="63"/>
      <c r="S62" s="63"/>
      <c r="T62" s="63"/>
      <c r="U62" s="63">
        <v>2</v>
      </c>
      <c r="V62" s="63"/>
      <c r="W62" s="63"/>
      <c r="X62" s="63"/>
      <c r="Y62" s="63"/>
      <c r="Z62" s="63"/>
      <c r="AA62" s="63"/>
      <c r="AB62" s="63"/>
      <c r="AC62" s="63"/>
      <c r="AD62" s="63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>
        <v>3</v>
      </c>
      <c r="AP62" s="64"/>
      <c r="AQ62" s="64">
        <v>2</v>
      </c>
      <c r="AR62" s="64"/>
      <c r="AS62" s="64"/>
      <c r="AT62" s="64"/>
      <c r="AV62" s="52">
        <f t="shared" si="1"/>
        <v>8</v>
      </c>
      <c r="AW62" s="52" t="str">
        <f t="shared" si="0"/>
        <v>属性100202_2</v>
      </c>
      <c r="AX62" s="52" t="str">
        <f t="shared" si="2"/>
        <v>mhp;melee;reloadSpeed</v>
      </c>
      <c r="AY62" s="52" t="str">
        <f ca="1">[1]!连接单元格(C62:G62,";")</f>
        <v>20;15;10</v>
      </c>
      <c r="BA62" s="52" t="str">
        <f t="shared" si="3"/>
        <v>1006:3|1007:5|1014:2|1035:3|1037:2</v>
      </c>
      <c r="BB62" s="52" t="str">
        <f>"&lt;color=#FFCB00FF&gt;" &amp; 描述生成($H$3:$AT$3,H62:AT62)&amp;"&lt;/color&gt;;&lt;color=#FFEFAEFF &gt;"&amp; 描述生成($C$3:$G$3,C62:G62) &amp; "&lt;/color&gt;"</f>
        <v>&lt;color=#FFCB00FF&gt;汽油弹+3,炫光射线+5,生命抽取+2,生命工程+3,没有雾霾+2&lt;/color&gt;;&lt;color=#FFEFAEFF &gt;生命值+20,攻击力+15,填装速度+10&lt;/color&gt;</v>
      </c>
    </row>
    <row r="63" spans="1:54" x14ac:dyDescent="0.3">
      <c r="A63" s="67">
        <v>100203</v>
      </c>
      <c r="B63" s="59">
        <f t="shared" si="4"/>
        <v>3</v>
      </c>
      <c r="C63" s="62">
        <v>30</v>
      </c>
      <c r="D63" s="62">
        <v>20</v>
      </c>
      <c r="E63" s="62"/>
      <c r="F63" s="62">
        <v>15</v>
      </c>
      <c r="G63" s="62"/>
      <c r="H63" s="63"/>
      <c r="I63" s="63"/>
      <c r="J63" s="63"/>
      <c r="K63" s="63"/>
      <c r="L63" s="63"/>
      <c r="M63" s="63">
        <v>3</v>
      </c>
      <c r="N63" s="63">
        <v>5</v>
      </c>
      <c r="O63" s="63"/>
      <c r="P63" s="63"/>
      <c r="Q63" s="63"/>
      <c r="R63" s="63"/>
      <c r="S63" s="63"/>
      <c r="T63" s="63"/>
      <c r="U63" s="63">
        <v>2</v>
      </c>
      <c r="V63" s="63"/>
      <c r="W63" s="63"/>
      <c r="X63" s="63"/>
      <c r="Y63" s="63"/>
      <c r="Z63" s="63"/>
      <c r="AA63" s="63"/>
      <c r="AB63" s="63"/>
      <c r="AC63" s="63"/>
      <c r="AD63" s="63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>
        <v>3</v>
      </c>
      <c r="AP63" s="64"/>
      <c r="AQ63" s="64">
        <v>2</v>
      </c>
      <c r="AR63" s="64"/>
      <c r="AS63" s="64"/>
      <c r="AT63" s="64"/>
      <c r="AV63" s="52">
        <f t="shared" si="1"/>
        <v>8</v>
      </c>
      <c r="AW63" s="52" t="str">
        <f t="shared" si="0"/>
        <v>属性100203_3</v>
      </c>
      <c r="AX63" s="52" t="str">
        <f t="shared" si="2"/>
        <v>mhp;melee;reloadSpeed</v>
      </c>
      <c r="AY63" s="52" t="str">
        <f ca="1">[1]!连接单元格(C63:G63,";")</f>
        <v>30;20;15</v>
      </c>
      <c r="BA63" s="52" t="str">
        <f t="shared" si="3"/>
        <v>1006:3|1007:5|1014:2|1035:3|1037:2</v>
      </c>
      <c r="BB63" s="52" t="str">
        <f>"&lt;color=#FFCB00FF&gt;" &amp; 描述生成($H$3:$AT$3,H63:AT63)&amp;"&lt;/color&gt;;&lt;color=#FFEFAEFF &gt;"&amp; 描述生成($C$3:$G$3,C63:G63) &amp; "&lt;/color&gt;"</f>
        <v>&lt;color=#FFCB00FF&gt;汽油弹+3,炫光射线+5,生命抽取+2,生命工程+3,没有雾霾+2&lt;/color&gt;;&lt;color=#FFEFAEFF &gt;生命值+30,攻击力+20,填装速度+15&lt;/color&gt;</v>
      </c>
    </row>
    <row r="64" spans="1:54" x14ac:dyDescent="0.3">
      <c r="A64" s="70">
        <v>100211</v>
      </c>
      <c r="B64" s="59">
        <f t="shared" si="4"/>
        <v>1</v>
      </c>
      <c r="C64" s="62">
        <v>40</v>
      </c>
      <c r="D64" s="62"/>
      <c r="E64" s="62"/>
      <c r="F64" s="62"/>
      <c r="G64" s="62">
        <v>5</v>
      </c>
      <c r="H64" s="63"/>
      <c r="I64" s="63"/>
      <c r="J64" s="63">
        <v>5</v>
      </c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>
        <v>3</v>
      </c>
      <c r="AB64" s="63"/>
      <c r="AC64" s="63"/>
      <c r="AD64" s="63"/>
      <c r="AE64" s="64">
        <v>3</v>
      </c>
      <c r="AF64" s="64">
        <v>3</v>
      </c>
      <c r="AG64" s="64"/>
      <c r="AH64" s="64"/>
      <c r="AI64" s="64"/>
      <c r="AJ64" s="64"/>
      <c r="AK64" s="64"/>
      <c r="AL64" s="64"/>
      <c r="AM64" s="64">
        <v>2</v>
      </c>
      <c r="AN64" s="64"/>
      <c r="AO64" s="64"/>
      <c r="AP64" s="64"/>
      <c r="AQ64" s="64"/>
      <c r="AR64" s="64"/>
      <c r="AS64" s="64"/>
      <c r="AT64" s="64"/>
      <c r="AV64" s="52">
        <f t="shared" si="1"/>
        <v>7</v>
      </c>
      <c r="AW64" s="52" t="str">
        <f t="shared" si="0"/>
        <v>属性100211_1</v>
      </c>
      <c r="AX64" s="52" t="str">
        <f t="shared" si="2"/>
        <v>mhp;motorized</v>
      </c>
      <c r="AY64" s="52" t="str">
        <f ca="1">[1]!连接单元格(C64:G64,";")</f>
        <v>40;5</v>
      </c>
      <c r="BA64" s="52" t="str">
        <f t="shared" si="3"/>
        <v>1003:5|1020:3|1025:3|1026:3|1033:2</v>
      </c>
      <c r="BB64" s="52" t="str">
        <f>"&lt;color=#FFCB00FF&gt;" &amp; 描述生成($H$3:$AT$3,H64:AT64)&amp;"&lt;/color&gt;;&lt;color=#FFEFAEFF &gt;"&amp; 描述生成($C$3:$G$3,C64:G64) &amp; "&lt;/color&gt;"</f>
        <v>&lt;color=#FFCB00FF&gt;贯通射线+5,虫洞+3,先发制人+3,反应装甲+3,燃料引爆+2&lt;/color&gt;;&lt;color=#FFEFAEFF &gt;生命值+40,机动+5&lt;/color&gt;</v>
      </c>
    </row>
    <row r="65" spans="1:54" x14ac:dyDescent="0.3">
      <c r="A65" s="67">
        <v>100212</v>
      </c>
      <c r="B65" s="59">
        <f t="shared" si="4"/>
        <v>2</v>
      </c>
      <c r="C65" s="62">
        <v>80</v>
      </c>
      <c r="D65" s="62"/>
      <c r="E65" s="62"/>
      <c r="F65" s="62"/>
      <c r="G65" s="62">
        <v>10</v>
      </c>
      <c r="H65" s="63"/>
      <c r="I65" s="63"/>
      <c r="J65" s="63">
        <v>5</v>
      </c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>
        <v>3</v>
      </c>
      <c r="AB65" s="63"/>
      <c r="AC65" s="63"/>
      <c r="AD65" s="63"/>
      <c r="AE65" s="64">
        <v>3</v>
      </c>
      <c r="AF65" s="64">
        <v>3</v>
      </c>
      <c r="AG65" s="64"/>
      <c r="AH65" s="64"/>
      <c r="AI65" s="64"/>
      <c r="AJ65" s="64"/>
      <c r="AK65" s="64"/>
      <c r="AL65" s="64"/>
      <c r="AM65" s="64">
        <v>2</v>
      </c>
      <c r="AN65" s="64"/>
      <c r="AO65" s="64"/>
      <c r="AP65" s="64"/>
      <c r="AQ65" s="64"/>
      <c r="AR65" s="64"/>
      <c r="AS65" s="64"/>
      <c r="AT65" s="64"/>
      <c r="AV65" s="52">
        <f t="shared" si="1"/>
        <v>7</v>
      </c>
      <c r="AW65" s="52" t="str">
        <f t="shared" si="0"/>
        <v>属性100212_2</v>
      </c>
      <c r="AX65" s="52" t="str">
        <f t="shared" si="2"/>
        <v>mhp;motorized</v>
      </c>
      <c r="AY65" s="52" t="str">
        <f ca="1">[1]!连接单元格(C65:G65,";")</f>
        <v>80;10</v>
      </c>
      <c r="BA65" s="52" t="str">
        <f t="shared" si="3"/>
        <v>1003:5|1020:3|1025:3|1026:3|1033:2</v>
      </c>
      <c r="BB65" s="52" t="str">
        <f>"&lt;color=#FFCB00FF&gt;" &amp; 描述生成($H$3:$AT$3,H65:AT65)&amp;"&lt;/color&gt;;&lt;color=#FFEFAEFF &gt;"&amp; 描述生成($C$3:$G$3,C65:G65) &amp; "&lt;/color&gt;"</f>
        <v>&lt;color=#FFCB00FF&gt;贯通射线+5,虫洞+3,先发制人+3,反应装甲+3,燃料引爆+2&lt;/color&gt;;&lt;color=#FFEFAEFF &gt;生命值+80,机动+10&lt;/color&gt;</v>
      </c>
    </row>
    <row r="66" spans="1:54" x14ac:dyDescent="0.3">
      <c r="A66" s="67">
        <v>100213</v>
      </c>
      <c r="B66" s="59">
        <f t="shared" si="4"/>
        <v>3</v>
      </c>
      <c r="C66" s="62">
        <v>120</v>
      </c>
      <c r="D66" s="62"/>
      <c r="E66" s="62"/>
      <c r="F66" s="62"/>
      <c r="G66" s="62">
        <v>15</v>
      </c>
      <c r="H66" s="63"/>
      <c r="I66" s="63"/>
      <c r="J66" s="63">
        <v>5</v>
      </c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>
        <v>3</v>
      </c>
      <c r="AB66" s="63"/>
      <c r="AC66" s="63"/>
      <c r="AD66" s="63"/>
      <c r="AE66" s="64">
        <v>3</v>
      </c>
      <c r="AF66" s="64">
        <v>3</v>
      </c>
      <c r="AG66" s="64"/>
      <c r="AH66" s="64"/>
      <c r="AI66" s="64"/>
      <c r="AJ66" s="64"/>
      <c r="AK66" s="64"/>
      <c r="AL66" s="64"/>
      <c r="AM66" s="64">
        <v>2</v>
      </c>
      <c r="AN66" s="64"/>
      <c r="AO66" s="64"/>
      <c r="AP66" s="64"/>
      <c r="AQ66" s="64"/>
      <c r="AR66" s="64"/>
      <c r="AS66" s="64"/>
      <c r="AT66" s="64"/>
      <c r="AV66" s="52">
        <f t="shared" si="1"/>
        <v>7</v>
      </c>
      <c r="AW66" s="52" t="str">
        <f t="shared" si="0"/>
        <v>属性100213_3</v>
      </c>
      <c r="AX66" s="52" t="str">
        <f t="shared" si="2"/>
        <v>mhp;motorized</v>
      </c>
      <c r="AY66" s="52" t="str">
        <f ca="1">[1]!连接单元格(C66:G66,";")</f>
        <v>120;15</v>
      </c>
      <c r="BA66" s="52" t="str">
        <f t="shared" si="3"/>
        <v>1003:5|1020:3|1025:3|1026:3|1033:2</v>
      </c>
      <c r="BB66" s="52" t="str">
        <f>"&lt;color=#FFCB00FF&gt;" &amp; 描述生成($H$3:$AT$3,H66:AT66)&amp;"&lt;/color&gt;;&lt;color=#FFEFAEFF &gt;"&amp; 描述生成($C$3:$G$3,C66:G66) &amp; "&lt;/color&gt;"</f>
        <v>&lt;color=#FFCB00FF&gt;贯通射线+5,虫洞+3,先发制人+3,反应装甲+3,燃料引爆+2&lt;/color&gt;;&lt;color=#FFEFAEFF &gt;生命值+120,机动+15&lt;/color&gt;</v>
      </c>
    </row>
    <row r="67" spans="1:54" x14ac:dyDescent="0.3">
      <c r="A67" s="67">
        <v>100221</v>
      </c>
      <c r="B67" s="59">
        <f t="shared" si="4"/>
        <v>1</v>
      </c>
      <c r="C67" s="62"/>
      <c r="D67" s="62">
        <v>10</v>
      </c>
      <c r="E67" s="62">
        <v>2</v>
      </c>
      <c r="F67" s="62"/>
      <c r="G67" s="62"/>
      <c r="H67" s="63"/>
      <c r="I67" s="63">
        <v>5</v>
      </c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>
        <v>3</v>
      </c>
      <c r="Y67" s="63"/>
      <c r="Z67" s="63"/>
      <c r="AA67" s="63"/>
      <c r="AB67" s="63"/>
      <c r="AC67" s="63"/>
      <c r="AD67" s="63"/>
      <c r="AE67" s="64"/>
      <c r="AF67" s="64"/>
      <c r="AG67" s="64"/>
      <c r="AH67" s="64">
        <v>2</v>
      </c>
      <c r="AI67" s="64"/>
      <c r="AJ67" s="64">
        <v>3</v>
      </c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V67" s="52">
        <f t="shared" si="1"/>
        <v>6</v>
      </c>
      <c r="AW67" s="52" t="str">
        <f t="shared" si="0"/>
        <v>属性100221_1</v>
      </c>
      <c r="AX67" s="52" t="str">
        <f t="shared" si="2"/>
        <v>melee;speed</v>
      </c>
      <c r="AY67" s="52" t="str">
        <f ca="1">[1]!连接单元格(C67:G67,";")</f>
        <v>10;2</v>
      </c>
      <c r="BA67" s="52" t="str">
        <f t="shared" si="3"/>
        <v>1002:5|1017:3|1028:2|1030:3</v>
      </c>
      <c r="BB67" s="52" t="str">
        <f>"&lt;color=#FFCB00FF&gt;" &amp; 描述生成($H$3:$AT$3,H67:AT67)&amp;"&lt;/color&gt;;&lt;color=#FFEFAEFF &gt;"&amp; 描述生成($C$3:$G$3,C67:G67) &amp; "&lt;/color&gt;"</f>
        <v>&lt;color=#FFCB00FF&gt;榴弹+5,神威+3,冲锋+2,光线增强+3&lt;/color&gt;;&lt;color=#FFEFAEFF &gt;攻击力+10,先攻+2&lt;/color&gt;</v>
      </c>
    </row>
    <row r="68" spans="1:54" x14ac:dyDescent="0.3">
      <c r="A68" s="67">
        <v>100222</v>
      </c>
      <c r="B68" s="59">
        <f t="shared" si="4"/>
        <v>2</v>
      </c>
      <c r="C68" s="62"/>
      <c r="D68" s="62">
        <v>20</v>
      </c>
      <c r="E68" s="62">
        <v>4</v>
      </c>
      <c r="F68" s="62"/>
      <c r="G68" s="62"/>
      <c r="H68" s="63"/>
      <c r="I68" s="63">
        <v>5</v>
      </c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>
        <v>3</v>
      </c>
      <c r="Y68" s="63"/>
      <c r="Z68" s="63"/>
      <c r="AA68" s="63"/>
      <c r="AB68" s="63"/>
      <c r="AC68" s="63"/>
      <c r="AD68" s="63"/>
      <c r="AE68" s="64"/>
      <c r="AF68" s="64"/>
      <c r="AG68" s="64"/>
      <c r="AH68" s="64">
        <v>2</v>
      </c>
      <c r="AI68" s="64"/>
      <c r="AJ68" s="64">
        <v>3</v>
      </c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V68" s="52">
        <f t="shared" si="1"/>
        <v>6</v>
      </c>
      <c r="AW68" s="52" t="str">
        <f t="shared" ref="AW68:AW78" si="5">"属性" &amp; A68 &amp; "_" &amp;B68</f>
        <v>属性100222_2</v>
      </c>
      <c r="AX68" s="52" t="str">
        <f t="shared" si="2"/>
        <v>melee;speed</v>
      </c>
      <c r="AY68" s="52" t="str">
        <f ca="1">[1]!连接单元格(C68:G68,";")</f>
        <v>20;4</v>
      </c>
      <c r="BA68" s="52" t="str">
        <f t="shared" si="3"/>
        <v>1002:5|1017:3|1028:2|1030:3</v>
      </c>
      <c r="BB68" s="52" t="str">
        <f>"&lt;color=#FFCB00FF&gt;" &amp; 描述生成($H$3:$AT$3,H68:AT68)&amp;"&lt;/color&gt;;&lt;color=#FFEFAEFF &gt;"&amp; 描述生成($C$3:$G$3,C68:G68) &amp; "&lt;/color&gt;"</f>
        <v>&lt;color=#FFCB00FF&gt;榴弹+5,神威+3,冲锋+2,光线增强+3&lt;/color&gt;;&lt;color=#FFEFAEFF &gt;攻击力+20,先攻+4&lt;/color&gt;</v>
      </c>
    </row>
    <row r="69" spans="1:54" x14ac:dyDescent="0.3">
      <c r="A69" s="67">
        <v>100223</v>
      </c>
      <c r="B69" s="59">
        <f t="shared" si="4"/>
        <v>3</v>
      </c>
      <c r="C69" s="62"/>
      <c r="D69" s="62">
        <v>30</v>
      </c>
      <c r="E69" s="62">
        <v>5</v>
      </c>
      <c r="F69" s="62"/>
      <c r="G69" s="62"/>
      <c r="H69" s="63"/>
      <c r="I69" s="63">
        <v>5</v>
      </c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>
        <v>3</v>
      </c>
      <c r="Y69" s="63"/>
      <c r="Z69" s="63"/>
      <c r="AA69" s="63"/>
      <c r="AB69" s="63"/>
      <c r="AC69" s="63"/>
      <c r="AD69" s="63"/>
      <c r="AE69" s="64"/>
      <c r="AF69" s="64"/>
      <c r="AG69" s="64"/>
      <c r="AH69" s="64">
        <v>2</v>
      </c>
      <c r="AI69" s="64"/>
      <c r="AJ69" s="64">
        <v>3</v>
      </c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V69" s="52">
        <f t="shared" ref="AV69:AV78" si="6">COUNTA(C69:AT69)</f>
        <v>6</v>
      </c>
      <c r="AW69" s="52" t="str">
        <f t="shared" si="5"/>
        <v>属性100223_3</v>
      </c>
      <c r="AX69" s="52" t="str">
        <f t="shared" ref="AX69:AX78" si="7">属性统计($C$2:$G$2,C69:G69)</f>
        <v>melee;speed</v>
      </c>
      <c r="AY69" s="52" t="str">
        <f ca="1">[1]!连接单元格(C69:G69,";")</f>
        <v>30;5</v>
      </c>
      <c r="BA69" s="52" t="str">
        <f t="shared" ref="BA69:BA78" si="8">技能点统计($H$2:$AT$2,H69:AT69)</f>
        <v>1002:5|1017:3|1028:2|1030:3</v>
      </c>
      <c r="BB69" s="52" t="str">
        <f>"&lt;color=#FFCB00FF&gt;" &amp; 描述生成($H$3:$AT$3,H69:AT69)&amp;"&lt;/color&gt;;&lt;color=#FFEFAEFF &gt;"&amp; 描述生成($C$3:$G$3,C69:G69) &amp; "&lt;/color&gt;"</f>
        <v>&lt;color=#FFCB00FF&gt;榴弹+5,神威+3,冲锋+2,光线增强+3&lt;/color&gt;;&lt;color=#FFEFAEFF &gt;攻击力+30,先攻+5&lt;/color&gt;</v>
      </c>
    </row>
    <row r="70" spans="1:54" x14ac:dyDescent="0.3">
      <c r="A70" s="67">
        <v>100231</v>
      </c>
      <c r="B70" s="59">
        <f t="shared" si="4"/>
        <v>1</v>
      </c>
      <c r="C70" s="62">
        <v>10</v>
      </c>
      <c r="D70" s="62"/>
      <c r="E70" s="62"/>
      <c r="F70" s="62">
        <v>5</v>
      </c>
      <c r="G70" s="62">
        <v>5</v>
      </c>
      <c r="H70" s="63"/>
      <c r="I70" s="63"/>
      <c r="J70" s="63"/>
      <c r="K70" s="63">
        <v>3</v>
      </c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>
        <v>3</v>
      </c>
      <c r="AC70" s="63"/>
      <c r="AD70" s="63"/>
      <c r="AE70" s="64"/>
      <c r="AF70" s="64"/>
      <c r="AG70" s="64"/>
      <c r="AH70" s="64"/>
      <c r="AI70" s="64"/>
      <c r="AJ70" s="64">
        <v>3</v>
      </c>
      <c r="AK70" s="64"/>
      <c r="AL70" s="64"/>
      <c r="AM70" s="64"/>
      <c r="AN70" s="64"/>
      <c r="AO70" s="64">
        <v>2</v>
      </c>
      <c r="AP70" s="64"/>
      <c r="AQ70" s="64"/>
      <c r="AR70" s="64"/>
      <c r="AS70" s="64"/>
      <c r="AT70" s="64"/>
      <c r="AV70" s="52">
        <f t="shared" si="6"/>
        <v>7</v>
      </c>
      <c r="AW70" s="52" t="str">
        <f t="shared" si="5"/>
        <v>属性100231_1</v>
      </c>
      <c r="AX70" s="52" t="str">
        <f t="shared" si="7"/>
        <v>mhp;reloadSpeed;motorized</v>
      </c>
      <c r="AY70" s="52" t="str">
        <f ca="1">[1]!连接单元格(C70:G70,";")</f>
        <v>10;5;5</v>
      </c>
      <c r="BA70" s="52" t="str">
        <f t="shared" si="8"/>
        <v>1004:3|1021:3|1030:3|1035:2</v>
      </c>
      <c r="BB70" s="52" t="str">
        <f>"&lt;color=#FFCB00FF&gt;" &amp; 描述生成($H$3:$AT$3,H70:AT70)&amp;"&lt;/color&gt;;&lt;color=#FFEFAEFF &gt;"&amp; 描述生成($C$3:$G$3,C70:G70) &amp; "&lt;/color&gt;"</f>
        <v>&lt;color=#FFCB00FF&gt;全弹齐发+3,偏转涂层+3,光线增强+3,生命工程+2&lt;/color&gt;;&lt;color=#FFEFAEFF &gt;生命值+10,填装速度+5,机动+5&lt;/color&gt;</v>
      </c>
    </row>
    <row r="71" spans="1:54" x14ac:dyDescent="0.3">
      <c r="A71" s="67">
        <v>100232</v>
      </c>
      <c r="B71" s="59">
        <f t="shared" si="4"/>
        <v>2</v>
      </c>
      <c r="C71" s="62">
        <v>20</v>
      </c>
      <c r="D71" s="62"/>
      <c r="E71" s="62"/>
      <c r="F71" s="62">
        <v>10</v>
      </c>
      <c r="G71" s="62">
        <v>10</v>
      </c>
      <c r="H71" s="63"/>
      <c r="I71" s="63"/>
      <c r="J71" s="63"/>
      <c r="K71" s="63">
        <v>3</v>
      </c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>
        <v>3</v>
      </c>
      <c r="AC71" s="63"/>
      <c r="AD71" s="63"/>
      <c r="AE71" s="64"/>
      <c r="AF71" s="64"/>
      <c r="AG71" s="64"/>
      <c r="AH71" s="64"/>
      <c r="AI71" s="64"/>
      <c r="AJ71" s="64">
        <v>3</v>
      </c>
      <c r="AK71" s="64"/>
      <c r="AL71" s="64"/>
      <c r="AM71" s="64"/>
      <c r="AN71" s="64"/>
      <c r="AO71" s="64">
        <v>2</v>
      </c>
      <c r="AP71" s="64"/>
      <c r="AQ71" s="64"/>
      <c r="AR71" s="64"/>
      <c r="AS71" s="64"/>
      <c r="AT71" s="64"/>
      <c r="AV71" s="52">
        <f t="shared" si="6"/>
        <v>7</v>
      </c>
      <c r="AW71" s="52" t="str">
        <f t="shared" si="5"/>
        <v>属性100232_2</v>
      </c>
      <c r="AX71" s="52" t="str">
        <f t="shared" si="7"/>
        <v>mhp;reloadSpeed;motorized</v>
      </c>
      <c r="AY71" s="52" t="str">
        <f ca="1">[1]!连接单元格(C71:G71,";")</f>
        <v>20;10;10</v>
      </c>
      <c r="BA71" s="52" t="str">
        <f t="shared" si="8"/>
        <v>1004:3|1021:3|1030:3|1035:2</v>
      </c>
      <c r="BB71" s="52" t="str">
        <f>"&lt;color=#FFCB00FF&gt;" &amp; 描述生成($H$3:$AT$3,H71:AT71)&amp;"&lt;/color&gt;;&lt;color=#FFEFAEFF &gt;"&amp; 描述生成($C$3:$G$3,C71:G71) &amp; "&lt;/color&gt;"</f>
        <v>&lt;color=#FFCB00FF&gt;全弹齐发+3,偏转涂层+3,光线增强+3,生命工程+2&lt;/color&gt;;&lt;color=#FFEFAEFF &gt;生命值+20,填装速度+10,机动+10&lt;/color&gt;</v>
      </c>
    </row>
    <row r="72" spans="1:54" x14ac:dyDescent="0.3">
      <c r="A72" s="67">
        <v>100233</v>
      </c>
      <c r="B72" s="59">
        <f t="shared" ref="B72:B78" si="9">B69</f>
        <v>3</v>
      </c>
      <c r="C72" s="62">
        <v>30</v>
      </c>
      <c r="D72" s="62"/>
      <c r="E72" s="62"/>
      <c r="F72" s="62">
        <v>15</v>
      </c>
      <c r="G72" s="62">
        <v>15</v>
      </c>
      <c r="H72" s="63"/>
      <c r="I72" s="63"/>
      <c r="J72" s="63"/>
      <c r="K72" s="63">
        <v>3</v>
      </c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>
        <v>3</v>
      </c>
      <c r="AC72" s="63"/>
      <c r="AD72" s="63"/>
      <c r="AE72" s="64"/>
      <c r="AF72" s="64"/>
      <c r="AG72" s="64"/>
      <c r="AH72" s="64"/>
      <c r="AI72" s="64"/>
      <c r="AJ72" s="64">
        <v>3</v>
      </c>
      <c r="AK72" s="64"/>
      <c r="AL72" s="64"/>
      <c r="AM72" s="64"/>
      <c r="AN72" s="64"/>
      <c r="AO72" s="64">
        <v>2</v>
      </c>
      <c r="AP72" s="64"/>
      <c r="AQ72" s="64"/>
      <c r="AR72" s="64"/>
      <c r="AS72" s="64"/>
      <c r="AT72" s="64"/>
      <c r="AV72" s="52">
        <f t="shared" si="6"/>
        <v>7</v>
      </c>
      <c r="AW72" s="52" t="str">
        <f t="shared" si="5"/>
        <v>属性100233_3</v>
      </c>
      <c r="AX72" s="52" t="str">
        <f t="shared" si="7"/>
        <v>mhp;reloadSpeed;motorized</v>
      </c>
      <c r="AY72" s="52" t="str">
        <f ca="1">[1]!连接单元格(C72:G72,";")</f>
        <v>30;15;15</v>
      </c>
      <c r="BA72" s="52" t="str">
        <f t="shared" si="8"/>
        <v>1004:3|1021:3|1030:3|1035:2</v>
      </c>
      <c r="BB72" s="52" t="str">
        <f>"&lt;color=#FFCB00FF&gt;" &amp; 描述生成($H$3:$AT$3,H72:AT72)&amp;"&lt;/color&gt;;&lt;color=#FFEFAEFF &gt;"&amp; 描述生成($C$3:$G$3,C72:G72) &amp; "&lt;/color&gt;"</f>
        <v>&lt;color=#FFCB00FF&gt;全弹齐发+3,偏转涂层+3,光线增强+3,生命工程+2&lt;/color&gt;;&lt;color=#FFEFAEFF &gt;生命值+30,填装速度+15,机动+15&lt;/color&gt;</v>
      </c>
    </row>
    <row r="73" spans="1:54" x14ac:dyDescent="0.3">
      <c r="A73" s="68">
        <v>100241</v>
      </c>
      <c r="B73" s="59">
        <f t="shared" si="9"/>
        <v>1</v>
      </c>
      <c r="C73" s="62">
        <v>10</v>
      </c>
      <c r="D73" s="62">
        <v>7</v>
      </c>
      <c r="E73" s="62"/>
      <c r="F73" s="62"/>
      <c r="G73" s="62">
        <v>5</v>
      </c>
      <c r="H73" s="63"/>
      <c r="I73" s="63"/>
      <c r="J73" s="63"/>
      <c r="K73" s="63"/>
      <c r="L73" s="63"/>
      <c r="M73" s="63"/>
      <c r="N73" s="63"/>
      <c r="O73" s="63"/>
      <c r="P73" s="63"/>
      <c r="Q73" s="63">
        <v>3</v>
      </c>
      <c r="R73" s="63">
        <v>5</v>
      </c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>
        <v>3</v>
      </c>
      <c r="AE73" s="64"/>
      <c r="AF73" s="64"/>
      <c r="AG73" s="64"/>
      <c r="AH73" s="64"/>
      <c r="AI73" s="64"/>
      <c r="AJ73" s="64"/>
      <c r="AK73" s="64">
        <v>3</v>
      </c>
      <c r="AL73" s="64"/>
      <c r="AM73" s="64"/>
      <c r="AN73" s="64"/>
      <c r="AO73" s="64"/>
      <c r="AP73" s="64"/>
      <c r="AQ73" s="64"/>
      <c r="AR73" s="64"/>
      <c r="AS73" s="64"/>
      <c r="AT73" s="64">
        <v>2</v>
      </c>
      <c r="AV73" s="52">
        <f t="shared" si="6"/>
        <v>8</v>
      </c>
      <c r="AW73" s="52" t="str">
        <f t="shared" si="5"/>
        <v>属性100241_1</v>
      </c>
      <c r="AX73" s="52" t="str">
        <f t="shared" si="7"/>
        <v>mhp;melee;motorized</v>
      </c>
      <c r="AY73" s="52" t="str">
        <f ca="1">[1]!连接单元格(C73:G73,";")</f>
        <v>10;7;5</v>
      </c>
      <c r="BA73" s="52" t="str">
        <f t="shared" si="8"/>
        <v>1010:3|1011:5|1023:3|1031:3|1040:2</v>
      </c>
      <c r="BB73" s="52" t="str">
        <f>"&lt;color=#FFCB00FF&gt;" &amp; 描述生成($H$3:$AT$3,H73:AT73)&amp;"&lt;/color&gt;;&lt;color=#FFEFAEFF &gt;"&amp; 描述生成($C$3:$G$3,C73:G73) &amp; "&lt;/color&gt;"</f>
        <v>&lt;color=#FFCB00FF&gt;奴役+3,催眠+5,急速填装+3,斩杀+3,晕眩攻击+2&lt;/color&gt;;&lt;color=#FFEFAEFF &gt;生命值+10,攻击力+7,机动+5&lt;/color&gt;</v>
      </c>
    </row>
    <row r="74" spans="1:54" x14ac:dyDescent="0.3">
      <c r="A74" s="67">
        <v>100242</v>
      </c>
      <c r="B74" s="59">
        <f t="shared" si="9"/>
        <v>2</v>
      </c>
      <c r="C74" s="62">
        <v>20</v>
      </c>
      <c r="D74" s="62">
        <v>15</v>
      </c>
      <c r="E74" s="62"/>
      <c r="F74" s="62"/>
      <c r="G74" s="62">
        <v>10</v>
      </c>
      <c r="H74" s="63"/>
      <c r="I74" s="63"/>
      <c r="J74" s="63"/>
      <c r="K74" s="63"/>
      <c r="L74" s="63"/>
      <c r="M74" s="63"/>
      <c r="N74" s="63"/>
      <c r="O74" s="63"/>
      <c r="P74" s="63"/>
      <c r="Q74" s="63">
        <v>3</v>
      </c>
      <c r="R74" s="63">
        <v>5</v>
      </c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>
        <v>3</v>
      </c>
      <c r="AE74" s="64"/>
      <c r="AF74" s="64"/>
      <c r="AG74" s="64"/>
      <c r="AH74" s="64"/>
      <c r="AI74" s="64"/>
      <c r="AJ74" s="64"/>
      <c r="AK74" s="64">
        <v>3</v>
      </c>
      <c r="AL74" s="64"/>
      <c r="AM74" s="64"/>
      <c r="AN74" s="64"/>
      <c r="AO74" s="64"/>
      <c r="AP74" s="64"/>
      <c r="AQ74" s="64"/>
      <c r="AR74" s="64"/>
      <c r="AS74" s="64"/>
      <c r="AT74" s="64">
        <v>2</v>
      </c>
      <c r="AV74" s="52">
        <f t="shared" si="6"/>
        <v>8</v>
      </c>
      <c r="AW74" s="52" t="str">
        <f t="shared" si="5"/>
        <v>属性100242_2</v>
      </c>
      <c r="AX74" s="52" t="str">
        <f t="shared" si="7"/>
        <v>mhp;melee;motorized</v>
      </c>
      <c r="AY74" s="52" t="str">
        <f ca="1">[1]!连接单元格(C74:G74,";")</f>
        <v>20;15;10</v>
      </c>
      <c r="BA74" s="52" t="str">
        <f t="shared" si="8"/>
        <v>1010:3|1011:5|1023:3|1031:3|1040:2</v>
      </c>
      <c r="BB74" s="52" t="str">
        <f>"&lt;color=#FFCB00FF&gt;" &amp; 描述生成($H$3:$AT$3,H74:AT74)&amp;"&lt;/color&gt;;&lt;color=#FFEFAEFF &gt;"&amp; 描述生成($C$3:$G$3,C74:G74) &amp; "&lt;/color&gt;"</f>
        <v>&lt;color=#FFCB00FF&gt;奴役+3,催眠+5,急速填装+3,斩杀+3,晕眩攻击+2&lt;/color&gt;;&lt;color=#FFEFAEFF &gt;生命值+20,攻击力+15,机动+10&lt;/color&gt;</v>
      </c>
    </row>
    <row r="75" spans="1:54" x14ac:dyDescent="0.3">
      <c r="A75" s="67">
        <v>100243</v>
      </c>
      <c r="B75" s="59">
        <f t="shared" si="9"/>
        <v>3</v>
      </c>
      <c r="C75" s="62">
        <v>30</v>
      </c>
      <c r="D75" s="62">
        <v>20</v>
      </c>
      <c r="E75" s="62"/>
      <c r="F75" s="62"/>
      <c r="G75" s="62">
        <v>15</v>
      </c>
      <c r="H75" s="63"/>
      <c r="I75" s="63"/>
      <c r="J75" s="63"/>
      <c r="K75" s="63"/>
      <c r="L75" s="63"/>
      <c r="M75" s="63"/>
      <c r="N75" s="63"/>
      <c r="O75" s="63"/>
      <c r="P75" s="63"/>
      <c r="Q75" s="63">
        <v>3</v>
      </c>
      <c r="R75" s="63">
        <v>5</v>
      </c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>
        <v>3</v>
      </c>
      <c r="AE75" s="64"/>
      <c r="AF75" s="64"/>
      <c r="AG75" s="64"/>
      <c r="AH75" s="64"/>
      <c r="AI75" s="64"/>
      <c r="AJ75" s="64"/>
      <c r="AK75" s="64">
        <v>3</v>
      </c>
      <c r="AL75" s="64"/>
      <c r="AM75" s="64"/>
      <c r="AN75" s="64"/>
      <c r="AO75" s="64"/>
      <c r="AP75" s="64"/>
      <c r="AQ75" s="64"/>
      <c r="AR75" s="64"/>
      <c r="AS75" s="64"/>
      <c r="AT75" s="64">
        <v>2</v>
      </c>
      <c r="AV75" s="52">
        <f t="shared" si="6"/>
        <v>8</v>
      </c>
      <c r="AW75" s="52" t="str">
        <f t="shared" si="5"/>
        <v>属性100243_3</v>
      </c>
      <c r="AX75" s="52" t="str">
        <f t="shared" si="7"/>
        <v>mhp;melee;motorized</v>
      </c>
      <c r="AY75" s="52" t="str">
        <f ca="1">[1]!连接单元格(C75:G75,";")</f>
        <v>30;20;15</v>
      </c>
      <c r="BA75" s="52" t="str">
        <f t="shared" si="8"/>
        <v>1010:3|1011:5|1023:3|1031:3|1040:2</v>
      </c>
      <c r="BB75" s="52" t="str">
        <f>"&lt;color=#FFCB00FF&gt;" &amp; 描述生成($H$3:$AT$3,H75:AT75)&amp;"&lt;/color&gt;;&lt;color=#FFEFAEFF &gt;"&amp; 描述生成($C$3:$G$3,C75:G75) &amp; "&lt;/color&gt;"</f>
        <v>&lt;color=#FFCB00FF&gt;奴役+3,催眠+5,急速填装+3,斩杀+3,晕眩攻击+2&lt;/color&gt;;&lt;color=#FFEFAEFF &gt;生命值+30,攻击力+20,机动+15&lt;/color&gt;</v>
      </c>
    </row>
    <row r="76" spans="1:54" x14ac:dyDescent="0.3">
      <c r="A76" s="71">
        <v>100251</v>
      </c>
      <c r="B76" s="59">
        <f t="shared" si="9"/>
        <v>1</v>
      </c>
      <c r="C76" s="62">
        <v>10</v>
      </c>
      <c r="D76" s="62">
        <v>7</v>
      </c>
      <c r="E76" s="62"/>
      <c r="F76" s="62">
        <v>5</v>
      </c>
      <c r="G76" s="62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>
        <v>3</v>
      </c>
      <c r="T76" s="63">
        <v>3</v>
      </c>
      <c r="U76" s="63"/>
      <c r="V76" s="63"/>
      <c r="W76" s="63"/>
      <c r="X76" s="63"/>
      <c r="Y76" s="63"/>
      <c r="Z76" s="63"/>
      <c r="AA76" s="63"/>
      <c r="AB76" s="63"/>
      <c r="AC76" s="63">
        <v>3</v>
      </c>
      <c r="AD76" s="63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>
        <v>2</v>
      </c>
      <c r="AQ76" s="64"/>
      <c r="AR76" s="64"/>
      <c r="AS76" s="64">
        <v>3</v>
      </c>
      <c r="AT76" s="64"/>
      <c r="AV76" s="52">
        <f t="shared" si="6"/>
        <v>8</v>
      </c>
      <c r="AW76" s="52" t="str">
        <f t="shared" si="5"/>
        <v>属性100251_1</v>
      </c>
      <c r="AX76" s="52" t="str">
        <f t="shared" si="7"/>
        <v>mhp;melee;reloadSpeed</v>
      </c>
      <c r="AY76" s="52" t="str">
        <f ca="1">[1]!连接单元格(C76:G76,";")</f>
        <v>10;7;5</v>
      </c>
      <c r="BA76" s="52" t="str">
        <f t="shared" si="8"/>
        <v>1012:3|1013:3|1022:3|1036:2|1039:3</v>
      </c>
      <c r="BB76" s="52" t="str">
        <f>"&lt;color=#FFCB00FF&gt;" &amp; 描述生成($H$3:$AT$3,H76:AT76)&amp;"&lt;/color&gt;;&lt;color=#FFEFAEFF &gt;"&amp; 描述生成($C$3:$G$3,C76:G76) &amp; "&lt;/color&gt;"</f>
        <v>&lt;color=#FFCB00FF&gt;沉默+3,镜花水月+3,伤痛记忆+3,热力追踪+2,灵魂修复+3&lt;/color&gt;;&lt;color=#FFEFAEFF &gt;生命值+10,攻击力+7,填装速度+5&lt;/color&gt;</v>
      </c>
    </row>
    <row r="77" spans="1:54" x14ac:dyDescent="0.3">
      <c r="A77" s="67">
        <v>100252</v>
      </c>
      <c r="B77" s="59">
        <f t="shared" si="9"/>
        <v>2</v>
      </c>
      <c r="C77" s="62">
        <v>20</v>
      </c>
      <c r="D77" s="62">
        <v>15</v>
      </c>
      <c r="E77" s="62"/>
      <c r="F77" s="62">
        <v>10</v>
      </c>
      <c r="G77" s="62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>
        <v>3</v>
      </c>
      <c r="T77" s="63">
        <v>3</v>
      </c>
      <c r="U77" s="63"/>
      <c r="V77" s="63"/>
      <c r="W77" s="63"/>
      <c r="X77" s="63"/>
      <c r="Y77" s="63"/>
      <c r="Z77" s="63"/>
      <c r="AA77" s="63"/>
      <c r="AB77" s="63"/>
      <c r="AC77" s="63">
        <v>3</v>
      </c>
      <c r="AD77" s="63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>
        <v>2</v>
      </c>
      <c r="AQ77" s="64"/>
      <c r="AR77" s="64"/>
      <c r="AS77" s="64">
        <v>3</v>
      </c>
      <c r="AT77" s="64"/>
      <c r="AV77" s="52">
        <f t="shared" si="6"/>
        <v>8</v>
      </c>
      <c r="AW77" s="52" t="str">
        <f t="shared" si="5"/>
        <v>属性100252_2</v>
      </c>
      <c r="AX77" s="52" t="str">
        <f t="shared" si="7"/>
        <v>mhp;melee;reloadSpeed</v>
      </c>
      <c r="AY77" s="52" t="str">
        <f ca="1">[1]!连接单元格(C77:G77,";")</f>
        <v>20;15;10</v>
      </c>
      <c r="BA77" s="52" t="str">
        <f t="shared" si="8"/>
        <v>1012:3|1013:3|1022:3|1036:2|1039:3</v>
      </c>
      <c r="BB77" s="52" t="str">
        <f>"&lt;color=#FFCB00FF&gt;" &amp; 描述生成($H$3:$AT$3,H77:AT77)&amp;"&lt;/color&gt;;&lt;color=#FFEFAEFF &gt;"&amp; 描述生成($C$3:$G$3,C77:G77) &amp; "&lt;/color&gt;"</f>
        <v>&lt;color=#FFCB00FF&gt;沉默+3,镜花水月+3,伤痛记忆+3,热力追踪+2,灵魂修复+3&lt;/color&gt;;&lt;color=#FFEFAEFF &gt;生命值+20,攻击力+15,填装速度+10&lt;/color&gt;</v>
      </c>
    </row>
    <row r="78" spans="1:54" x14ac:dyDescent="0.3">
      <c r="A78" s="67">
        <v>100253</v>
      </c>
      <c r="B78" s="59">
        <f t="shared" si="9"/>
        <v>3</v>
      </c>
      <c r="C78" s="62">
        <v>30</v>
      </c>
      <c r="D78" s="62">
        <v>20</v>
      </c>
      <c r="E78" s="62"/>
      <c r="F78" s="62">
        <v>15</v>
      </c>
      <c r="G78" s="62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>
        <v>3</v>
      </c>
      <c r="T78" s="63">
        <v>3</v>
      </c>
      <c r="U78" s="63"/>
      <c r="V78" s="63"/>
      <c r="W78" s="63"/>
      <c r="X78" s="63"/>
      <c r="Y78" s="63"/>
      <c r="Z78" s="63"/>
      <c r="AA78" s="63"/>
      <c r="AB78" s="63"/>
      <c r="AC78" s="63">
        <v>3</v>
      </c>
      <c r="AD78" s="63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>
        <v>2</v>
      </c>
      <c r="AQ78" s="64"/>
      <c r="AR78" s="64"/>
      <c r="AS78" s="64">
        <v>3</v>
      </c>
      <c r="AT78" s="64"/>
      <c r="AV78" s="52">
        <f t="shared" si="6"/>
        <v>8</v>
      </c>
      <c r="AW78" s="52" t="str">
        <f t="shared" si="5"/>
        <v>属性100253_3</v>
      </c>
      <c r="AX78" s="52" t="str">
        <f t="shared" si="7"/>
        <v>mhp;melee;reloadSpeed</v>
      </c>
      <c r="AY78" s="52" t="str">
        <f ca="1">[1]!连接单元格(C78:G78,";")</f>
        <v>30;20;15</v>
      </c>
      <c r="BA78" s="52" t="str">
        <f t="shared" si="8"/>
        <v>1012:3|1013:3|1022:3|1036:2|1039:3</v>
      </c>
      <c r="BB78" s="52" t="str">
        <f>"&lt;color=#FFCB00FF&gt;" &amp; 描述生成($H$3:$AT$3,H78:AT78)&amp;"&lt;/color&gt;;&lt;color=#FFEFAEFF &gt;"&amp; 描述生成($C$3:$G$3,C78:G78) &amp; "&lt;/color&gt;"</f>
        <v>&lt;color=#FFCB00FF&gt;沉默+3,镜花水月+3,伤痛记忆+3,热力追踪+2,灵魂修复+3&lt;/color&gt;;&lt;color=#FFEFAEFF &gt;生命值+30,攻击力+20,填装速度+15&lt;/color&gt;</v>
      </c>
    </row>
  </sheetData>
  <mergeCells count="2">
    <mergeCell ref="C1:G1"/>
    <mergeCell ref="H1:AT1"/>
  </mergeCells>
  <phoneticPr fontId="1" type="noConversion"/>
  <conditionalFormatting sqref="A4">
    <cfRule type="duplicateValues" dxfId="3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芯片</vt:lpstr>
      <vt:lpstr>芯片盘</vt:lpstr>
      <vt:lpstr>枚举</vt:lpstr>
      <vt:lpstr>形状描述</vt:lpstr>
      <vt:lpstr>芯片盘矩阵</vt:lpstr>
      <vt:lpstr>芯片数值计算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2017-12-22T03:45:10Z</dcterms:modified>
</cp:coreProperties>
</file>