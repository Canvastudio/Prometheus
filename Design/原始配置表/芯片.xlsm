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filterPrivacy="1" codeName="ThisWorkbook1" defaultThemeVersion="124226"/>
  <bookViews>
    <workbookView xWindow="240" yWindow="105" windowWidth="14805" windowHeight="8010" activeTab="5"/>
  </bookViews>
  <sheets>
    <sheet name="芯片盘" sheetId="4" r:id="rId1"/>
    <sheet name="芯片" sheetId="1" r:id="rId2"/>
    <sheet name="枚举" sheetId="5" r:id="rId3"/>
    <sheet name="形状描述" sheetId="3" r:id="rId4"/>
    <sheet name="芯片盘矩阵" sheetId="6" r:id="rId5"/>
    <sheet name="芯片数值计算" sheetId="7" r:id="rId6"/>
  </sheets>
  <functionGroups builtInGroupCount="19"/>
  <externalReferences>
    <externalReference r:id="rId7"/>
  </externalReferences>
  <definedNames>
    <definedName name="_xlnm._FilterDatabase" localSheetId="0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S5" i="1" l="1"/>
  <c r="S16" i="1" s="1"/>
  <c r="S6" i="1"/>
  <c r="S17" i="1" s="1"/>
  <c r="S7" i="1"/>
  <c r="S18" i="1" s="1"/>
  <c r="S8" i="1"/>
  <c r="S19" i="1" s="1"/>
  <c r="S9" i="1"/>
  <c r="S20" i="1" s="1"/>
  <c r="S10" i="1"/>
  <c r="S21" i="1" s="1"/>
  <c r="S11" i="1"/>
  <c r="S22" i="1" s="1"/>
  <c r="S12" i="1"/>
  <c r="S23" i="1" s="1"/>
  <c r="S13" i="1"/>
  <c r="S24" i="1" s="1"/>
  <c r="S14" i="1"/>
  <c r="S25" i="1" s="1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U20" i="7"/>
  <c r="AV20" i="7"/>
  <c r="AW20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U21" i="7"/>
  <c r="AV21" i="7"/>
  <c r="AW21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U22" i="7"/>
  <c r="AV22" i="7"/>
  <c r="AW22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W23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U24" i="7"/>
  <c r="AV24" i="7"/>
  <c r="AW24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U25" i="7"/>
  <c r="AV25" i="7"/>
  <c r="AW25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K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F15" i="7"/>
  <c r="G15" i="7"/>
  <c r="H15" i="7"/>
  <c r="I15" i="7"/>
  <c r="E15" i="7"/>
  <c r="A15" i="7"/>
  <c r="A5" i="7"/>
  <c r="A16" i="7" s="1"/>
  <c r="BA5" i="7"/>
  <c r="BA9" i="7"/>
  <c r="BA13" i="7"/>
  <c r="BA17" i="7"/>
  <c r="BA21" i="7"/>
  <c r="BA25" i="7"/>
  <c r="BA29" i="7"/>
  <c r="BA33" i="7"/>
  <c r="BA37" i="7"/>
  <c r="BA41" i="7"/>
  <c r="BA45" i="7"/>
  <c r="BA49" i="7"/>
  <c r="BA53" i="7"/>
  <c r="BA57" i="7"/>
  <c r="BA61" i="7"/>
  <c r="BA65" i="7"/>
  <c r="BA69" i="7"/>
  <c r="BA58" i="7"/>
  <c r="BA74" i="7"/>
  <c r="BA6" i="7"/>
  <c r="BA10" i="7"/>
  <c r="BA14" i="7"/>
  <c r="BA18" i="7"/>
  <c r="BA22" i="7"/>
  <c r="BA26" i="7"/>
  <c r="BA30" i="7"/>
  <c r="BA34" i="7"/>
  <c r="BA38" i="7"/>
  <c r="BA42" i="7"/>
  <c r="BA46" i="7"/>
  <c r="BA50" i="7"/>
  <c r="BA54" i="7"/>
  <c r="BA66" i="7"/>
  <c r="BA78" i="7"/>
  <c r="BA7" i="7"/>
  <c r="BA11" i="7"/>
  <c r="BA15" i="7"/>
  <c r="BA19" i="7"/>
  <c r="BA23" i="7"/>
  <c r="BA27" i="7"/>
  <c r="BA31" i="7"/>
  <c r="BA35" i="7"/>
  <c r="BA39" i="7"/>
  <c r="BA43" i="7"/>
  <c r="BA47" i="7"/>
  <c r="BA51" i="7"/>
  <c r="BA55" i="7"/>
  <c r="BA59" i="7"/>
  <c r="BA63" i="7"/>
  <c r="BA67" i="7"/>
  <c r="BA71" i="7"/>
  <c r="BA75" i="7"/>
  <c r="BA8" i="7"/>
  <c r="BA12" i="7"/>
  <c r="BA16" i="7"/>
  <c r="BA20" i="7"/>
  <c r="BA24" i="7"/>
  <c r="BA28" i="7"/>
  <c r="BA32" i="7"/>
  <c r="BA36" i="7"/>
  <c r="BA40" i="7"/>
  <c r="BA44" i="7"/>
  <c r="BA48" i="7"/>
  <c r="BA52" i="7"/>
  <c r="BA56" i="7"/>
  <c r="BA60" i="7"/>
  <c r="BA64" i="7"/>
  <c r="BA68" i="7"/>
  <c r="BA72" i="7"/>
  <c r="BA76" i="7"/>
  <c r="BA73" i="7"/>
  <c r="BA77" i="7"/>
  <c r="BA62" i="7"/>
  <c r="BA70" i="7"/>
  <c r="BE21" i="7"/>
  <c r="BE58" i="7"/>
  <c r="BE70" i="7"/>
  <c r="BE67" i="7"/>
  <c r="BE60" i="7"/>
  <c r="BE61" i="7"/>
  <c r="BE43" i="7"/>
  <c r="BE33" i="7"/>
  <c r="BE31" i="7"/>
  <c r="BE9" i="7"/>
  <c r="BE73" i="7"/>
  <c r="BE46" i="7"/>
  <c r="BE55" i="7"/>
  <c r="BE48" i="7"/>
  <c r="BE77" i="7"/>
  <c r="BE59" i="7"/>
  <c r="BE49" i="7"/>
  <c r="BE15" i="7"/>
  <c r="BE72" i="7"/>
  <c r="BE5" i="7"/>
  <c r="BE42" i="7"/>
  <c r="BE44" i="7"/>
  <c r="BE11" i="7"/>
  <c r="BE62" i="7"/>
  <c r="BE30" i="7"/>
  <c r="BE32" i="7"/>
  <c r="BE27" i="7"/>
  <c r="BE38" i="7"/>
  <c r="BE40" i="7"/>
  <c r="BE37" i="7"/>
  <c r="BE10" i="7"/>
  <c r="BE19" i="7"/>
  <c r="BE12" i="7"/>
  <c r="BE76" i="7"/>
  <c r="BE74" i="7"/>
  <c r="BE75" i="7"/>
  <c r="BE50" i="7"/>
  <c r="BE63" i="7"/>
  <c r="BE25" i="7"/>
  <c r="BE66" i="7"/>
  <c r="BE7" i="7"/>
  <c r="BE71" i="7"/>
  <c r="BE64" i="7"/>
  <c r="BE18" i="7"/>
  <c r="BE20" i="7"/>
  <c r="BE65" i="7"/>
  <c r="BE47" i="7"/>
  <c r="BA4" i="7"/>
  <c r="BE53" i="7"/>
  <c r="BE26" i="7"/>
  <c r="BE35" i="7"/>
  <c r="BE28" i="7"/>
  <c r="BE29" i="7"/>
  <c r="BE34" i="7"/>
  <c r="BE36" i="7"/>
  <c r="BE22" i="7"/>
  <c r="BE24" i="7"/>
  <c r="BE41" i="7"/>
  <c r="BE14" i="7"/>
  <c r="BE23" i="7"/>
  <c r="BE16" i="7"/>
  <c r="BE78" i="7"/>
  <c r="BE54" i="7"/>
  <c r="BE52" i="7"/>
  <c r="BE6" i="7"/>
  <c r="BE8" i="7"/>
  <c r="BE69" i="7"/>
  <c r="BE51" i="7"/>
  <c r="BE45" i="7"/>
  <c r="BE68" i="7"/>
  <c r="BE56" i="7"/>
  <c r="BE57" i="7"/>
  <c r="BE39" i="7"/>
  <c r="BE13" i="7"/>
  <c r="BE17" i="7"/>
  <c r="A6" i="7" l="1"/>
  <c r="AY78" i="7"/>
  <c r="AY77" i="7"/>
  <c r="AY76" i="7"/>
  <c r="AY75" i="7"/>
  <c r="AY74" i="7"/>
  <c r="AY73" i="7"/>
  <c r="AY72" i="7"/>
  <c r="AY71" i="7"/>
  <c r="AY70" i="7"/>
  <c r="AY69" i="7"/>
  <c r="AY68" i="7"/>
  <c r="AY67" i="7"/>
  <c r="AY66" i="7"/>
  <c r="AY65" i="7"/>
  <c r="AY64" i="7"/>
  <c r="AY63" i="7"/>
  <c r="AY62" i="7"/>
  <c r="AY61" i="7"/>
  <c r="AY60" i="7"/>
  <c r="AY59" i="7"/>
  <c r="AY58" i="7"/>
  <c r="AY57" i="7"/>
  <c r="AY56" i="7"/>
  <c r="AY55" i="7"/>
  <c r="AY54" i="7"/>
  <c r="AY53" i="7"/>
  <c r="AY52" i="7"/>
  <c r="AY51" i="7"/>
  <c r="AY50" i="7"/>
  <c r="AY49" i="7"/>
  <c r="AY48" i="7"/>
  <c r="AY47" i="7"/>
  <c r="AY46" i="7"/>
  <c r="AY45" i="7"/>
  <c r="AY44" i="7"/>
  <c r="AY43" i="7"/>
  <c r="AY42" i="7"/>
  <c r="AY41" i="7"/>
  <c r="AY40" i="7"/>
  <c r="AY39" i="7"/>
  <c r="AY38" i="7"/>
  <c r="AY37" i="7"/>
  <c r="AY36" i="7"/>
  <c r="AY35" i="7"/>
  <c r="AY34" i="7"/>
  <c r="AY33" i="7"/>
  <c r="AY32" i="7"/>
  <c r="AY31" i="7"/>
  <c r="AY30" i="7"/>
  <c r="AY29" i="7"/>
  <c r="AY28" i="7"/>
  <c r="AY27" i="7"/>
  <c r="AY26" i="7"/>
  <c r="AY25" i="7"/>
  <c r="AY24" i="7"/>
  <c r="AY23" i="7"/>
  <c r="AY22" i="7"/>
  <c r="AY21" i="7"/>
  <c r="AY20" i="7"/>
  <c r="AY19" i="7"/>
  <c r="AY18" i="7"/>
  <c r="AY17" i="7"/>
  <c r="AY16" i="7"/>
  <c r="AY15" i="7"/>
  <c r="AY14" i="7"/>
  <c r="AY13" i="7"/>
  <c r="AY12" i="7"/>
  <c r="AY11" i="7"/>
  <c r="AY10" i="7"/>
  <c r="AY9" i="7"/>
  <c r="AY8" i="7"/>
  <c r="AY7" i="7"/>
  <c r="AZ6" i="7"/>
  <c r="AY6" i="7"/>
  <c r="AZ5" i="7"/>
  <c r="AY5" i="7"/>
  <c r="AZ4" i="7"/>
  <c r="AY4" i="7"/>
  <c r="BB6" i="7"/>
  <c r="BD65" i="7"/>
  <c r="BB8" i="7"/>
  <c r="BD61" i="7"/>
  <c r="BB44" i="7"/>
  <c r="BD29" i="7"/>
  <c r="BD56" i="7"/>
  <c r="D24" i="1"/>
  <c r="BB26" i="7"/>
  <c r="BB45" i="7"/>
  <c r="BD45" i="7"/>
  <c r="BD40" i="7"/>
  <c r="BB64" i="7"/>
  <c r="BB31" i="7"/>
  <c r="BD60" i="7"/>
  <c r="BD48" i="7"/>
  <c r="BB41" i="7"/>
  <c r="BB72" i="7"/>
  <c r="BD44" i="7"/>
  <c r="BB71" i="7"/>
  <c r="BD23" i="7"/>
  <c r="BB39" i="7"/>
  <c r="BB24" i="7"/>
  <c r="BD68" i="7"/>
  <c r="BD24" i="7"/>
  <c r="BD7" i="7"/>
  <c r="BD51" i="7"/>
  <c r="BB52" i="7"/>
  <c r="BB75" i="7"/>
  <c r="BD26" i="7"/>
  <c r="D12" i="1"/>
  <c r="BD74" i="7"/>
  <c r="BD31" i="7"/>
  <c r="D6" i="1"/>
  <c r="BD49" i="7"/>
  <c r="BB36" i="7"/>
  <c r="BD9" i="7"/>
  <c r="BD46" i="7"/>
  <c r="BB37" i="7"/>
  <c r="BB33" i="7"/>
  <c r="BB46" i="7"/>
  <c r="D8" i="1"/>
  <c r="BD50" i="7"/>
  <c r="BD15" i="7"/>
  <c r="BB13" i="7"/>
  <c r="BD4" i="7"/>
  <c r="BB7" i="7"/>
  <c r="BD70" i="7"/>
  <c r="BD10" i="7"/>
  <c r="BD11" i="7"/>
  <c r="BB30" i="7"/>
  <c r="BB47" i="7"/>
  <c r="BB14" i="7"/>
  <c r="BB63" i="7"/>
  <c r="BB25" i="7"/>
  <c r="BD62" i="7"/>
  <c r="BD21" i="7"/>
  <c r="BD19" i="7"/>
  <c r="BB18" i="7"/>
  <c r="BB21" i="7"/>
  <c r="BB15" i="7"/>
  <c r="BB10" i="7"/>
  <c r="BD32" i="7"/>
  <c r="BB9" i="7"/>
  <c r="BD37" i="7"/>
  <c r="BD75" i="7"/>
  <c r="BB77" i="7"/>
  <c r="D22" i="1"/>
  <c r="BD18" i="7"/>
  <c r="BD53" i="7"/>
  <c r="BB5" i="7"/>
  <c r="BD6" i="7"/>
  <c r="BD30" i="7"/>
  <c r="BB12" i="7"/>
  <c r="BB58" i="7"/>
  <c r="BD13" i="7"/>
  <c r="BD42" i="7"/>
  <c r="BD25" i="7"/>
  <c r="BB57" i="7"/>
  <c r="BD28" i="7"/>
  <c r="BB28" i="7"/>
  <c r="BD35" i="7"/>
  <c r="D18" i="1"/>
  <c r="BB66" i="7"/>
  <c r="BB49" i="7"/>
  <c r="BB16" i="7"/>
  <c r="BD41" i="7"/>
  <c r="BD36" i="7"/>
  <c r="D14" i="1"/>
  <c r="BB61" i="7"/>
  <c r="D11" i="1"/>
  <c r="BD20" i="7"/>
  <c r="BD14" i="7"/>
  <c r="D7" i="1"/>
  <c r="BB60" i="7"/>
  <c r="BB29" i="7"/>
  <c r="BB27" i="7"/>
  <c r="BD69" i="7"/>
  <c r="BB53" i="7"/>
  <c r="BD8" i="7"/>
  <c r="BD77" i="7"/>
  <c r="BD67" i="7"/>
  <c r="BB11" i="7"/>
  <c r="BB19" i="7"/>
  <c r="D19" i="1"/>
  <c r="D5" i="1"/>
  <c r="BD54" i="7"/>
  <c r="BD76" i="7"/>
  <c r="BD64" i="7"/>
  <c r="D13" i="1"/>
  <c r="BB20" i="7"/>
  <c r="BB65" i="7"/>
  <c r="D17" i="1"/>
  <c r="BD71" i="7"/>
  <c r="BD43" i="7"/>
  <c r="BB22" i="7"/>
  <c r="BB38" i="7"/>
  <c r="BB50" i="7"/>
  <c r="BB43" i="7"/>
  <c r="BD78" i="7"/>
  <c r="D20" i="1"/>
  <c r="BD17" i="7"/>
  <c r="BB17" i="7"/>
  <c r="BB76" i="7"/>
  <c r="BB32" i="7"/>
  <c r="BB68" i="7"/>
  <c r="BB42" i="7"/>
  <c r="BD33" i="7"/>
  <c r="BB70" i="7"/>
  <c r="BB56" i="7"/>
  <c r="BB34" i="7"/>
  <c r="D21" i="1"/>
  <c r="BD58" i="7"/>
  <c r="BD16" i="7"/>
  <c r="BB48" i="7"/>
  <c r="D9" i="1"/>
  <c r="BB69" i="7"/>
  <c r="BB4" i="7"/>
  <c r="BB54" i="7"/>
  <c r="BD73" i="7"/>
  <c r="BD27" i="7"/>
  <c r="BB74" i="7"/>
  <c r="BD34" i="7"/>
  <c r="BB67" i="7"/>
  <c r="D23" i="1"/>
  <c r="D15" i="1"/>
  <c r="D10" i="1"/>
  <c r="BB73" i="7"/>
  <c r="BB23" i="7"/>
  <c r="BD38" i="7"/>
  <c r="D25" i="1"/>
  <c r="BB51" i="7"/>
  <c r="BB35" i="7"/>
  <c r="BD63" i="7"/>
  <c r="BB78" i="7"/>
  <c r="BB59" i="7"/>
  <c r="BD52" i="7"/>
  <c r="BD55" i="7"/>
  <c r="BB55" i="7"/>
  <c r="D16" i="1"/>
  <c r="BD39" i="7"/>
  <c r="BD12" i="7"/>
  <c r="BE4" i="7"/>
  <c r="BD5" i="7"/>
  <c r="BD59" i="7"/>
  <c r="BD47" i="7"/>
  <c r="BB40" i="7"/>
  <c r="BB62" i="7"/>
  <c r="BD66" i="7"/>
  <c r="BD22" i="7"/>
  <c r="BD72" i="7"/>
  <c r="BD57" i="7"/>
  <c r="A7" i="7" l="1"/>
  <c r="AZ7" i="7" s="1"/>
  <c r="A17" i="7"/>
  <c r="A8" i="7" l="1"/>
  <c r="A18" i="7"/>
  <c r="AZ15" i="7"/>
  <c r="A9" i="7" l="1"/>
  <c r="A19" i="7"/>
  <c r="AZ8" i="7"/>
  <c r="AZ17" i="7"/>
  <c r="AZ18" i="7"/>
  <c r="AZ16" i="7"/>
  <c r="A10" i="7" l="1"/>
  <c r="A20" i="7"/>
  <c r="AZ20" i="7" s="1"/>
  <c r="AZ9" i="7"/>
  <c r="AZ19" i="7"/>
  <c r="B26" i="7"/>
  <c r="A11" i="7" l="1"/>
  <c r="A21" i="7"/>
  <c r="AZ21" i="7" s="1"/>
  <c r="AZ10" i="7"/>
  <c r="AZ26" i="7"/>
  <c r="B29" i="7"/>
  <c r="B27" i="7"/>
  <c r="A12" i="7" l="1"/>
  <c r="A22" i="7"/>
  <c r="AZ22" i="7" s="1"/>
  <c r="AZ11" i="7"/>
  <c r="B30" i="7"/>
  <c r="AZ27" i="7"/>
  <c r="B28" i="7"/>
  <c r="B32" i="7"/>
  <c r="AZ29" i="7"/>
  <c r="A13" i="7" l="1"/>
  <c r="A23" i="7"/>
  <c r="AZ23" i="7" s="1"/>
  <c r="AZ12" i="7"/>
  <c r="AZ28" i="7"/>
  <c r="B31" i="7"/>
  <c r="AZ32" i="7"/>
  <c r="B35" i="7"/>
  <c r="AZ30" i="7"/>
  <c r="B33" i="7"/>
  <c r="A14" i="7" l="1"/>
  <c r="A24" i="7"/>
  <c r="AZ24" i="7" s="1"/>
  <c r="AZ13" i="7"/>
  <c r="B36" i="7"/>
  <c r="AZ33" i="7"/>
  <c r="B34" i="7"/>
  <c r="AZ31" i="7"/>
  <c r="AZ35" i="7"/>
  <c r="B38" i="7"/>
  <c r="A25" i="7" l="1"/>
  <c r="AZ25" i="7" s="1"/>
  <c r="AZ14" i="7"/>
  <c r="AZ34" i="7"/>
  <c r="B37" i="7"/>
  <c r="AZ38" i="7"/>
  <c r="B41" i="7"/>
  <c r="AZ36" i="7"/>
  <c r="B39" i="7"/>
  <c r="AZ39" i="7" l="1"/>
  <c r="B42" i="7"/>
  <c r="B40" i="7"/>
  <c r="AZ37" i="7"/>
  <c r="B44" i="7"/>
  <c r="AZ41" i="7"/>
  <c r="AZ40" i="7" l="1"/>
  <c r="B43" i="7"/>
  <c r="AZ42" i="7"/>
  <c r="B45" i="7"/>
  <c r="AZ44" i="7"/>
  <c r="B47" i="7"/>
  <c r="B48" i="7" l="1"/>
  <c r="AZ45" i="7"/>
  <c r="AZ47" i="7"/>
  <c r="B50" i="7"/>
  <c r="AZ43" i="7"/>
  <c r="B46" i="7"/>
  <c r="AZ50" i="7" l="1"/>
  <c r="B53" i="7"/>
  <c r="AZ46" i="7"/>
  <c r="B49" i="7"/>
  <c r="AZ48" i="7"/>
  <c r="B51" i="7"/>
  <c r="B52" i="7" l="1"/>
  <c r="AZ49" i="7"/>
  <c r="AZ51" i="7"/>
  <c r="B54" i="7"/>
  <c r="B56" i="7"/>
  <c r="AZ53" i="7"/>
  <c r="AZ54" i="7" l="1"/>
  <c r="B57" i="7"/>
  <c r="AZ56" i="7"/>
  <c r="B59" i="7"/>
  <c r="AZ52" i="7"/>
  <c r="B55" i="7"/>
  <c r="AZ55" i="7" l="1"/>
  <c r="B58" i="7"/>
  <c r="B60" i="7"/>
  <c r="AZ57" i="7"/>
  <c r="AZ59" i="7"/>
  <c r="B62" i="7"/>
  <c r="AZ60" i="7" l="1"/>
  <c r="B63" i="7"/>
  <c r="AZ62" i="7"/>
  <c r="B65" i="7"/>
  <c r="AZ58" i="7"/>
  <c r="B61" i="7"/>
  <c r="B64" i="7" l="1"/>
  <c r="AZ61" i="7"/>
  <c r="AZ63" i="7"/>
  <c r="B66" i="7"/>
  <c r="B68" i="7"/>
  <c r="AZ65" i="7"/>
  <c r="AZ66" i="7" l="1"/>
  <c r="B69" i="7"/>
  <c r="AZ68" i="7"/>
  <c r="B71" i="7"/>
  <c r="AZ64" i="7"/>
  <c r="B67" i="7"/>
  <c r="AZ67" i="7" l="1"/>
  <c r="B70" i="7"/>
  <c r="B72" i="7"/>
  <c r="AZ69" i="7"/>
  <c r="AZ71" i="7"/>
  <c r="B74" i="7"/>
  <c r="AZ72" i="7" l="1"/>
  <c r="B75" i="7"/>
  <c r="AZ74" i="7"/>
  <c r="B77" i="7"/>
  <c r="AZ77" i="7" s="1"/>
  <c r="AZ70" i="7"/>
  <c r="B73" i="7"/>
  <c r="B76" i="7" l="1"/>
  <c r="AZ76" i="7" s="1"/>
  <c r="AZ73" i="7"/>
  <c r="AZ75" i="7"/>
  <c r="B78" i="7"/>
  <c r="AZ78" i="7" s="1"/>
  <c r="R15" i="1" l="1"/>
  <c r="R16" i="1"/>
  <c r="R17" i="1"/>
  <c r="AB6" i="1"/>
  <c r="D4" i="1"/>
  <c r="R19" i="1" l="1"/>
  <c r="R23" i="1"/>
  <c r="R20" i="1"/>
  <c r="R18" i="1"/>
  <c r="H57" i="3"/>
  <c r="N57" i="3" s="1"/>
  <c r="T57" i="3" s="1"/>
  <c r="H51" i="3"/>
  <c r="N51" i="3" s="1"/>
  <c r="T51" i="3" s="1"/>
  <c r="T33" i="3"/>
  <c r="N33" i="3"/>
  <c r="H33" i="3"/>
  <c r="H3" i="3"/>
  <c r="N3" i="3"/>
  <c r="R24" i="1" l="1"/>
  <c r="R21" i="1"/>
  <c r="R25" i="1"/>
  <c r="R22" i="1"/>
  <c r="AX5" i="6"/>
  <c r="AX7" i="6"/>
  <c r="AX6" i="6"/>
  <c r="AX3" i="6"/>
  <c r="AX4" i="6"/>
  <c r="T27" i="3" l="1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0" i="1" l="1"/>
  <c r="H10" i="1" s="1"/>
  <c r="S4" i="1"/>
  <c r="S15" i="1" s="1"/>
  <c r="T11" i="1" l="1"/>
  <c r="H11" i="1" s="1"/>
  <c r="T4" i="1"/>
  <c r="H4" i="1" s="1"/>
  <c r="T23" i="1"/>
  <c r="H23" i="1" s="1"/>
  <c r="T22" i="1"/>
  <c r="H22" i="1" s="1"/>
  <c r="T17" i="1"/>
  <c r="H17" i="1" s="1"/>
  <c r="T16" i="1"/>
  <c r="H16" i="1" s="1"/>
  <c r="T5" i="1" l="1"/>
  <c r="H5" i="1" s="1"/>
  <c r="T24" i="1"/>
  <c r="H24" i="1" s="1"/>
  <c r="T18" i="1"/>
  <c r="H18" i="1" s="1"/>
  <c r="T12" i="1" l="1"/>
  <c r="H12" i="1" s="1"/>
  <c r="T6" i="1"/>
  <c r="H6" i="1" s="1"/>
  <c r="T25" i="1" l="1"/>
  <c r="H25" i="1" s="1"/>
  <c r="T19" i="1"/>
  <c r="H19" i="1" s="1"/>
  <c r="T13" i="1"/>
  <c r="H13" i="1" s="1"/>
  <c r="T7" i="1" l="1"/>
  <c r="H7" i="1" s="1"/>
  <c r="T20" i="1"/>
  <c r="H20" i="1" s="1"/>
  <c r="T14" i="1"/>
  <c r="H14" i="1" s="1"/>
  <c r="T8" i="1" l="1"/>
  <c r="H8" i="1" s="1"/>
  <c r="T21" i="1"/>
  <c r="H21" i="1" s="1"/>
  <c r="T15" i="1"/>
  <c r="H15" i="1" s="1"/>
  <c r="T9" i="1" l="1"/>
  <c r="H9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<sst xmlns="http://schemas.openxmlformats.org/spreadsheetml/2006/main" count="361" uniqueCount="244">
  <si>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</si>
  <si>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</si>
  <si>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</si>
  <si>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</si>
  <si>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</si>
  <si>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</si>
  <si>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</si>
  <si>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</si>
  <si>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</si>
  <si>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</si>
  <si>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</si>
  <si>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</si>
  <si>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</si>
  <si>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</si>
  <si>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</si>
  <si>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</si>
  <si>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</si>
  <si>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</si>
  <si>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</si>
  <si>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</si>
  <si>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</si>
  <si>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</si>
  <si>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</si>
  <si>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</si>
  <si>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</si>
  <si>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</si>
  <si>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</si>
  <si>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</si>
  <si>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</si>
  <si>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</si>
  <si>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</si>
  <si>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</si>
  <si>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</si>
  <si>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</si>
  <si>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</si>
  <si>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</si>
  <si>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</si>
  <si>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</si>
  <si>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</si>
  <si>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</si>
  <si>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</si>
  <si>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</si>
  <si>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</si>
  <si>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</si>
  <si>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</si>
  <si>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</si>
  <si>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</si>
  <si>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</si>
  <si>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</si>
  <si>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</si>
  <si>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</si>
  <si>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</si>
  <si>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</si>
  <si>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</si>
  <si>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</si>
  <si>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</si>
  <si>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</si>
  <si>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</si>
  <si>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</si>
  <si>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</si>
  <si>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</si>
  <si>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int[|:]</t>
    <phoneticPr fontId="1" type="noConversion"/>
  </si>
  <si>
    <t>♂枚举</t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</si>
  <si>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</si>
  <si>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</si>
  <si>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</si>
  <si>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</si>
  <si>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</si>
  <si>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</si>
  <si>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</si>
  <si>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</si>
  <si>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</si>
  <si>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</si>
  <si>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</si>
  <si>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</si>
  <si>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</si>
  <si>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</si>
  <si>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ulong</t>
    <phoneticPr fontId="1" type="noConversion"/>
  </si>
  <si>
    <t>物资消费1</t>
  </si>
  <si>
    <t>string[;]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</si>
  <si>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</si>
  <si>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芯片1_1</t>
  </si>
  <si>
    <t>芯片1_2</t>
  </si>
  <si>
    <t>芯片2_1</t>
  </si>
  <si>
    <t>芯片2_2</t>
  </si>
  <si>
    <t>芯片3_1</t>
  </si>
  <si>
    <t>芯片3_2</t>
  </si>
  <si>
    <t>芯片4_1</t>
  </si>
  <si>
    <t>芯片4_2</t>
  </si>
  <si>
    <t>芯片5_1</t>
  </si>
  <si>
    <t>芯片5_2</t>
  </si>
  <si>
    <t>芯片6_1</t>
  </si>
  <si>
    <t>芯片6_2</t>
  </si>
  <si>
    <t>芯片7_1</t>
  </si>
  <si>
    <t>芯片7_2</t>
  </si>
  <si>
    <t>芯片8_1</t>
  </si>
  <si>
    <t>芯片8_2</t>
  </si>
  <si>
    <t>芯片9_1</t>
  </si>
  <si>
    <t>芯片9_2</t>
  </si>
  <si>
    <t>芯片10_1</t>
  </si>
  <si>
    <t>芯片10_2</t>
  </si>
  <si>
    <t>芯片11_1</t>
  </si>
  <si>
    <t>芯片11_2</t>
  </si>
  <si>
    <t>属性</t>
    <phoneticPr fontId="1" type="noConversion"/>
  </si>
  <si>
    <t>技能点</t>
    <phoneticPr fontId="1" type="noConversion"/>
  </si>
  <si>
    <t>芯片编号</t>
    <phoneticPr fontId="1" type="noConversion"/>
  </si>
  <si>
    <t>芯片等级</t>
    <phoneticPr fontId="1" type="noConversion"/>
  </si>
  <si>
    <t>生命值</t>
  </si>
  <si>
    <t>先攻</t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</si>
  <si>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</si>
  <si>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</si>
  <si>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</si>
  <si>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</si>
  <si>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</si>
  <si>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</si>
  <si>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</si>
  <si>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</si>
  <si>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</si>
  <si>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</si>
  <si>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</si>
  <si>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</si>
  <si>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</si>
  <si>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</si>
  <si>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</si>
  <si>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</si>
  <si>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</si>
  <si>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</si>
  <si>
    <t>死亡标记</t>
  </si>
  <si>
    <t>虫洞</t>
  </si>
  <si>
    <t>偏转涂层</t>
  </si>
  <si>
    <t>伤痛记忆</t>
  </si>
  <si>
    <t>急速填装</t>
  </si>
  <si>
    <t>先发制人</t>
  </si>
  <si>
    <t>反应装甲</t>
  </si>
  <si>
    <t>纳米涂层</t>
  </si>
  <si>
    <t>冲锋</t>
  </si>
  <si>
    <t>实弹增强</t>
  </si>
  <si>
    <t>光线增强</t>
  </si>
  <si>
    <t>斩杀</t>
  </si>
  <si>
    <t>强击光线</t>
  </si>
  <si>
    <t>燃料引爆</t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</si>
  <si>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</si>
  <si>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</si>
  <si>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</si>
  <si>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</si>
  <si>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</si>
  <si>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</si>
  <si>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</si>
  <si>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芯片1_1</t>
    <phoneticPr fontId="1" type="noConversion"/>
  </si>
  <si>
    <t>芯片2_1</t>
    <phoneticPr fontId="1" type="noConversion"/>
  </si>
  <si>
    <t>芯片3_1</t>
    <phoneticPr fontId="1" type="noConversion"/>
  </si>
  <si>
    <t>芯片4_1</t>
    <phoneticPr fontId="1" type="noConversion"/>
  </si>
  <si>
    <t>芯片5_1</t>
    <phoneticPr fontId="1" type="noConversion"/>
  </si>
  <si>
    <t>芯片6_1</t>
    <phoneticPr fontId="1" type="noConversion"/>
  </si>
  <si>
    <t>芯片7_1</t>
    <phoneticPr fontId="1" type="noConversion"/>
  </si>
  <si>
    <t>芯片8_1</t>
    <phoneticPr fontId="1" type="noConversion"/>
  </si>
  <si>
    <t>芯片9_1</t>
    <phoneticPr fontId="1" type="noConversion"/>
  </si>
  <si>
    <t>芯片10_1</t>
    <phoneticPr fontId="1" type="noConversion"/>
  </si>
  <si>
    <t>芯片11_1</t>
    <phoneticPr fontId="1" type="noConversion"/>
  </si>
  <si>
    <t>x1</t>
    <phoneticPr fontId="1" type="noConversion"/>
  </si>
  <si>
    <t>x2</t>
  </si>
  <si>
    <t>x2</t>
    <phoneticPr fontId="1" type="noConversion"/>
  </si>
  <si>
    <t>x3</t>
  </si>
  <si>
    <t>x3</t>
    <phoneticPr fontId="1" type="noConversion"/>
  </si>
  <si>
    <t>x4</t>
  </si>
  <si>
    <t>x4</t>
    <phoneticPr fontId="1" type="noConversion"/>
  </si>
  <si>
    <t>x5</t>
  </si>
  <si>
    <t>x5</t>
    <phoneticPr fontId="1" type="noConversion"/>
  </si>
  <si>
    <t>x6</t>
  </si>
  <si>
    <t>x6</t>
    <phoneticPr fontId="1" type="noConversion"/>
  </si>
  <si>
    <t>x7</t>
  </si>
  <si>
    <t>x7</t>
    <phoneticPr fontId="1" type="noConversion"/>
  </si>
  <si>
    <t>x8</t>
  </si>
  <si>
    <t>x8</t>
    <phoneticPr fontId="1" type="noConversion"/>
  </si>
  <si>
    <t>x9</t>
  </si>
  <si>
    <t>x9</t>
    <phoneticPr fontId="1" type="noConversion"/>
  </si>
  <si>
    <t>x10</t>
  </si>
  <si>
    <t>x10</t>
    <phoneticPr fontId="1" type="noConversion"/>
  </si>
  <si>
    <t>x11</t>
  </si>
  <si>
    <t>x11</t>
    <phoneticPr fontId="1" type="noConversion"/>
  </si>
  <si>
    <t>x1</t>
    <phoneticPr fontId="1" type="noConversion"/>
  </si>
  <si>
    <t>0;1;0;0;1;3;0;2;0</t>
    <phoneticPr fontId="1" type="noConversion"/>
  </si>
  <si>
    <t>0;0;0;3;1;0;0;2;1</t>
    <phoneticPr fontId="1" type="noConversion"/>
  </si>
  <si>
    <t>0;3;0;0;1;0;0;1;2</t>
    <phoneticPr fontId="1" type="noConversion"/>
  </si>
  <si>
    <t>0;1;0;2;1;3;0;0;0</t>
    <phoneticPr fontId="1" type="noConversion"/>
  </si>
  <si>
    <t>0;2;0;3;1;0;1;0;0</t>
    <phoneticPr fontId="1" type="noConversion"/>
  </si>
  <si>
    <t>0;2;0;0;1;0;0;1;3</t>
    <phoneticPr fontId="1" type="noConversion"/>
  </si>
  <si>
    <t>0;1;2;0;1;0;0;3;0</t>
    <phoneticPr fontId="1" type="noConversion"/>
  </si>
  <si>
    <t>0;0;0;1;3;1;0;2;0</t>
    <phoneticPr fontId="1" type="noConversion"/>
  </si>
  <si>
    <t>3;0;0;1;1;0;0;2;0</t>
    <phoneticPr fontId="1" type="noConversion"/>
  </si>
  <si>
    <t>0;0;0;1;1;2;3;0;0</t>
    <phoneticPr fontId="1" type="noConversion"/>
  </si>
  <si>
    <t>2;1;0;0;3;1;0;0;0</t>
    <phoneticPr fontId="1" type="noConversion"/>
  </si>
  <si>
    <t>Normal;Normal;Normal;Normal;Normal;Normal;Power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Blue;Blue;Blue;Normal;Normal;Normal|Normal;Normal;Normal;Normal;Normal;Blue;Blue;Blue;Blue;Normal;Normal|Normal;Normal;Normal;Normal;Normal;Blue;Blue;Blue;Power;Normal;Normal|Normal;Normal;Normal;Normal;Normal;Normal;Blue;Blue;Normal;Normal;Normal|Normal;Normal;Normal;Normal;Red;Normal;Normal;Normal;Normal;Normal;Normal|Normal;Normal;Red;Red;Red;Red;Normal;Normal;Normal;Normal;Normal|Normal;Normal;Red;Power;Red;Red;Normal;Normal;Normal;Normal;Normal|Normal;Normal;Red;Red;Red;Red;Normal;Normal;Normal;Normal;Normal|Normal;Normal;Normal;Red;Red;Red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Power;Normal;Normal</t>
    <phoneticPr fontId="1" type="noConversion"/>
  </si>
  <si>
    <t>30;15;15;20</t>
    <phoneticPr fontId="1" type="noConversion"/>
  </si>
  <si>
    <t>Normal;Normal;Normal;Normal;Normal;Normal;Normal;Normal;Normal;Normal;Normal|Normal;Normal;None;Normal;Normal;Normal;Normal;Normal;Normal;Normal;Normal|Normal;Normal;Normal;Normal;Normal;Normal;Normal;Normal;Normal;Normal;Normal|Normal;Normal;Power;Normal;Normal;Normal;Normal;Normal;Normal;Normal;Normal|Normal;Normal;Normal;Normal;Normal;None;Normal;Normal;Normal;Normal;Normal|Normal;Normal;Normal;Normal;Normal;Normal;Normal;Normal;Normal;Normal;Normal|Normal;Normal;Normal;Normal;Normal;Normal;Normal;Normal;Power;Normal;Normal|Normal;Normal;Normal;Normal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Red;Red;Red;Red;Normal;Normal;Normal;Normal|Normal;Normal;Normal;Red;None;Red;Red;Red;Normal;Normal;Normal|Normal;Normal;Normal;Red;Red;Power;Red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ne;Normal;Normal|Normal;Normal;Normal;Normal;Normal;Power;Normal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</si>
  <si>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30;20;10;25</t>
    <phoneticPr fontId="1" type="noConversion"/>
  </si>
  <si>
    <t>Normal;Normal;Normal;Normal;Normal;Normal;Normal;Normal;Normal;Normal;Normal|Normal;Normal;None;Normal;Normal;Normal;Normal;Normal;Normal;Normal;Normal|Normal;Normal;Power;Normal;Normal;Normal;Normal;Normal;Normal;Normal;Normal|Normal;Normal;Normal;Normal;Normal;Normal;Normal;Normal;Normal;Normal;Normal|Normal;Normal;Normal;Normal;Normal;Normal;Normal;Normal;Normal;Normal;Normal|Normal;Normal;Normal;Normal;Normal;Normal;Normal;Normal;Normal;None;Normal|Normal;Normal;Normal;Normal;None;Normal;Normal;Normal;Normal;None;Normal|Normal;Normal;Normal;Normal;Normal;Normal;Normal;Normal;Normal;Normal;Normal|Normal;Normal;Normal;Normal;Normal;Normal;Normal;Normal;Normal;Normal;Normal|Normal;Normal;Normal;Normal;Normal;Normal;Normal;Normal;Power;Normal;Normal|Normal;Normal;Red;Red;Normal;Normal;Normal;Normal;Normal;Normal;Normal|Normal;Normal;Power;Red;Red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ne;Normal;Normal;Normal;Power;Normal;Normal|Normal;Normal;Normal;Normal;Normal;Normal;Normal;Normal;Normal;Normal;Normal|Normal;Normal;Normal;Normal;Normal;Normal;Normal;Normal;Normal;Normal;Normal|Normal;None;None;Normal;Normal;Normal;Normal;Normal;Normal;Normal;Normal|Normal;Normal;Normal;Normal;Normal;Normal;Normal;Normal;Normal;Normal;Normal|Normal;Normal;Normal;Normal;Normal;Normal;Normal;Normal;Normal;Normal;Normal</t>
    <phoneticPr fontId="1" type="noConversion"/>
  </si>
  <si>
    <t>30;7;7;27</t>
    <phoneticPr fontId="1" type="noConversion"/>
  </si>
  <si>
    <t>1001:3|1025:3</t>
  </si>
  <si>
    <t>1002:3|1026:3</t>
  </si>
  <si>
    <t>1001:3|1027:3</t>
  </si>
  <si>
    <t>1002:3|1027:3</t>
  </si>
  <si>
    <t>1004:3|1028:3</t>
  </si>
  <si>
    <t>1028:4|1031:4</t>
  </si>
  <si>
    <t>1005:3|1031:3</t>
  </si>
  <si>
    <t>1001:5|1025:5</t>
  </si>
  <si>
    <t>1002:5|1026:5</t>
  </si>
  <si>
    <t>1001:5|1027:5</t>
  </si>
  <si>
    <t>1002:5|1027:5</t>
  </si>
  <si>
    <t>1004:5|1028:5</t>
  </si>
  <si>
    <t>1028:5|1031:5</t>
  </si>
  <si>
    <t>1005:5|1031:5</t>
  </si>
  <si>
    <t>firstAtt</t>
  </si>
  <si>
    <t>shield</t>
  </si>
  <si>
    <t>guard</t>
  </si>
  <si>
    <t>护盾</t>
  </si>
  <si>
    <t>护甲</t>
  </si>
  <si>
    <t>物理攻击</t>
    <phoneticPr fontId="1" type="noConversion"/>
  </si>
  <si>
    <t>laser</t>
  </si>
  <si>
    <t>光线攻击</t>
  </si>
  <si>
    <t>&lt;color=#FFCB00FF&gt;南瓜+3,先发制人+3&lt;/color&gt;;&lt;color=#FFEFAEFF &gt;先攻+2,光线攻击+5&lt;/color&gt;</t>
  </si>
  <si>
    <t>&lt;color=#FFCB00FF&gt;榴弹+3,反应装甲+3&lt;/color&gt;;&lt;color=#FFEFAEFF &gt;先攻+2,物理攻击+5&lt;/color&gt;</t>
  </si>
  <si>
    <t>&lt;color=#FFCB00FF&gt;南瓜+3,纳米涂层+3&lt;/color&gt;;&lt;color=#FFEFAEFF &gt;先攻+1,光线攻击+5,护盾+2&lt;/color&gt;</t>
  </si>
  <si>
    <t>&lt;color=#FFCB00FF&gt;榴弹+3,反应装甲+3&lt;/color&gt;;&lt;color=#FFEFAEFF &gt;先攻+1&lt;/color&gt;</t>
  </si>
  <si>
    <t>&lt;color=#FFCB00FF&gt;南瓜+3,先发制人+3&lt;/color&gt;;&lt;color=#FFEFAEFF &gt;先攻+1,物理攻击+4,光线攻击+3&lt;/color&gt;</t>
  </si>
  <si>
    <t>&lt;color=#FFCB00FF&gt;榴弹+3,纳米涂层+3&lt;/color&gt;;&lt;color=#FFEFAEFF &gt;先攻+1,光线攻击+4,护盾+2&lt;/color&gt;</t>
  </si>
  <si>
    <t>&lt;color=#FFCB00FF&gt;全弹齐发+3,冲锋+3&lt;/color&gt;;&lt;color=#FFEFAEFF &gt;生命值+20,光线攻击+5&lt;/color&gt;</t>
  </si>
  <si>
    <t>&lt;color=#FFCB00FF&gt;冲锋+4,斩杀+4&lt;/color&gt;;&lt;color=#FFEFAEFF &gt;生命值+15,物理攻击+4&lt;/color&gt;</t>
  </si>
  <si>
    <t>&lt;color=#FFCB00FF&gt;全弹齐发+3,冲锋+3&lt;/color&gt;;&lt;color=#FFEFAEFF &gt;生命值+20,护盾+2&lt;/color&gt;</t>
  </si>
  <si>
    <t>&lt;color=#FFCB00FF&gt;散射+3,斩杀+3&lt;/color&gt;;&lt;color=#FFEFAEFF &gt;生命值+20,物理攻击+4,光线攻击+3,护盾+2&lt;/color&gt;</t>
  </si>
  <si>
    <t>&lt;color=#FFCB00FF&gt;散射+3,斩杀+3&lt;/color&gt;;&lt;color=#FFEFAEFF &gt;生命值+20,物理攻击+4,护盾+2&lt;/color&gt;</t>
  </si>
  <si>
    <t>&lt;color=#FFCB00FF&gt;南瓜+5,先发制人+5&lt;/color&gt;;&lt;color=#FFEFAEFF &gt;先攻+4,光线攻击+10&lt;/color&gt;</t>
  </si>
  <si>
    <t>&lt;color=#FFCB00FF&gt;榴弹+5,反应装甲+5&lt;/color&gt;;&lt;color=#FFEFAEFF &gt;先攻+4,物理攻击+10&lt;/color&gt;</t>
  </si>
  <si>
    <t>&lt;color=#FFCB00FF&gt;南瓜+5,纳米涂层+5&lt;/color&gt;;&lt;color=#FFEFAEFF &gt;先攻+2,光线攻击+10,护盾+4&lt;/color&gt;</t>
  </si>
  <si>
    <t>&lt;color=#FFCB00FF&gt;榴弹+5,反应装甲+5&lt;/color&gt;;&lt;color=#FFEFAEFF &gt;先攻+2&lt;/color&gt;</t>
  </si>
  <si>
    <t>&lt;color=#FFCB00FF&gt;南瓜+5,先发制人+5&lt;/color&gt;;&lt;color=#FFEFAEFF &gt;先攻+2,物理攻击+8,光线攻击+6&lt;/color&gt;</t>
  </si>
  <si>
    <t>&lt;color=#FFCB00FF&gt;榴弹+5,纳米涂层+5&lt;/color&gt;;&lt;color=#FFEFAEFF &gt;先攻+2,光线攻击+8,护盾+4&lt;/color&gt;</t>
  </si>
  <si>
    <t>&lt;color=#FFCB00FF&gt;全弹齐发+5,冲锋+5&lt;/color&gt;;&lt;color=#FFEFAEFF &gt;生命值+40,光线攻击+10&lt;/color&gt;</t>
  </si>
  <si>
    <t>&lt;color=#FFCB00FF&gt;冲锋+5,斩杀+5&lt;/color&gt;;&lt;color=#FFEFAEFF &gt;生命值+30,物理攻击+8&lt;/color&gt;</t>
  </si>
  <si>
    <t>&lt;color=#FFCB00FF&gt;全弹齐发+5,冲锋+5&lt;/color&gt;;&lt;color=#FFEFAEFF &gt;生命值+40,护盾+4&lt;/color&gt;</t>
  </si>
  <si>
    <t>&lt;color=#FFCB00FF&gt;散射+5,斩杀+5&lt;/color&gt;;&lt;color=#FFEFAEFF &gt;生命值+40,物理攻击+8,光线攻击+6,护盾+4&lt;/color&gt;</t>
  </si>
  <si>
    <t>&lt;color=#FFCB00FF&gt;散射+5,斩杀+5&lt;/color&gt;;&lt;color=#FFEFAEFF &gt;生命值+40,物理攻击+8,护盾+4&lt;/color&gt;</t>
  </si>
  <si>
    <t>attack</t>
    <phoneticPr fontId="1" type="noConversion"/>
  </si>
  <si>
    <t>mhp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</si>
</sst>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  <font>
      <sz val="16"/>
      <color theme="1"/>
      <name val="宋体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theme="0" tint="-0.14999847407452621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0" borderId="8" xfId="0" applyFont="1" applyFill="1" applyBorder="1"/>
    <xf numFmtId="0" fontId="2" fillId="11" borderId="8" xfId="0" applyFont="1" applyFill="1" applyBorder="1"/>
    <xf numFmtId="0" fontId="2" fillId="12" borderId="8" xfId="0" applyFont="1" applyFill="1" applyBorder="1"/>
    <xf numFmtId="0" fontId="2" fillId="13" borderId="6" xfId="0" applyFont="1" applyFill="1" applyBorder="1" applyAlignment="1">
      <alignment horizontal="right" vertic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16" fillId="18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6" fillId="19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20" borderId="1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79"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6</xdr:row>
      <xdr:rowOff>28576</xdr:rowOff>
    </xdr:from>
    <xdr:to>
      <xdr:col>29</xdr:col>
      <xdr:colOff>685799</xdr:colOff>
      <xdr:row>9</xdr:row>
      <xdr:rowOff>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11</xdr:row>
      <xdr:rowOff>11207</xdr:rowOff>
    </xdr:from>
    <xdr:to>
      <xdr:col>11</xdr:col>
      <xdr:colOff>11206</xdr:colOff>
      <xdr:row>17</xdr:row>
      <xdr:rowOff>280147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65412" y="3216089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44823</xdr:colOff>
      <xdr:row>14</xdr:row>
      <xdr:rowOff>56029</xdr:rowOff>
    </xdr:from>
    <xdr:to>
      <xdr:col>7</xdr:col>
      <xdr:colOff>246529</xdr:colOff>
      <xdr:row>14</xdr:row>
      <xdr:rowOff>257735</xdr:rowOff>
    </xdr:to>
    <xdr:sp macro="" textlink="">
      <xdr:nvSpPr>
        <xdr:cNvPr id="3" name="椭圆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84294" y="4134970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51547</xdr:colOff>
      <xdr:row>14</xdr:row>
      <xdr:rowOff>62752</xdr:rowOff>
    </xdr:from>
    <xdr:to>
      <xdr:col>21</xdr:col>
      <xdr:colOff>253253</xdr:colOff>
      <xdr:row>14</xdr:row>
      <xdr:rowOff>264458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169959" y="4141693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58271</xdr:colOff>
      <xdr:row>14</xdr:row>
      <xdr:rowOff>69475</xdr:rowOff>
    </xdr:from>
    <xdr:to>
      <xdr:col>35</xdr:col>
      <xdr:colOff>259977</xdr:colOff>
      <xdr:row>14</xdr:row>
      <xdr:rowOff>271181</xdr:rowOff>
    </xdr:to>
    <xdr:sp macro="" textlink="">
      <xdr:nvSpPr>
        <xdr:cNvPr id="6" name="椭圆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0255624" y="4148416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52</xdr:col>
      <xdr:colOff>190503</xdr:colOff>
      <xdr:row>10</xdr:row>
      <xdr:rowOff>275667</xdr:rowOff>
    </xdr:from>
    <xdr:to>
      <xdr:col>55</xdr:col>
      <xdr:colOff>125510</xdr:colOff>
      <xdr:row>12</xdr:row>
      <xdr:rowOff>215156</xdr:rowOff>
    </xdr:to>
    <xdr:grpSp>
      <xdr:nvGrpSpPr>
        <xdr:cNvPr id="11" name="组合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 rot="10800000">
          <a:off x="16080444" y="3189196"/>
          <a:ext cx="809066" cy="522195"/>
          <a:chOff x="627530" y="1194549"/>
          <a:chExt cx="809066" cy="522195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627530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" name="矩形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903195" y="119454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9" name="矩形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1201272" y="12012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0" name="矩形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48</xdr:col>
      <xdr:colOff>96372</xdr:colOff>
      <xdr:row>10</xdr:row>
      <xdr:rowOff>230843</xdr:rowOff>
    </xdr:from>
    <xdr:to>
      <xdr:col>49</xdr:col>
      <xdr:colOff>35861</xdr:colOff>
      <xdr:row>12</xdr:row>
      <xdr:rowOff>181537</xdr:rowOff>
    </xdr:to>
    <xdr:grpSp>
      <xdr:nvGrpSpPr>
        <xdr:cNvPr id="13" name="组合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14081313" y="3144372"/>
          <a:ext cx="533401" cy="533400"/>
          <a:chOff x="907677" y="1199031"/>
          <a:chExt cx="533401" cy="533400"/>
        </a:xfrm>
      </xdr:grpSpPr>
      <xdr:sp macro="" textlink="">
        <xdr:nvSpPr>
          <xdr:cNvPr id="14" name="矩形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5" name="矩形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1205754" y="1497107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6" name="矩形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201272" y="12012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7" name="矩形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45</xdr:col>
      <xdr:colOff>98615</xdr:colOff>
      <xdr:row>10</xdr:row>
      <xdr:rowOff>35859</xdr:rowOff>
    </xdr:from>
    <xdr:to>
      <xdr:col>47</xdr:col>
      <xdr:colOff>49310</xdr:colOff>
      <xdr:row>12</xdr:row>
      <xdr:rowOff>262219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13209497" y="2949388"/>
          <a:ext cx="533401" cy="809066"/>
          <a:chOff x="903195" y="1199031"/>
          <a:chExt cx="533401" cy="809066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0" name="矩形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903195" y="176604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" name="矩形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1201272" y="17727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2" name="矩形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17</xdr:col>
      <xdr:colOff>286871</xdr:colOff>
      <xdr:row>10</xdr:row>
      <xdr:rowOff>286872</xdr:rowOff>
    </xdr:from>
    <xdr:to>
      <xdr:col>25</xdr:col>
      <xdr:colOff>6723</xdr:colOff>
      <xdr:row>17</xdr:row>
      <xdr:rowOff>264459</xdr:rowOff>
    </xdr:to>
    <xdr:sp macro="" textlink="">
      <xdr:nvSpPr>
        <xdr:cNvPr id="28" name="矩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239871" y="3200401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282389</xdr:colOff>
      <xdr:row>11</xdr:row>
      <xdr:rowOff>13449</xdr:rowOff>
    </xdr:from>
    <xdr:to>
      <xdr:col>39</xdr:col>
      <xdr:colOff>2241</xdr:colOff>
      <xdr:row>17</xdr:row>
      <xdr:rowOff>282389</xdr:rowOff>
    </xdr:to>
    <xdr:sp macro="" textlink="">
      <xdr:nvSpPr>
        <xdr:cNvPr id="29" name="矩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9314330" y="3218331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102535</xdr:colOff>
      <xdr:row>14</xdr:row>
      <xdr:rowOff>201706</xdr:rowOff>
    </xdr:from>
    <xdr:to>
      <xdr:col>16</xdr:col>
      <xdr:colOff>58913</xdr:colOff>
      <xdr:row>17</xdr:row>
      <xdr:rowOff>151439</xdr:rowOff>
    </xdr:to>
    <xdr:grpSp>
      <xdr:nvGrpSpPr>
        <xdr:cNvPr id="30" name="组合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pSpPr/>
      </xdr:nvGrpSpPr>
      <xdr:grpSpPr>
        <a:xfrm>
          <a:off x="4181476" y="4280647"/>
          <a:ext cx="539084" cy="823792"/>
          <a:chOff x="1918606" y="1312529"/>
          <a:chExt cx="529559" cy="823792"/>
        </a:xfrm>
      </xdr:grpSpPr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GrpSpPr/>
        </xdr:nvGrpSpPr>
        <xdr:grpSpPr>
          <a:xfrm rot="16200000">
            <a:off x="1782535" y="1455964"/>
            <a:ext cx="809066" cy="522195"/>
            <a:chOff x="627530" y="1194549"/>
            <a:chExt cx="809066" cy="522195"/>
          </a:xfrm>
        </xdr:grpSpPr>
        <xdr:sp macro="" textlink="">
          <xdr:nvSpPr>
            <xdr:cNvPr id="34" name="矩形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5" name="矩形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903195" y="1194549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6" name="矩形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7" name="矩形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32" name="减号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231571" y="161924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3" name="加号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1918606" y="189139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45</xdr:col>
      <xdr:colOff>257738</xdr:colOff>
      <xdr:row>15</xdr:row>
      <xdr:rowOff>91328</xdr:rowOff>
    </xdr:from>
    <xdr:to>
      <xdr:col>48</xdr:col>
      <xdr:colOff>181539</xdr:colOff>
      <xdr:row>17</xdr:row>
      <xdr:rowOff>62433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pSpPr/>
      </xdr:nvGrpSpPr>
      <xdr:grpSpPr>
        <a:xfrm>
          <a:off x="13368620" y="4461622"/>
          <a:ext cx="797860" cy="553811"/>
          <a:chOff x="1115785" y="2476500"/>
          <a:chExt cx="797860" cy="544286"/>
        </a:xfrm>
      </xdr:grpSpPr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GrpSpPr/>
        </xdr:nvGrpSpPr>
        <xdr:grpSpPr>
          <a:xfrm>
            <a:off x="1115785" y="2476500"/>
            <a:ext cx="797860" cy="540125"/>
            <a:chOff x="907677" y="1199031"/>
            <a:chExt cx="797860" cy="540125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00000000-0008-0000-0400-000033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8" name="加号 47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/>
        </xdr:nvSpPr>
        <xdr:spPr>
          <a:xfrm>
            <a:off x="1401536" y="2775857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9" name="减号 48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/>
        </xdr:nvSpPr>
        <xdr:spPr>
          <a:xfrm>
            <a:off x="1143000" y="250371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108855</xdr:colOff>
      <xdr:row>16</xdr:row>
      <xdr:rowOff>58433</xdr:rowOff>
    </xdr:from>
    <xdr:to>
      <xdr:col>49</xdr:col>
      <xdr:colOff>645458</xdr:colOff>
      <xdr:row>19</xdr:row>
      <xdr:rowOff>16010</xdr:rowOff>
    </xdr:to>
    <xdr:grpSp>
      <xdr:nvGrpSpPr>
        <xdr:cNvPr id="54" name="组合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pSpPr/>
      </xdr:nvGrpSpPr>
      <xdr:grpSpPr>
        <a:xfrm>
          <a:off x="14687708" y="4720080"/>
          <a:ext cx="536603" cy="831636"/>
          <a:chOff x="1153405" y="3422598"/>
          <a:chExt cx="536603" cy="831636"/>
        </a:xfrm>
      </xdr:grpSpPr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56" name="加号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7" name="减号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44</xdr:col>
      <xdr:colOff>179294</xdr:colOff>
      <xdr:row>18</xdr:row>
      <xdr:rowOff>80840</xdr:rowOff>
    </xdr:from>
    <xdr:to>
      <xdr:col>47</xdr:col>
      <xdr:colOff>114301</xdr:colOff>
      <xdr:row>20</xdr:row>
      <xdr:rowOff>20329</xdr:rowOff>
    </xdr:to>
    <xdr:grpSp>
      <xdr:nvGrpSpPr>
        <xdr:cNvPr id="62" name="组合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pSpPr/>
      </xdr:nvGrpSpPr>
      <xdr:grpSpPr>
        <a:xfrm>
          <a:off x="12998823" y="5325193"/>
          <a:ext cx="809066" cy="522195"/>
          <a:chOff x="993321" y="4748893"/>
          <a:chExt cx="809066" cy="522195"/>
        </a:xfrm>
      </xdr:grpSpPr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GrpSpPr/>
        </xdr:nvGrpSpPr>
        <xdr:grpSpPr>
          <a:xfrm rot="10800000">
            <a:off x="993321" y="4748893"/>
            <a:ext cx="809066" cy="522195"/>
            <a:chOff x="627530" y="1194549"/>
            <a:chExt cx="809066" cy="522195"/>
          </a:xfrm>
        </xdr:grpSpPr>
        <xdr:sp macro="" textlink="">
          <xdr:nvSpPr>
            <xdr:cNvPr id="67" name="矩形 66">
              <a:extLst>
                <a:ext uri="{FF2B5EF4-FFF2-40B4-BE49-F238E27FC236}">
                  <a16:creationId xmlns:a16="http://schemas.microsoft.com/office/drawing/2014/main" id="{00000000-0008-0000-0400-000043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8" name="矩形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/>
          </xdr:nvSpPr>
          <xdr:spPr>
            <a:xfrm>
              <a:off x="916802" y="11945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9" name="矩形 68">
              <a:extLst>
                <a:ext uri="{FF2B5EF4-FFF2-40B4-BE49-F238E27FC236}">
                  <a16:creationId xmlns:a16="http://schemas.microsoft.com/office/drawing/2014/main" id="{00000000-0008-0000-0400-000045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0" name="矩形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/>
          </xdr:nvSpPr>
          <xdr:spPr>
            <a:xfrm>
              <a:off x="923526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65" name="加号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996042" y="502375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66" name="减号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/>
        </xdr:nvSpPr>
        <xdr:spPr>
          <a:xfrm>
            <a:off x="1578429" y="5048250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</xdr:col>
      <xdr:colOff>54547</xdr:colOff>
      <xdr:row>14</xdr:row>
      <xdr:rowOff>32067</xdr:rowOff>
    </xdr:from>
    <xdr:to>
      <xdr:col>7</xdr:col>
      <xdr:colOff>21423</xdr:colOff>
      <xdr:row>16</xdr:row>
      <xdr:rowOff>247222</xdr:rowOff>
    </xdr:to>
    <xdr:grpSp>
      <xdr:nvGrpSpPr>
        <xdr:cNvPr id="71" name="组合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pSpPr/>
      </xdr:nvGrpSpPr>
      <xdr:grpSpPr>
        <a:xfrm rot="5400000">
          <a:off x="1387172" y="4235148"/>
          <a:ext cx="797861" cy="549582"/>
          <a:chOff x="1115784" y="2476498"/>
          <a:chExt cx="797861" cy="540130"/>
        </a:xfrm>
      </xdr:grpSpPr>
      <xdr:grpSp>
        <xdr:nvGrpSpPr>
          <xdr:cNvPr id="72" name="组合 71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GrpSpPr/>
        </xdr:nvGrpSpPr>
        <xdr:grpSpPr>
          <a:xfrm>
            <a:off x="1115784" y="2476498"/>
            <a:ext cx="797861" cy="540130"/>
            <a:chOff x="907676" y="1199029"/>
            <a:chExt cx="797861" cy="540130"/>
          </a:xfrm>
        </xdr:grpSpPr>
        <xdr:sp macro="" textlink="">
          <xdr:nvSpPr>
            <xdr:cNvPr id="75" name="矩形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/>
          </xdr:nvSpPr>
          <xdr:spPr>
            <a:xfrm>
              <a:off x="907676" y="119902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6" name="矩形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7" name="矩形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/>
          </xdr:nvSpPr>
          <xdr:spPr>
            <a:xfrm>
              <a:off x="1470213" y="1503835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8" name="矩形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3" name="加号 72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SpPr/>
        </xdr:nvSpPr>
        <xdr:spPr>
          <a:xfrm>
            <a:off x="1121389" y="2478503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4" name="减号 73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SpPr/>
        </xdr:nvSpPr>
        <xdr:spPr>
          <a:xfrm rot="16200000">
            <a:off x="1424904" y="2788151"/>
            <a:ext cx="200597" cy="22152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43</xdr:col>
      <xdr:colOff>104373</xdr:colOff>
      <xdr:row>25</xdr:row>
      <xdr:rowOff>76361</xdr:rowOff>
    </xdr:from>
    <xdr:to>
      <xdr:col>45</xdr:col>
      <xdr:colOff>58270</xdr:colOff>
      <xdr:row>28</xdr:row>
      <xdr:rowOff>33939</xdr:rowOff>
    </xdr:to>
    <xdr:grpSp>
      <xdr:nvGrpSpPr>
        <xdr:cNvPr id="95" name="组合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GrpSpPr/>
      </xdr:nvGrpSpPr>
      <xdr:grpSpPr>
        <a:xfrm>
          <a:off x="12632549" y="7360185"/>
          <a:ext cx="536603" cy="831636"/>
          <a:chOff x="1153405" y="3422598"/>
          <a:chExt cx="536603" cy="831636"/>
        </a:xfrm>
      </xdr:grpSpPr>
      <xdr:grpSp>
        <xdr:nvGrpSpPr>
          <xdr:cNvPr id="96" name="组合 95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99" name="矩形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0" name="矩形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1" name="矩形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2" name="矩形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97" name="加号 96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98" name="减号 97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15</xdr:col>
      <xdr:colOff>40341</xdr:colOff>
      <xdr:row>20</xdr:row>
      <xdr:rowOff>186018</xdr:rowOff>
    </xdr:from>
    <xdr:to>
      <xdr:col>17</xdr:col>
      <xdr:colOff>1921</xdr:colOff>
      <xdr:row>23</xdr:row>
      <xdr:rowOff>130791</xdr:rowOff>
    </xdr:to>
    <xdr:grpSp>
      <xdr:nvGrpSpPr>
        <xdr:cNvPr id="103" name="组合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GrpSpPr/>
      </xdr:nvGrpSpPr>
      <xdr:grpSpPr>
        <a:xfrm>
          <a:off x="4410635" y="6013077"/>
          <a:ext cx="544286" cy="818832"/>
          <a:chOff x="1156607" y="3442607"/>
          <a:chExt cx="544286" cy="818832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107" name="矩形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8" name="矩形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9" name="矩形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0" name="矩形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05" name="加号 104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/>
        </xdr:nvSpPr>
        <xdr:spPr>
          <a:xfrm>
            <a:off x="1455964" y="4016510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06" name="减号 105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/>
        </xdr:nvSpPr>
        <xdr:spPr>
          <a:xfrm>
            <a:off x="1181419" y="3442607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2</xdr:col>
      <xdr:colOff>22412</xdr:colOff>
      <xdr:row>9</xdr:row>
      <xdr:rowOff>22411</xdr:rowOff>
    </xdr:from>
    <xdr:to>
      <xdr:col>12</xdr:col>
      <xdr:colOff>268941</xdr:colOff>
      <xdr:row>19</xdr:row>
      <xdr:rowOff>280147</xdr:rowOff>
    </xdr:to>
    <xdr:sp macro="" textlink="">
      <xdr:nvSpPr>
        <xdr:cNvPr id="111" name="矩形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/>
      </xdr:nvSpPr>
      <xdr:spPr>
        <a:xfrm>
          <a:off x="605118" y="2644587"/>
          <a:ext cx="3160058" cy="317126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62754</xdr:colOff>
      <xdr:row>8</xdr:row>
      <xdr:rowOff>87402</xdr:rowOff>
    </xdr:from>
    <xdr:to>
      <xdr:col>16</xdr:col>
      <xdr:colOff>16330</xdr:colOff>
      <xdr:row>11</xdr:row>
      <xdr:rowOff>24971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4141695" y="2418226"/>
          <a:ext cx="536282" cy="811627"/>
          <a:chOff x="16120785" y="5701552"/>
          <a:chExt cx="536282" cy="811627"/>
        </a:xfrm>
      </xdr:grpSpPr>
      <xdr:grpSp>
        <xdr:nvGrpSpPr>
          <xdr:cNvPr id="112" name="组合 111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113" name="矩形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4" name="矩形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5" name="矩形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6" name="矩形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17" name="加号 116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18" name="减号 117">
            <a:extLst>
              <a:ext uri="{FF2B5EF4-FFF2-40B4-BE49-F238E27FC236}">
                <a16:creationId xmlns:a16="http://schemas.microsoft.com/office/drawing/2014/main" id="{00000000-0008-0000-0400-000076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13</xdr:col>
      <xdr:colOff>17931</xdr:colOff>
      <xdr:row>27</xdr:row>
      <xdr:rowOff>96371</xdr:rowOff>
    </xdr:from>
    <xdr:to>
      <xdr:col>15</xdr:col>
      <xdr:colOff>244291</xdr:colOff>
      <xdr:row>29</xdr:row>
      <xdr:rowOff>31378</xdr:rowOff>
    </xdr:to>
    <xdr:grpSp>
      <xdr:nvGrpSpPr>
        <xdr:cNvPr id="12" name="组合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3805519" y="7962900"/>
          <a:ext cx="809066" cy="517713"/>
          <a:chOff x="15549285" y="6943165"/>
          <a:chExt cx="809066" cy="517713"/>
        </a:xfrm>
      </xdr:grpSpPr>
      <xdr:grpSp>
        <xdr:nvGrpSpPr>
          <xdr:cNvPr id="119" name="组合 118">
            <a:extLst>
              <a:ext uri="{FF2B5EF4-FFF2-40B4-BE49-F238E27FC236}">
                <a16:creationId xmlns:a16="http://schemas.microsoft.com/office/drawing/2014/main" id="{00000000-0008-0000-0400-000077000000}"/>
              </a:ext>
            </a:extLst>
          </xdr:cNvPr>
          <xdr:cNvGrpSpPr/>
        </xdr:nvGrpSpPr>
        <xdr:grpSpPr>
          <a:xfrm>
            <a:off x="15549285" y="6943165"/>
            <a:ext cx="809066" cy="517713"/>
            <a:chOff x="627530" y="1199031"/>
            <a:chExt cx="809066" cy="517713"/>
          </a:xfrm>
        </xdr:grpSpPr>
        <xdr:sp macro="" textlink="">
          <xdr:nvSpPr>
            <xdr:cNvPr id="120" name="矩形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1" name="矩形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/>
          </xdr:nvSpPr>
          <xdr:spPr>
            <a:xfrm>
              <a:off x="914401" y="1205755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2" name="矩形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3" name="矩形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4" name="加号 123">
            <a:extLst>
              <a:ext uri="{FF2B5EF4-FFF2-40B4-BE49-F238E27FC236}">
                <a16:creationId xmlns:a16="http://schemas.microsoft.com/office/drawing/2014/main" id="{00000000-0008-0000-0400-00007C000000}"/>
              </a:ext>
            </a:extLst>
          </xdr:cNvPr>
          <xdr:cNvSpPr/>
        </xdr:nvSpPr>
        <xdr:spPr>
          <a:xfrm>
            <a:off x="15829432" y="7212106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25" name="减号 124">
            <a:extLst>
              <a:ext uri="{FF2B5EF4-FFF2-40B4-BE49-F238E27FC236}">
                <a16:creationId xmlns:a16="http://schemas.microsoft.com/office/drawing/2014/main" id="{00000000-0008-0000-0400-00007D000000}"/>
              </a:ext>
            </a:extLst>
          </xdr:cNvPr>
          <xdr:cNvSpPr/>
        </xdr:nvSpPr>
        <xdr:spPr>
          <a:xfrm>
            <a:off x="15851844" y="6954371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57</xdr:col>
      <xdr:colOff>47065</xdr:colOff>
      <xdr:row>19</xdr:row>
      <xdr:rowOff>138951</xdr:rowOff>
    </xdr:from>
    <xdr:to>
      <xdr:col>59</xdr:col>
      <xdr:colOff>641</xdr:colOff>
      <xdr:row>22</xdr:row>
      <xdr:rowOff>76519</xdr:rowOff>
    </xdr:to>
    <xdr:grpSp>
      <xdr:nvGrpSpPr>
        <xdr:cNvPr id="127" name="组合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GrpSpPr/>
      </xdr:nvGrpSpPr>
      <xdr:grpSpPr>
        <a:xfrm rot="10800000">
          <a:off x="17393771" y="5674657"/>
          <a:ext cx="536282" cy="811627"/>
          <a:chOff x="16120785" y="5701552"/>
          <a:chExt cx="536282" cy="811627"/>
        </a:xfrm>
      </xdr:grpSpPr>
      <xdr:grpSp>
        <xdr:nvGrpSpPr>
          <xdr:cNvPr id="128" name="组合 127">
            <a:extLst>
              <a:ext uri="{FF2B5EF4-FFF2-40B4-BE49-F238E27FC236}">
                <a16:creationId xmlns:a16="http://schemas.microsoft.com/office/drawing/2014/main" id="{00000000-0008-0000-0400-000080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131" name="矩形 130">
              <a:extLst>
                <a:ext uri="{FF2B5EF4-FFF2-40B4-BE49-F238E27FC236}">
                  <a16:creationId xmlns:a16="http://schemas.microsoft.com/office/drawing/2014/main" id="{00000000-0008-0000-0400-000083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2" name="矩形 131">
              <a:extLst>
                <a:ext uri="{FF2B5EF4-FFF2-40B4-BE49-F238E27FC236}">
                  <a16:creationId xmlns:a16="http://schemas.microsoft.com/office/drawing/2014/main" id="{00000000-0008-0000-0400-000084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3" name="矩形 132">
              <a:extLst>
                <a:ext uri="{FF2B5EF4-FFF2-40B4-BE49-F238E27FC236}">
                  <a16:creationId xmlns:a16="http://schemas.microsoft.com/office/drawing/2014/main" id="{00000000-0008-0000-0400-000085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4" name="矩形 133">
              <a:extLst>
                <a:ext uri="{FF2B5EF4-FFF2-40B4-BE49-F238E27FC236}">
                  <a16:creationId xmlns:a16="http://schemas.microsoft.com/office/drawing/2014/main" id="{00000000-0008-0000-0400-000086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9" name="加号 128">
            <a:extLst>
              <a:ext uri="{FF2B5EF4-FFF2-40B4-BE49-F238E27FC236}">
                <a16:creationId xmlns:a16="http://schemas.microsoft.com/office/drawing/2014/main" id="{00000000-0008-0000-0400-000081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0" name="减号 129">
            <a:extLst>
              <a:ext uri="{FF2B5EF4-FFF2-40B4-BE49-F238E27FC236}">
                <a16:creationId xmlns:a16="http://schemas.microsoft.com/office/drawing/2014/main" id="{00000000-0008-0000-0400-000082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665631</xdr:colOff>
      <xdr:row>11</xdr:row>
      <xdr:rowOff>127748</xdr:rowOff>
    </xdr:from>
    <xdr:to>
      <xdr:col>52</xdr:col>
      <xdr:colOff>152403</xdr:colOff>
      <xdr:row>13</xdr:row>
      <xdr:rowOff>85167</xdr:rowOff>
    </xdr:to>
    <xdr:grpSp>
      <xdr:nvGrpSpPr>
        <xdr:cNvPr id="135" name="组合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GrpSpPr/>
      </xdr:nvGrpSpPr>
      <xdr:grpSpPr>
        <a:xfrm>
          <a:off x="15244484" y="3332630"/>
          <a:ext cx="797860" cy="540125"/>
          <a:chOff x="907677" y="1199031"/>
          <a:chExt cx="797860" cy="540125"/>
        </a:xfrm>
      </xdr:grpSpPr>
      <xdr:sp macro="" textlink="">
        <xdr:nvSpPr>
          <xdr:cNvPr id="136" name="矩形 135">
            <a:extLst>
              <a:ext uri="{FF2B5EF4-FFF2-40B4-BE49-F238E27FC236}">
                <a16:creationId xmlns:a16="http://schemas.microsoft.com/office/drawing/2014/main" id="{00000000-0008-0000-0400-000088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7" name="矩形 136">
            <a:extLst>
              <a:ext uri="{FF2B5EF4-FFF2-40B4-BE49-F238E27FC236}">
                <a16:creationId xmlns:a16="http://schemas.microsoft.com/office/drawing/2014/main" id="{00000000-0008-0000-0400-000089000000}"/>
              </a:ext>
            </a:extLst>
          </xdr:cNvPr>
          <xdr:cNvSpPr/>
        </xdr:nvSpPr>
        <xdr:spPr>
          <a:xfrm>
            <a:off x="1194548" y="1497108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8" name="矩形 137">
            <a:extLst>
              <a:ext uri="{FF2B5EF4-FFF2-40B4-BE49-F238E27FC236}">
                <a16:creationId xmlns:a16="http://schemas.microsoft.com/office/drawing/2014/main" id="{00000000-0008-0000-0400-00008A000000}"/>
              </a:ext>
            </a:extLst>
          </xdr:cNvPr>
          <xdr:cNvSpPr/>
        </xdr:nvSpPr>
        <xdr:spPr>
          <a:xfrm>
            <a:off x="1470213" y="1503832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9" name="矩形 138">
            <a:extLst>
              <a:ext uri="{FF2B5EF4-FFF2-40B4-BE49-F238E27FC236}">
                <a16:creationId xmlns:a16="http://schemas.microsoft.com/office/drawing/2014/main" id="{00000000-0008-0000-0400-00008B000000}"/>
              </a:ext>
            </a:extLst>
          </xdr:cNvPr>
          <xdr:cNvSpPr/>
        </xdr:nvSpPr>
        <xdr:spPr>
          <a:xfrm>
            <a:off x="1190066" y="121247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19</xdr:col>
      <xdr:colOff>12886</xdr:colOff>
      <xdr:row>12</xdr:row>
      <xdr:rowOff>193865</xdr:rowOff>
    </xdr:from>
    <xdr:to>
      <xdr:col>20</xdr:col>
      <xdr:colOff>287520</xdr:colOff>
      <xdr:row>15</xdr:row>
      <xdr:rowOff>125029</xdr:rowOff>
    </xdr:to>
    <xdr:grpSp>
      <xdr:nvGrpSpPr>
        <xdr:cNvPr id="126" name="组合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GrpSpPr/>
      </xdr:nvGrpSpPr>
      <xdr:grpSpPr>
        <a:xfrm>
          <a:off x="5548592" y="3690100"/>
          <a:ext cx="565987" cy="805223"/>
          <a:chOff x="2061883" y="2670367"/>
          <a:chExt cx="556462" cy="805223"/>
        </a:xfrm>
      </xdr:grpSpPr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GrpSpPr/>
        </xdr:nvGrpSpPr>
        <xdr:grpSpPr>
          <a:xfrm rot="5400000" flipV="1">
            <a:off x="1946788" y="2785462"/>
            <a:ext cx="786652" cy="556462"/>
            <a:chOff x="918885" y="1222950"/>
            <a:chExt cx="786652" cy="519953"/>
          </a:xfrm>
        </xdr:grpSpPr>
        <xdr:sp macro="" textlink="">
          <xdr:nvSpPr>
            <xdr:cNvPr id="24" name="矩形 23"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918885" y="1231914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5" name="矩形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1183342" y="15075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6" name="矩形 25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7" name="矩形 26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78860" y="122295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40" name="加号 139">
            <a:extLst>
              <a:ext uri="{FF2B5EF4-FFF2-40B4-BE49-F238E27FC236}">
                <a16:creationId xmlns:a16="http://schemas.microsoft.com/office/drawing/2014/main" id="{00000000-0008-0000-0400-00008C000000}"/>
              </a:ext>
            </a:extLst>
          </xdr:cNvPr>
          <xdr:cNvSpPr/>
        </xdr:nvSpPr>
        <xdr:spPr>
          <a:xfrm>
            <a:off x="2364442" y="3230661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41" name="减号 140">
            <a:extLst>
              <a:ext uri="{FF2B5EF4-FFF2-40B4-BE49-F238E27FC236}">
                <a16:creationId xmlns:a16="http://schemas.microsoft.com/office/drawing/2014/main" id="{00000000-0008-0000-0400-00008D000000}"/>
              </a:ext>
            </a:extLst>
          </xdr:cNvPr>
          <xdr:cNvSpPr/>
        </xdr:nvSpPr>
        <xdr:spPr>
          <a:xfrm>
            <a:off x="2084295" y="2689412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684684</xdr:colOff>
      <xdr:row>24</xdr:row>
      <xdr:rowOff>45942</xdr:rowOff>
    </xdr:from>
    <xdr:to>
      <xdr:col>52</xdr:col>
      <xdr:colOff>182662</xdr:colOff>
      <xdr:row>26</xdr:row>
      <xdr:rowOff>5923</xdr:rowOff>
    </xdr:to>
    <xdr:grpSp>
      <xdr:nvGrpSpPr>
        <xdr:cNvPr id="142" name="组合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GrpSpPr/>
      </xdr:nvGrpSpPr>
      <xdr:grpSpPr>
        <a:xfrm>
          <a:off x="15263537" y="7038413"/>
          <a:ext cx="809066" cy="542686"/>
          <a:chOff x="8383124" y="8237444"/>
          <a:chExt cx="809066" cy="542686"/>
        </a:xfrm>
      </xdr:grpSpPr>
      <xdr:grpSp>
        <xdr:nvGrpSpPr>
          <xdr:cNvPr id="143" name="组合 142">
            <a:extLst>
              <a:ext uri="{FF2B5EF4-FFF2-40B4-BE49-F238E27FC236}">
                <a16:creationId xmlns:a16="http://schemas.microsoft.com/office/drawing/2014/main" id="{00000000-0008-0000-0400-00008F000000}"/>
              </a:ext>
            </a:extLst>
          </xdr:cNvPr>
          <xdr:cNvGrpSpPr/>
        </xdr:nvGrpSpPr>
        <xdr:grpSpPr>
          <a:xfrm rot="5400000">
            <a:off x="8520956" y="8099612"/>
            <a:ext cx="533401" cy="809066"/>
            <a:chOff x="903195" y="1199031"/>
            <a:chExt cx="533401" cy="809066"/>
          </a:xfrm>
        </xdr:grpSpPr>
        <xdr:sp macro="" textlink="">
          <xdr:nvSpPr>
            <xdr:cNvPr id="144" name="矩形 143">
              <a:extLst>
                <a:ext uri="{FF2B5EF4-FFF2-40B4-BE49-F238E27FC236}">
                  <a16:creationId xmlns:a16="http://schemas.microsoft.com/office/drawing/2014/main" id="{00000000-0008-0000-0400-00009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5" name="矩形 144">
              <a:extLst>
                <a:ext uri="{FF2B5EF4-FFF2-40B4-BE49-F238E27FC236}">
                  <a16:creationId xmlns:a16="http://schemas.microsoft.com/office/drawing/2014/main" id="{00000000-0008-0000-0400-00009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6" name="矩形 145">
              <a:extLst>
                <a:ext uri="{FF2B5EF4-FFF2-40B4-BE49-F238E27FC236}">
                  <a16:creationId xmlns:a16="http://schemas.microsoft.com/office/drawing/2014/main" id="{00000000-0008-0000-0400-000092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7" name="矩形 146">
              <a:extLst>
                <a:ext uri="{FF2B5EF4-FFF2-40B4-BE49-F238E27FC236}">
                  <a16:creationId xmlns:a16="http://schemas.microsoft.com/office/drawing/2014/main" id="{00000000-0008-0000-0400-000093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48" name="加号 147">
            <a:extLst>
              <a:ext uri="{FF2B5EF4-FFF2-40B4-BE49-F238E27FC236}">
                <a16:creationId xmlns:a16="http://schemas.microsoft.com/office/drawing/2014/main" id="{00000000-0008-0000-0400-000094000000}"/>
              </a:ext>
            </a:extLst>
          </xdr:cNvPr>
          <xdr:cNvSpPr/>
        </xdr:nvSpPr>
        <xdr:spPr>
          <a:xfrm>
            <a:off x="8943418" y="8237444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49" name="减号 148">
            <a:extLst>
              <a:ext uri="{FF2B5EF4-FFF2-40B4-BE49-F238E27FC236}">
                <a16:creationId xmlns:a16="http://schemas.microsoft.com/office/drawing/2014/main" id="{00000000-0008-0000-0400-000095000000}"/>
              </a:ext>
            </a:extLst>
          </xdr:cNvPr>
          <xdr:cNvSpPr/>
        </xdr:nvSpPr>
        <xdr:spPr>
          <a:xfrm>
            <a:off x="8416742" y="8562415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51</xdr:col>
      <xdr:colOff>280149</xdr:colOff>
      <xdr:row>28</xdr:row>
      <xdr:rowOff>56031</xdr:rowOff>
    </xdr:from>
    <xdr:to>
      <xdr:col>54</xdr:col>
      <xdr:colOff>203950</xdr:colOff>
      <xdr:row>30</xdr:row>
      <xdr:rowOff>16011</xdr:rowOff>
    </xdr:to>
    <xdr:grpSp>
      <xdr:nvGrpSpPr>
        <xdr:cNvPr id="150" name="组合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GrpSpPr/>
      </xdr:nvGrpSpPr>
      <xdr:grpSpPr>
        <a:xfrm>
          <a:off x="15878737" y="8213913"/>
          <a:ext cx="797860" cy="542686"/>
          <a:chOff x="2084296" y="2935942"/>
          <a:chExt cx="797860" cy="542686"/>
        </a:xfrm>
      </xdr:grpSpPr>
      <xdr:grpSp>
        <xdr:nvGrpSpPr>
          <xdr:cNvPr id="151" name="组合 150">
            <a:extLst>
              <a:ext uri="{FF2B5EF4-FFF2-40B4-BE49-F238E27FC236}">
                <a16:creationId xmlns:a16="http://schemas.microsoft.com/office/drawing/2014/main" id="{00000000-0008-0000-0400-000097000000}"/>
              </a:ext>
            </a:extLst>
          </xdr:cNvPr>
          <xdr:cNvGrpSpPr/>
        </xdr:nvGrpSpPr>
        <xdr:grpSpPr>
          <a:xfrm>
            <a:off x="2084296" y="2935942"/>
            <a:ext cx="797860" cy="540125"/>
            <a:chOff x="907677" y="1199031"/>
            <a:chExt cx="797860" cy="540125"/>
          </a:xfrm>
        </xdr:grpSpPr>
        <xdr:sp macro="" textlink="">
          <xdr:nvSpPr>
            <xdr:cNvPr id="152" name="矩形 151">
              <a:extLst>
                <a:ext uri="{FF2B5EF4-FFF2-40B4-BE49-F238E27FC236}">
                  <a16:creationId xmlns:a16="http://schemas.microsoft.com/office/drawing/2014/main" id="{00000000-0008-0000-0400-000098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3" name="矩形 152">
              <a:extLst>
                <a:ext uri="{FF2B5EF4-FFF2-40B4-BE49-F238E27FC236}">
                  <a16:creationId xmlns:a16="http://schemas.microsoft.com/office/drawing/2014/main" id="{00000000-0008-0000-0400-000099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4" name="矩形 153">
              <a:extLst>
                <a:ext uri="{FF2B5EF4-FFF2-40B4-BE49-F238E27FC236}">
                  <a16:creationId xmlns:a16="http://schemas.microsoft.com/office/drawing/2014/main" id="{00000000-0008-0000-0400-00009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5" name="矩形 154">
              <a:extLst>
                <a:ext uri="{FF2B5EF4-FFF2-40B4-BE49-F238E27FC236}">
                  <a16:creationId xmlns:a16="http://schemas.microsoft.com/office/drawing/2014/main" id="{00000000-0008-0000-0400-00009B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56" name="加号 155">
            <a:extLst>
              <a:ext uri="{FF2B5EF4-FFF2-40B4-BE49-F238E27FC236}">
                <a16:creationId xmlns:a16="http://schemas.microsoft.com/office/drawing/2014/main" id="{00000000-0008-0000-0400-00009C000000}"/>
              </a:ext>
            </a:extLst>
          </xdr:cNvPr>
          <xdr:cNvSpPr/>
        </xdr:nvSpPr>
        <xdr:spPr>
          <a:xfrm>
            <a:off x="2084296" y="293594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57" name="减号 156">
            <a:extLst>
              <a:ext uri="{FF2B5EF4-FFF2-40B4-BE49-F238E27FC236}">
                <a16:creationId xmlns:a16="http://schemas.microsoft.com/office/drawing/2014/main" id="{00000000-0008-0000-0400-00009D000000}"/>
              </a:ext>
            </a:extLst>
          </xdr:cNvPr>
          <xdr:cNvSpPr/>
        </xdr:nvSpPr>
        <xdr:spPr>
          <a:xfrm>
            <a:off x="2375649" y="3260913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190499</xdr:colOff>
      <xdr:row>3</xdr:row>
      <xdr:rowOff>40822</xdr:rowOff>
    </xdr:from>
    <xdr:to>
      <xdr:col>3</xdr:col>
      <xdr:colOff>518874</xdr:colOff>
      <xdr:row>3</xdr:row>
      <xdr:rowOff>551649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762249" y="653143"/>
          <a:ext cx="328375" cy="510827"/>
          <a:chOff x="1918606" y="1312529"/>
          <a:chExt cx="529559" cy="823792"/>
        </a:xfrm>
      </xdr:grpSpPr>
      <xdr:grpSp>
        <xdr:nvGrpSpPr>
          <xdr:cNvPr id="3" name="组合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pSpPr/>
        </xdr:nvGrpSpPr>
        <xdr:grpSpPr>
          <a:xfrm rot="16200000">
            <a:off x="1782535" y="1455964"/>
            <a:ext cx="809066" cy="522195"/>
            <a:chOff x="627530" y="1194549"/>
            <a:chExt cx="809066" cy="522195"/>
          </a:xfrm>
        </xdr:grpSpPr>
        <xdr:sp macro="" textlink="">
          <xdr:nvSpPr>
            <xdr:cNvPr id="6" name="矩形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" name="矩形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903195" y="1194549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" name="矩形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" name="矩形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" name="减号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2231571" y="161924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" name="加号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18606" y="189139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122465</xdr:colOff>
      <xdr:row>4</xdr:row>
      <xdr:rowOff>91678</xdr:rowOff>
    </xdr:from>
    <xdr:to>
      <xdr:col>3</xdr:col>
      <xdr:colOff>617212</xdr:colOff>
      <xdr:row>4</xdr:row>
      <xdr:rowOff>429186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2694215" y="1275499"/>
          <a:ext cx="494747" cy="337508"/>
          <a:chOff x="1115785" y="2476500"/>
          <a:chExt cx="797860" cy="544286"/>
        </a:xfrm>
      </xdr:grpSpPr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GrpSpPr/>
        </xdr:nvGrpSpPr>
        <xdr:grpSpPr>
          <a:xfrm>
            <a:off x="1115785" y="2476500"/>
            <a:ext cx="797860" cy="540125"/>
            <a:chOff x="907677" y="1199031"/>
            <a:chExt cx="797860" cy="540125"/>
          </a:xfrm>
        </xdr:grpSpPr>
        <xdr:sp macro="" textlink="">
          <xdr:nvSpPr>
            <xdr:cNvPr id="14" name="矩形 13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" name="矩形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6" name="矩形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7" name="矩形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" name="加号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1401536" y="2775857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" name="减号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129393" y="2490107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163287</xdr:colOff>
      <xdr:row>5</xdr:row>
      <xdr:rowOff>4567</xdr:rowOff>
    </xdr:from>
    <xdr:to>
      <xdr:col>3</xdr:col>
      <xdr:colOff>500795</xdr:colOff>
      <xdr:row>5</xdr:row>
      <xdr:rowOff>510829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735037" y="1759888"/>
          <a:ext cx="337508" cy="506262"/>
          <a:chOff x="1156607" y="3442607"/>
          <a:chExt cx="544287" cy="816430"/>
        </a:xfrm>
      </xdr:grpSpPr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22" name="矩形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矩形 22">
              <a:extLst>
                <a:ext uri="{FF2B5EF4-FFF2-40B4-BE49-F238E27FC236}">
                  <a16:creationId xmlns:a16="http://schemas.microsoft.com/office/drawing/2014/main" id="{00000000-0008-0000-0500-000017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矩形 23">
              <a:extLst>
                <a:ext uri="{FF2B5EF4-FFF2-40B4-BE49-F238E27FC236}">
                  <a16:creationId xmlns:a16="http://schemas.microsoft.com/office/drawing/2014/main" id="{00000000-0008-0000-0500-000018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5" name="矩形 24">
              <a:extLst>
                <a:ext uri="{FF2B5EF4-FFF2-40B4-BE49-F238E27FC236}">
                  <a16:creationId xmlns:a16="http://schemas.microsoft.com/office/drawing/2014/main" id="{00000000-0008-0000-0500-00001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20" name="加号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1455965" y="401410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" name="减号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1183821" y="345621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95250</xdr:colOff>
      <xdr:row>6</xdr:row>
      <xdr:rowOff>137714</xdr:rowOff>
    </xdr:from>
    <xdr:to>
      <xdr:col>3</xdr:col>
      <xdr:colOff>596945</xdr:colOff>
      <xdr:row>6</xdr:row>
      <xdr:rowOff>461523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2667000" y="2464535"/>
          <a:ext cx="501695" cy="323809"/>
          <a:chOff x="993321" y="4748893"/>
          <a:chExt cx="809066" cy="522195"/>
        </a:xfrm>
      </xdr:grpSpPr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GrpSpPr/>
        </xdr:nvGrpSpPr>
        <xdr:grpSpPr>
          <a:xfrm rot="10800000">
            <a:off x="993321" y="4748893"/>
            <a:ext cx="809066" cy="522195"/>
            <a:chOff x="627530" y="1194549"/>
            <a:chExt cx="809066" cy="522195"/>
          </a:xfrm>
        </xdr:grpSpPr>
        <xdr:sp macro="" textlink="">
          <xdr:nvSpPr>
            <xdr:cNvPr id="30" name="矩形 29"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1" name="矩形 30"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916802" y="11945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2" name="矩形 31"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3" name="矩形 32"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923526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28" name="加号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996042" y="502375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9" name="减号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1578429" y="5048250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163285</xdr:colOff>
      <xdr:row>7</xdr:row>
      <xdr:rowOff>527414</xdr:rowOff>
    </xdr:from>
    <xdr:to>
      <xdr:col>3</xdr:col>
      <xdr:colOff>496028</xdr:colOff>
      <xdr:row>8</xdr:row>
      <xdr:rowOff>485212</xdr:rowOff>
    </xdr:to>
    <xdr:grpSp>
      <xdr:nvGrpSpPr>
        <xdr:cNvPr id="34" name="组合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pSpPr/>
      </xdr:nvGrpSpPr>
      <xdr:grpSpPr>
        <a:xfrm>
          <a:off x="2735035" y="3425735"/>
          <a:ext cx="332743" cy="529298"/>
          <a:chOff x="1153405" y="3422598"/>
          <a:chExt cx="536603" cy="831636"/>
        </a:xfrm>
      </xdr:grpSpPr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38" name="矩形 37"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9" name="矩形 38">
              <a:extLst>
                <a:ext uri="{FF2B5EF4-FFF2-40B4-BE49-F238E27FC236}">
                  <a16:creationId xmlns:a16="http://schemas.microsoft.com/office/drawing/2014/main" id="{00000000-0008-0000-0500-000027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0" name="矩形 39">
              <a:extLst>
                <a:ext uri="{FF2B5EF4-FFF2-40B4-BE49-F238E27FC236}">
                  <a16:creationId xmlns:a16="http://schemas.microsoft.com/office/drawing/2014/main" id="{00000000-0008-0000-0500-000028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00000000-0008-0000-0500-00002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36" name="加号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7" name="减号 36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170130</xdr:colOff>
      <xdr:row>6</xdr:row>
      <xdr:rowOff>541801</xdr:rowOff>
    </xdr:from>
    <xdr:to>
      <xdr:col>3</xdr:col>
      <xdr:colOff>506677</xdr:colOff>
      <xdr:row>7</xdr:row>
      <xdr:rowOff>478655</xdr:rowOff>
    </xdr:to>
    <xdr:grpSp>
      <xdr:nvGrpSpPr>
        <xdr:cNvPr id="42" name="组合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 rot="5400000">
          <a:off x="2655977" y="2954525"/>
          <a:ext cx="508354" cy="336547"/>
          <a:chOff x="1115784" y="2476498"/>
          <a:chExt cx="797861" cy="533403"/>
        </a:xfrm>
      </xdr:grpSpPr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GrpSpPr/>
        </xdr:nvGrpSpPr>
        <xdr:grpSpPr>
          <a:xfrm>
            <a:off x="1115784" y="2476498"/>
            <a:ext cx="797861" cy="533403"/>
            <a:chOff x="907676" y="1199029"/>
            <a:chExt cx="797861" cy="533403"/>
          </a:xfrm>
        </xdr:grpSpPr>
        <xdr:sp macro="" textlink="">
          <xdr:nvSpPr>
            <xdr:cNvPr id="46" name="矩形 45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SpPr/>
          </xdr:nvSpPr>
          <xdr:spPr>
            <a:xfrm>
              <a:off x="907676" y="119902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7" name="矩形 46">
              <a:extLst>
                <a:ext uri="{FF2B5EF4-FFF2-40B4-BE49-F238E27FC236}">
                  <a16:creationId xmlns:a16="http://schemas.microsoft.com/office/drawing/2014/main" id="{00000000-0008-0000-0500-00002F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8" name="矩形 47">
              <a:extLst>
                <a:ext uri="{FF2B5EF4-FFF2-40B4-BE49-F238E27FC236}">
                  <a16:creationId xmlns:a16="http://schemas.microsoft.com/office/drawing/2014/main" id="{00000000-0008-0000-0500-000030000000}"/>
                </a:ext>
              </a:extLst>
            </xdr:cNvPr>
            <xdr:cNvSpPr/>
          </xdr:nvSpPr>
          <xdr:spPr>
            <a:xfrm>
              <a:off x="1470213" y="149046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4" name="加号 43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/>
        </xdr:nvSpPr>
        <xdr:spPr>
          <a:xfrm>
            <a:off x="1121389" y="2478503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5" name="减号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/>
        </xdr:nvSpPr>
        <xdr:spPr>
          <a:xfrm rot="16200000">
            <a:off x="1424905" y="2774778"/>
            <a:ext cx="200597" cy="22152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 editAs="oneCell">
    <xdr:from>
      <xdr:col>2</xdr:col>
      <xdr:colOff>930713</xdr:colOff>
      <xdr:row>10</xdr:row>
      <xdr:rowOff>122464</xdr:rowOff>
    </xdr:from>
    <xdr:to>
      <xdr:col>2</xdr:col>
      <xdr:colOff>1129393</xdr:colOff>
      <xdr:row>10</xdr:row>
      <xdr:rowOff>455797</xdr:rowOff>
    </xdr:to>
    <xdr:pic>
      <xdr:nvPicPr>
        <xdr:cNvPr id="51" name="图片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345856" y="4640035"/>
          <a:ext cx="198680" cy="333333"/>
        </a:xfrm>
        <a:prstGeom prst="rect">
          <a:avLst/>
        </a:prstGeom>
      </xdr:spPr>
    </xdr:pic>
    <xdr:clientData/>
  </xdr:twoCellAnchor>
  <xdr:twoCellAnchor>
    <xdr:from>
      <xdr:col>3</xdr:col>
      <xdr:colOff>136070</xdr:colOff>
      <xdr:row>10</xdr:row>
      <xdr:rowOff>167490</xdr:rowOff>
    </xdr:from>
    <xdr:to>
      <xdr:col>3</xdr:col>
      <xdr:colOff>619596</xdr:colOff>
      <xdr:row>10</xdr:row>
      <xdr:rowOff>476893</xdr:rowOff>
    </xdr:to>
    <xdr:grpSp>
      <xdr:nvGrpSpPr>
        <xdr:cNvPr id="52" name="组合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GrpSpPr/>
      </xdr:nvGrpSpPr>
      <xdr:grpSpPr>
        <a:xfrm>
          <a:off x="2707820" y="4780311"/>
          <a:ext cx="483526" cy="309403"/>
          <a:chOff x="15549285" y="6943165"/>
          <a:chExt cx="809066" cy="517713"/>
        </a:xfrm>
      </xdr:grpSpPr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GrpSpPr/>
        </xdr:nvGrpSpPr>
        <xdr:grpSpPr>
          <a:xfrm>
            <a:off x="15549285" y="6943165"/>
            <a:ext cx="809066" cy="517713"/>
            <a:chOff x="627530" y="1199031"/>
            <a:chExt cx="809066" cy="51771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00000000-0008-0000-0500-000038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00000000-0008-0000-0500-000039000000}"/>
                </a:ext>
              </a:extLst>
            </xdr:cNvPr>
            <xdr:cNvSpPr/>
          </xdr:nvSpPr>
          <xdr:spPr>
            <a:xfrm>
              <a:off x="914401" y="1205755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00000000-0008-0000-0500-00003B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54" name="加号 53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SpPr/>
        </xdr:nvSpPr>
        <xdr:spPr>
          <a:xfrm>
            <a:off x="15829432" y="7212106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5" name="减号 54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SpPr/>
        </xdr:nvSpPr>
        <xdr:spPr>
          <a:xfrm>
            <a:off x="15851844" y="6954371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204107</xdr:colOff>
      <xdr:row>9</xdr:row>
      <xdr:rowOff>54428</xdr:rowOff>
    </xdr:from>
    <xdr:to>
      <xdr:col>3</xdr:col>
      <xdr:colOff>524607</xdr:colOff>
      <xdr:row>9</xdr:row>
      <xdr:rowOff>539484</xdr:rowOff>
    </xdr:to>
    <xdr:grpSp>
      <xdr:nvGrpSpPr>
        <xdr:cNvPr id="60" name="组合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GrpSpPr/>
      </xdr:nvGrpSpPr>
      <xdr:grpSpPr>
        <a:xfrm>
          <a:off x="2775857" y="4095749"/>
          <a:ext cx="320500" cy="485056"/>
          <a:chOff x="16120785" y="5701552"/>
          <a:chExt cx="536282" cy="811627"/>
        </a:xfrm>
      </xdr:grpSpPr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64" name="矩形 63">
              <a:extLst>
                <a:ext uri="{FF2B5EF4-FFF2-40B4-BE49-F238E27FC236}">
                  <a16:creationId xmlns:a16="http://schemas.microsoft.com/office/drawing/2014/main" id="{00000000-0008-0000-0500-00004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5" name="矩形 64">
              <a:extLst>
                <a:ext uri="{FF2B5EF4-FFF2-40B4-BE49-F238E27FC236}">
                  <a16:creationId xmlns:a16="http://schemas.microsoft.com/office/drawing/2014/main" id="{00000000-0008-0000-0500-00004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6" name="矩形 65">
              <a:extLst>
                <a:ext uri="{FF2B5EF4-FFF2-40B4-BE49-F238E27FC236}">
                  <a16:creationId xmlns:a16="http://schemas.microsoft.com/office/drawing/2014/main" id="{00000000-0008-0000-0500-000042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7" name="矩形 66">
              <a:extLst>
                <a:ext uri="{FF2B5EF4-FFF2-40B4-BE49-F238E27FC236}">
                  <a16:creationId xmlns:a16="http://schemas.microsoft.com/office/drawing/2014/main" id="{00000000-0008-0000-0500-000043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62" name="加号 61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63" name="减号 62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149679</xdr:colOff>
      <xdr:row>11</xdr:row>
      <xdr:rowOff>51852</xdr:rowOff>
    </xdr:from>
    <xdr:to>
      <xdr:col>3</xdr:col>
      <xdr:colOff>482240</xdr:colOff>
      <xdr:row>11</xdr:row>
      <xdr:rowOff>533081</xdr:rowOff>
    </xdr:to>
    <xdr:grpSp>
      <xdr:nvGrpSpPr>
        <xdr:cNvPr id="68" name="组合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pSpPr/>
      </xdr:nvGrpSpPr>
      <xdr:grpSpPr>
        <a:xfrm>
          <a:off x="2721429" y="5236173"/>
          <a:ext cx="332561" cy="481229"/>
          <a:chOff x="2061883" y="2670367"/>
          <a:chExt cx="556462" cy="805223"/>
        </a:xfrm>
      </xdr:grpSpPr>
      <xdr:grpSp>
        <xdr:nvGrpSpPr>
          <xdr:cNvPr id="69" name="组合 68"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GrpSpPr/>
        </xdr:nvGrpSpPr>
        <xdr:grpSpPr>
          <a:xfrm rot="5400000" flipV="1">
            <a:off x="1946788" y="2785462"/>
            <a:ext cx="786652" cy="556462"/>
            <a:chOff x="918885" y="1222950"/>
            <a:chExt cx="786652" cy="519953"/>
          </a:xfrm>
        </xdr:grpSpPr>
        <xdr:sp macro="" textlink="">
          <xdr:nvSpPr>
            <xdr:cNvPr id="72" name="矩形 71">
              <a:extLst>
                <a:ext uri="{FF2B5EF4-FFF2-40B4-BE49-F238E27FC236}">
                  <a16:creationId xmlns:a16="http://schemas.microsoft.com/office/drawing/2014/main" id="{00000000-0008-0000-0500-000048000000}"/>
                </a:ext>
              </a:extLst>
            </xdr:cNvPr>
            <xdr:cNvSpPr/>
          </xdr:nvSpPr>
          <xdr:spPr>
            <a:xfrm>
              <a:off x="918885" y="1231914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3" name="矩形 72">
              <a:extLst>
                <a:ext uri="{FF2B5EF4-FFF2-40B4-BE49-F238E27FC236}">
                  <a16:creationId xmlns:a16="http://schemas.microsoft.com/office/drawing/2014/main" id="{00000000-0008-0000-0500-000049000000}"/>
                </a:ext>
              </a:extLst>
            </xdr:cNvPr>
            <xdr:cNvSpPr/>
          </xdr:nvSpPr>
          <xdr:spPr>
            <a:xfrm>
              <a:off x="1183342" y="15075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4" name="矩形 73">
              <a:extLst>
                <a:ext uri="{FF2B5EF4-FFF2-40B4-BE49-F238E27FC236}">
                  <a16:creationId xmlns:a16="http://schemas.microsoft.com/office/drawing/2014/main" id="{00000000-0008-0000-0500-00004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5" name="矩形 74">
              <a:extLst>
                <a:ext uri="{FF2B5EF4-FFF2-40B4-BE49-F238E27FC236}">
                  <a16:creationId xmlns:a16="http://schemas.microsoft.com/office/drawing/2014/main" id="{00000000-0008-0000-0500-00004B000000}"/>
                </a:ext>
              </a:extLst>
            </xdr:cNvPr>
            <xdr:cNvSpPr/>
          </xdr:nvSpPr>
          <xdr:spPr>
            <a:xfrm>
              <a:off x="1178860" y="122295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0" name="加号 69"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SpPr/>
        </xdr:nvSpPr>
        <xdr:spPr>
          <a:xfrm>
            <a:off x="2364442" y="3230661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1" name="减号 70"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SpPr/>
        </xdr:nvSpPr>
        <xdr:spPr>
          <a:xfrm>
            <a:off x="2084295" y="2689412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95250</xdr:colOff>
      <xdr:row>12</xdr:row>
      <xdr:rowOff>177537</xdr:rowOff>
    </xdr:from>
    <xdr:to>
      <xdr:col>3</xdr:col>
      <xdr:colOff>578776</xdr:colOff>
      <xdr:row>12</xdr:row>
      <xdr:rowOff>501865</xdr:rowOff>
    </xdr:to>
    <xdr:grpSp>
      <xdr:nvGrpSpPr>
        <xdr:cNvPr id="76" name="组合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pSpPr/>
      </xdr:nvGrpSpPr>
      <xdr:grpSpPr>
        <a:xfrm>
          <a:off x="2667000" y="5933358"/>
          <a:ext cx="483526" cy="324328"/>
          <a:chOff x="8383124" y="8237444"/>
          <a:chExt cx="809066" cy="542686"/>
        </a:xfrm>
      </xdr:grpSpPr>
      <xdr:grpSp>
        <xdr:nvGrpSpPr>
          <xdr:cNvPr id="77" name="组合 76">
            <a:extLst>
              <a:ext uri="{FF2B5EF4-FFF2-40B4-BE49-F238E27FC236}">
                <a16:creationId xmlns:a16="http://schemas.microsoft.com/office/drawing/2014/main" id="{00000000-0008-0000-0500-00004D000000}"/>
              </a:ext>
            </a:extLst>
          </xdr:cNvPr>
          <xdr:cNvGrpSpPr/>
        </xdr:nvGrpSpPr>
        <xdr:grpSpPr>
          <a:xfrm rot="5400000">
            <a:off x="8520956" y="8099612"/>
            <a:ext cx="533401" cy="809066"/>
            <a:chOff x="903195" y="1199031"/>
            <a:chExt cx="533401" cy="809066"/>
          </a:xfrm>
        </xdr:grpSpPr>
        <xdr:sp macro="" textlink="">
          <xdr:nvSpPr>
            <xdr:cNvPr id="80" name="矩形 79">
              <a:extLst>
                <a:ext uri="{FF2B5EF4-FFF2-40B4-BE49-F238E27FC236}">
                  <a16:creationId xmlns:a16="http://schemas.microsoft.com/office/drawing/2014/main" id="{00000000-0008-0000-0500-00005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1" name="矩形 80">
              <a:extLst>
                <a:ext uri="{FF2B5EF4-FFF2-40B4-BE49-F238E27FC236}">
                  <a16:creationId xmlns:a16="http://schemas.microsoft.com/office/drawing/2014/main" id="{00000000-0008-0000-0500-00005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2" name="矩形 81">
              <a:extLst>
                <a:ext uri="{FF2B5EF4-FFF2-40B4-BE49-F238E27FC236}">
                  <a16:creationId xmlns:a16="http://schemas.microsoft.com/office/drawing/2014/main" id="{00000000-0008-0000-0500-000052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3" name="矩形 82">
              <a:extLst>
                <a:ext uri="{FF2B5EF4-FFF2-40B4-BE49-F238E27FC236}">
                  <a16:creationId xmlns:a16="http://schemas.microsoft.com/office/drawing/2014/main" id="{00000000-0008-0000-0500-000053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8" name="加号 77">
            <a:extLst>
              <a:ext uri="{FF2B5EF4-FFF2-40B4-BE49-F238E27FC236}">
                <a16:creationId xmlns:a16="http://schemas.microsoft.com/office/drawing/2014/main" id="{00000000-0008-0000-0500-00004E000000}"/>
              </a:ext>
            </a:extLst>
          </xdr:cNvPr>
          <xdr:cNvSpPr/>
        </xdr:nvSpPr>
        <xdr:spPr>
          <a:xfrm>
            <a:off x="8943418" y="8237444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9" name="减号 78">
            <a:extLst>
              <a:ext uri="{FF2B5EF4-FFF2-40B4-BE49-F238E27FC236}">
                <a16:creationId xmlns:a16="http://schemas.microsoft.com/office/drawing/2014/main" id="{00000000-0008-0000-0500-00004F000000}"/>
              </a:ext>
            </a:extLst>
          </xdr:cNvPr>
          <xdr:cNvSpPr/>
        </xdr:nvSpPr>
        <xdr:spPr>
          <a:xfrm>
            <a:off x="8416742" y="8562415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68035</xdr:colOff>
      <xdr:row>13</xdr:row>
      <xdr:rowOff>109501</xdr:rowOff>
    </xdr:from>
    <xdr:to>
      <xdr:col>3</xdr:col>
      <xdr:colOff>544864</xdr:colOff>
      <xdr:row>13</xdr:row>
      <xdr:rowOff>433829</xdr:rowOff>
    </xdr:to>
    <xdr:grpSp>
      <xdr:nvGrpSpPr>
        <xdr:cNvPr id="84" name="组合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pSpPr/>
      </xdr:nvGrpSpPr>
      <xdr:grpSpPr>
        <a:xfrm>
          <a:off x="2639785" y="6436822"/>
          <a:ext cx="476829" cy="324328"/>
          <a:chOff x="2084296" y="2935942"/>
          <a:chExt cx="797860" cy="542686"/>
        </a:xfrm>
      </xdr:grpSpPr>
      <xdr:grpSp>
        <xdr:nvGrpSpPr>
          <xdr:cNvPr id="85" name="组合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GrpSpPr/>
        </xdr:nvGrpSpPr>
        <xdr:grpSpPr>
          <a:xfrm>
            <a:off x="2084296" y="2935942"/>
            <a:ext cx="797860" cy="540125"/>
            <a:chOff x="907677" y="1199031"/>
            <a:chExt cx="797860" cy="540125"/>
          </a:xfrm>
        </xdr:grpSpPr>
        <xdr:sp macro="" textlink="">
          <xdr:nvSpPr>
            <xdr:cNvPr id="88" name="矩形 87">
              <a:extLst>
                <a:ext uri="{FF2B5EF4-FFF2-40B4-BE49-F238E27FC236}">
                  <a16:creationId xmlns:a16="http://schemas.microsoft.com/office/drawing/2014/main" id="{00000000-0008-0000-0500-000058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9" name="矩形 88">
              <a:extLst>
                <a:ext uri="{FF2B5EF4-FFF2-40B4-BE49-F238E27FC236}">
                  <a16:creationId xmlns:a16="http://schemas.microsoft.com/office/drawing/2014/main" id="{00000000-0008-0000-0500-000059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0" name="矩形 89">
              <a:extLst>
                <a:ext uri="{FF2B5EF4-FFF2-40B4-BE49-F238E27FC236}">
                  <a16:creationId xmlns:a16="http://schemas.microsoft.com/office/drawing/2014/main" id="{00000000-0008-0000-0500-00005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1" name="矩形 90">
              <a:extLst>
                <a:ext uri="{FF2B5EF4-FFF2-40B4-BE49-F238E27FC236}">
                  <a16:creationId xmlns:a16="http://schemas.microsoft.com/office/drawing/2014/main" id="{00000000-0008-0000-0500-00005B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86" name="加号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SpPr/>
        </xdr:nvSpPr>
        <xdr:spPr>
          <a:xfrm>
            <a:off x="2084296" y="293594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7" name="减号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>
            <a:off x="2375649" y="3260913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2</xdr:col>
      <xdr:colOff>930713</xdr:colOff>
      <xdr:row>21</xdr:row>
      <xdr:rowOff>122464</xdr:rowOff>
    </xdr:from>
    <xdr:ext cx="198680" cy="333333"/>
    <xdr:pic>
      <xdr:nvPicPr>
        <xdr:cNvPr id="92" name="图片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345856" y="4640035"/>
          <a:ext cx="198680" cy="333333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5" totalsRowShown="0" headerRowDxfId="173" dataDxfId="172">
  <autoFilter ref="A3:L25"/>
  <tableColumns count="12">
    <tableColumn id="1" name="id" dataDxfId="171"/>
    <tableColumn id="2" name="name" dataDxfId="170"/>
    <tableColumn id="3" name="descrip" dataDxfId="169"/>
    <tableColumn id="9" name="color" dataDxfId="168">
      <calculatedColumnFormula>[1]!颜色转换成内嵌函数()</calculatedColumnFormula>
    </tableColumn>
    <tableColumn id="4" name="level" dataDxfId="167"/>
    <tableColumn id="10" name="upgradeId" dataDxfId="166"/>
    <tableColumn id="7" name="stuffCost" dataDxfId="165"/>
    <tableColumn id="6" name="power" dataDxfId="164">
      <calculatedColumnFormula>ROUND(S4,0)&amp; "~" &amp; ROUND(T4,0)</calculatedColumnFormula>
    </tableColumn>
    <tableColumn id="5" name="skillPoint" dataDxfId="163"/>
    <tableColumn id="11" name="chipGridReqire" dataDxfId="162"/>
    <tableColumn id="12" name="propertyAddition" dataDxfId="161"/>
    <tableColumn id="8" name="model" dataDxfId="16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M15" sqref="M15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57</v>
      </c>
      <c r="B1" s="14" t="s">
        <v>59</v>
      </c>
      <c r="C1" s="14" t="s">
        <v>60</v>
      </c>
    </row>
    <row r="2" spans="1:3" ht="16.5" x14ac:dyDescent="0.15">
      <c r="A2" s="15" t="s">
        <v>17</v>
      </c>
      <c r="B2" s="20" t="s">
        <v>49</v>
      </c>
      <c r="C2" s="15" t="s">
        <v>48</v>
      </c>
    </row>
    <row r="3" spans="1:3" ht="15" x14ac:dyDescent="0.15">
      <c r="A3" s="17" t="s">
        <v>0</v>
      </c>
      <c r="B3" s="21" t="s">
        <v>50</v>
      </c>
      <c r="C3" s="17" t="s">
        <v>58</v>
      </c>
    </row>
    <row r="4" spans="1:3" ht="16.5" x14ac:dyDescent="0.15">
      <c r="A4" s="15">
        <v>1</v>
      </c>
      <c r="B4" s="15" t="s">
        <v>192</v>
      </c>
      <c r="C4" s="15" t="s">
        <v>193</v>
      </c>
    </row>
    <row r="5" spans="1:3" ht="16.5" x14ac:dyDescent="0.15">
      <c r="A5" s="15">
        <v>2</v>
      </c>
      <c r="B5" s="15" t="s">
        <v>194</v>
      </c>
      <c r="C5" s="15" t="s">
        <v>195</v>
      </c>
    </row>
    <row r="6" spans="1:3" ht="16.5" x14ac:dyDescent="0.15">
      <c r="A6" s="15">
        <v>3</v>
      </c>
      <c r="B6" s="15" t="s">
        <v>196</v>
      </c>
      <c r="C6" s="15" t="s">
        <v>197</v>
      </c>
    </row>
  </sheetData>
  <autoFilter ref="A3:C6"/>
  <phoneticPr fontId="1" type="noConversion"/>
  <conditionalFormatting sqref="A3:C3">
    <cfRule type="duplicateValues" dxfId="178" priority="44"/>
  </conditionalFormatting>
  <conditionalFormatting sqref="A7:A1048576">
    <cfRule type="duplicateValues" dxfId="177" priority="45"/>
  </conditionalFormatting>
  <conditionalFormatting sqref="A4:A6">
    <cfRule type="duplicateValues" dxfId="17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49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1" sqref="C11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74.7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44.375" style="11" bestFit="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41" t="s">
        <v>70</v>
      </c>
      <c r="B1" s="41" t="s">
        <v>64</v>
      </c>
      <c r="C1" s="14" t="s">
        <v>80</v>
      </c>
      <c r="D1" s="41" t="s">
        <v>32</v>
      </c>
      <c r="E1" s="41" t="s">
        <v>71</v>
      </c>
      <c r="F1" s="41" t="s">
        <v>72</v>
      </c>
      <c r="G1" s="41" t="s">
        <v>73</v>
      </c>
      <c r="H1" s="14" t="s">
        <v>75</v>
      </c>
      <c r="I1" s="14" t="s">
        <v>76</v>
      </c>
      <c r="J1" s="41" t="s">
        <v>65</v>
      </c>
      <c r="K1" s="41" t="s">
        <v>74</v>
      </c>
      <c r="L1" s="14" t="s">
        <v>66</v>
      </c>
      <c r="M1" s="6"/>
      <c r="N1" s="6"/>
      <c r="O1" s="69" t="s">
        <v>19</v>
      </c>
      <c r="P1" s="69" t="s">
        <v>21</v>
      </c>
      <c r="Q1" s="69" t="s">
        <v>5</v>
      </c>
      <c r="R1" s="69" t="s">
        <v>11</v>
      </c>
      <c r="S1" s="69" t="s">
        <v>12</v>
      </c>
      <c r="T1" s="69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77</v>
      </c>
      <c r="B2" s="16" t="s">
        <v>1</v>
      </c>
      <c r="C2" s="16" t="s">
        <v>79</v>
      </c>
      <c r="D2" s="16" t="s">
        <v>15</v>
      </c>
      <c r="E2" s="16" t="s">
        <v>3</v>
      </c>
      <c r="F2" s="16" t="s">
        <v>17</v>
      </c>
      <c r="G2" s="16" t="s">
        <v>68</v>
      </c>
      <c r="H2" s="16" t="s">
        <v>33</v>
      </c>
      <c r="I2" s="16" t="s">
        <v>61</v>
      </c>
      <c r="J2" s="20" t="s">
        <v>44</v>
      </c>
      <c r="K2" s="16" t="s">
        <v>67</v>
      </c>
      <c r="L2" s="16" t="s">
        <v>14</v>
      </c>
      <c r="M2" s="6"/>
      <c r="N2" s="6"/>
      <c r="O2" s="70"/>
      <c r="P2" s="70"/>
      <c r="Q2" s="70"/>
      <c r="R2" s="70"/>
      <c r="S2" s="70"/>
      <c r="T2" s="70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52</v>
      </c>
      <c r="D3" s="17" t="s">
        <v>16</v>
      </c>
      <c r="E3" s="17" t="s">
        <v>4</v>
      </c>
      <c r="F3" s="17" t="s">
        <v>18</v>
      </c>
      <c r="G3" s="17" t="s">
        <v>69</v>
      </c>
      <c r="H3" s="17" t="s">
        <v>51</v>
      </c>
      <c r="I3" s="17" t="s">
        <v>20</v>
      </c>
      <c r="J3" s="21" t="s">
        <v>45</v>
      </c>
      <c r="K3" s="17" t="s">
        <v>63</v>
      </c>
      <c r="L3" s="17" t="s">
        <v>10</v>
      </c>
      <c r="M3" s="7"/>
      <c r="N3" s="7"/>
      <c r="O3" s="71"/>
      <c r="P3" s="71"/>
      <c r="Q3" s="71"/>
      <c r="R3" s="71"/>
      <c r="S3" s="71"/>
      <c r="T3" s="71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">
        <v>81</v>
      </c>
      <c r="C4" s="15" t="s">
        <v>220</v>
      </c>
      <c r="D4" s="39" t="str">
        <f>[1]!颜色转换成内嵌函数()</f>
        <v>※color(181,79,79)[]</v>
      </c>
      <c r="E4" s="15">
        <v>1</v>
      </c>
      <c r="F4" s="15">
        <v>100101</v>
      </c>
      <c r="G4" s="15" t="s">
        <v>78</v>
      </c>
      <c r="H4" s="15" t="str">
        <f t="shared" ref="H4:H25" si="0">ROUND(S4,0)&amp; "~" &amp; ROUND(T4,0)</f>
        <v>5~8</v>
      </c>
      <c r="I4" s="16" t="s">
        <v>198</v>
      </c>
      <c r="J4" s="16" t="s">
        <v>40</v>
      </c>
      <c r="K4" s="15" t="s">
        <v>81</v>
      </c>
      <c r="L4" s="15" t="s">
        <v>181</v>
      </c>
      <c r="M4" s="7"/>
      <c r="N4" s="7"/>
      <c r="O4" s="8"/>
      <c r="P4" s="8" t="s">
        <v>180</v>
      </c>
      <c r="Q4" s="8">
        <v>3</v>
      </c>
      <c r="R4" s="65">
        <v>5</v>
      </c>
      <c r="S4" s="8">
        <f>R4</f>
        <v>5</v>
      </c>
      <c r="T4" s="8">
        <f>Q4+S4</f>
        <v>8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">
        <v>83</v>
      </c>
      <c r="C5" s="15" t="s">
        <v>221</v>
      </c>
      <c r="D5" s="39" t="str">
        <f>[1]!颜色转换成内嵌函数()</f>
        <v>※color(181,79,79)[]</v>
      </c>
      <c r="E5" s="15">
        <v>1</v>
      </c>
      <c r="F5" s="15">
        <v>100102</v>
      </c>
      <c r="G5" s="15" t="s">
        <v>78</v>
      </c>
      <c r="H5" s="15" t="str">
        <f t="shared" si="0"/>
        <v>5~8</v>
      </c>
      <c r="I5" s="16" t="s">
        <v>199</v>
      </c>
      <c r="J5" s="16" t="s">
        <v>40</v>
      </c>
      <c r="K5" s="15" t="s">
        <v>83</v>
      </c>
      <c r="L5" s="15" t="s">
        <v>182</v>
      </c>
      <c r="M5" s="7"/>
      <c r="N5" s="7"/>
      <c r="O5" s="8"/>
      <c r="P5" s="8" t="s">
        <v>160</v>
      </c>
      <c r="Q5" s="8">
        <v>3</v>
      </c>
      <c r="R5" s="65">
        <v>5</v>
      </c>
      <c r="S5" s="8">
        <f t="shared" ref="S5:S14" si="1">R5</f>
        <v>5</v>
      </c>
      <c r="T5" s="8">
        <f t="shared" ref="T5:T9" si="2">Q5+S5</f>
        <v>8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">
        <v>85</v>
      </c>
      <c r="C6" s="15" t="s">
        <v>222</v>
      </c>
      <c r="D6" s="39" t="str">
        <f>[1]!颜色转换成内嵌函数()</f>
        <v>※color(181,79,79)[]</v>
      </c>
      <c r="E6" s="15">
        <v>1</v>
      </c>
      <c r="F6" s="15">
        <v>100103</v>
      </c>
      <c r="G6" s="15" t="s">
        <v>78</v>
      </c>
      <c r="H6" s="15" t="str">
        <f t="shared" si="0"/>
        <v>5~8</v>
      </c>
      <c r="I6" s="16" t="s">
        <v>200</v>
      </c>
      <c r="J6" s="16" t="s">
        <v>40</v>
      </c>
      <c r="K6" s="15" t="s">
        <v>85</v>
      </c>
      <c r="L6" s="15" t="s">
        <v>183</v>
      </c>
      <c r="M6" s="7"/>
      <c r="N6" s="7"/>
      <c r="O6" s="8"/>
      <c r="P6" s="8" t="s">
        <v>162</v>
      </c>
      <c r="Q6" s="8">
        <v>3</v>
      </c>
      <c r="R6" s="65">
        <v>5</v>
      </c>
      <c r="S6" s="8">
        <f t="shared" si="1"/>
        <v>5</v>
      </c>
      <c r="T6" s="8">
        <f t="shared" si="2"/>
        <v>8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">
        <v>87</v>
      </c>
      <c r="C7" s="15" t="s">
        <v>223</v>
      </c>
      <c r="D7" s="39" t="str">
        <f>[1]!颜色转换成内嵌函数()</f>
        <v>※color(181,79,79)[]</v>
      </c>
      <c r="E7" s="15">
        <v>1</v>
      </c>
      <c r="F7" s="15">
        <v>100104</v>
      </c>
      <c r="G7" s="15" t="s">
        <v>78</v>
      </c>
      <c r="H7" s="15" t="str">
        <f t="shared" si="0"/>
        <v>5~8</v>
      </c>
      <c r="I7" s="16" t="s">
        <v>199</v>
      </c>
      <c r="J7" s="16" t="s">
        <v>40</v>
      </c>
      <c r="K7" s="15" t="s">
        <v>87</v>
      </c>
      <c r="L7" s="15" t="s">
        <v>184</v>
      </c>
      <c r="M7" s="7"/>
      <c r="N7" s="7"/>
      <c r="O7" s="8"/>
      <c r="P7" s="8" t="s">
        <v>164</v>
      </c>
      <c r="Q7" s="8">
        <v>3</v>
      </c>
      <c r="R7" s="65">
        <v>5</v>
      </c>
      <c r="S7" s="8">
        <f t="shared" si="1"/>
        <v>5</v>
      </c>
      <c r="T7" s="8">
        <f t="shared" si="2"/>
        <v>8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">
        <v>89</v>
      </c>
      <c r="C8" s="15" t="s">
        <v>224</v>
      </c>
      <c r="D8" s="39" t="str">
        <f>[1]!颜色转换成内嵌函数()</f>
        <v>※color(181,79,79)[]</v>
      </c>
      <c r="E8" s="15">
        <v>1</v>
      </c>
      <c r="F8" s="15">
        <v>100105</v>
      </c>
      <c r="G8" s="15" t="s">
        <v>78</v>
      </c>
      <c r="H8" s="15" t="str">
        <f t="shared" si="0"/>
        <v>5~8</v>
      </c>
      <c r="I8" s="16" t="s">
        <v>198</v>
      </c>
      <c r="J8" s="16" t="s">
        <v>40</v>
      </c>
      <c r="K8" s="15" t="s">
        <v>89</v>
      </c>
      <c r="L8" s="15" t="s">
        <v>185</v>
      </c>
      <c r="M8" s="7"/>
      <c r="N8" s="7"/>
      <c r="O8" s="8"/>
      <c r="P8" s="8" t="s">
        <v>166</v>
      </c>
      <c r="Q8" s="8">
        <v>3</v>
      </c>
      <c r="R8" s="65">
        <v>5</v>
      </c>
      <c r="S8" s="8">
        <f t="shared" si="1"/>
        <v>5</v>
      </c>
      <c r="T8" s="8">
        <f t="shared" si="2"/>
        <v>8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">
        <v>91</v>
      </c>
      <c r="C9" s="15" t="s">
        <v>225</v>
      </c>
      <c r="D9" s="39" t="str">
        <f>[1]!颜色转换成内嵌函数()</f>
        <v>※color(181,79,79)[]</v>
      </c>
      <c r="E9" s="15">
        <v>1</v>
      </c>
      <c r="F9" s="15">
        <v>100106</v>
      </c>
      <c r="G9" s="15" t="s">
        <v>78</v>
      </c>
      <c r="H9" s="15" t="str">
        <f t="shared" si="0"/>
        <v>5~8</v>
      </c>
      <c r="I9" s="16" t="s">
        <v>201</v>
      </c>
      <c r="J9" s="16" t="s">
        <v>40</v>
      </c>
      <c r="K9" s="15" t="s">
        <v>91</v>
      </c>
      <c r="L9" s="15" t="s">
        <v>186</v>
      </c>
      <c r="M9" s="7"/>
      <c r="N9" s="7"/>
      <c r="O9" s="8"/>
      <c r="P9" s="8" t="s">
        <v>168</v>
      </c>
      <c r="Q9" s="8">
        <v>3</v>
      </c>
      <c r="R9" s="65">
        <v>5</v>
      </c>
      <c r="S9" s="8">
        <f t="shared" si="1"/>
        <v>5</v>
      </c>
      <c r="T9" s="8">
        <f t="shared" si="2"/>
        <v>8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">
        <v>93</v>
      </c>
      <c r="C10" s="15" t="s">
        <v>226</v>
      </c>
      <c r="D10" s="39" t="str">
        <f>[1]!颜色转换成内嵌函数()</f>
        <v>※color(181,79,79)[]</v>
      </c>
      <c r="E10" s="15">
        <v>1</v>
      </c>
      <c r="F10" s="15">
        <v>100107</v>
      </c>
      <c r="G10" s="15" t="s">
        <v>78</v>
      </c>
      <c r="H10" s="15" t="str">
        <f t="shared" si="0"/>
        <v>5~8</v>
      </c>
      <c r="I10" s="16" t="s">
        <v>202</v>
      </c>
      <c r="J10" s="16" t="s">
        <v>40</v>
      </c>
      <c r="K10" s="15" t="s">
        <v>93</v>
      </c>
      <c r="L10" s="15" t="s">
        <v>187</v>
      </c>
      <c r="M10" s="7"/>
      <c r="N10" s="7"/>
      <c r="O10" s="8"/>
      <c r="P10" s="8" t="s">
        <v>170</v>
      </c>
      <c r="Q10" s="8">
        <v>3</v>
      </c>
      <c r="R10" s="65">
        <v>5</v>
      </c>
      <c r="S10" s="8">
        <f t="shared" si="1"/>
        <v>5</v>
      </c>
      <c r="T10" s="8">
        <f>Q10+S10</f>
        <v>8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">
        <v>95</v>
      </c>
      <c r="C11" s="15" t="s">
        <v>227</v>
      </c>
      <c r="D11" s="39" t="str">
        <f>[1]!颜色转换成内嵌函数()</f>
        <v>※color(181,79,79)[]</v>
      </c>
      <c r="E11" s="15">
        <v>1</v>
      </c>
      <c r="F11" s="15">
        <v>100108</v>
      </c>
      <c r="G11" s="15" t="s">
        <v>78</v>
      </c>
      <c r="H11" s="15" t="str">
        <f t="shared" si="0"/>
        <v>5~8</v>
      </c>
      <c r="I11" s="16" t="s">
        <v>203</v>
      </c>
      <c r="J11" s="16" t="s">
        <v>40</v>
      </c>
      <c r="K11" s="15" t="s">
        <v>95</v>
      </c>
      <c r="L11" s="15" t="s">
        <v>188</v>
      </c>
      <c r="M11" s="7"/>
      <c r="N11" s="7"/>
      <c r="O11" s="8"/>
      <c r="P11" s="8" t="s">
        <v>172</v>
      </c>
      <c r="Q11" s="8">
        <v>3</v>
      </c>
      <c r="R11" s="65">
        <v>5</v>
      </c>
      <c r="S11" s="8">
        <f t="shared" si="1"/>
        <v>5</v>
      </c>
      <c r="T11" s="8">
        <f t="shared" ref="T11:T15" si="3">Q11+S11</f>
        <v>8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">
        <v>97</v>
      </c>
      <c r="C12" s="15" t="s">
        <v>228</v>
      </c>
      <c r="D12" s="39" t="str">
        <f>[1]!颜色转换成内嵌函数()</f>
        <v>※color(181,79,79)[]</v>
      </c>
      <c r="E12" s="15">
        <v>1</v>
      </c>
      <c r="F12" s="15">
        <v>100109</v>
      </c>
      <c r="G12" s="15" t="s">
        <v>78</v>
      </c>
      <c r="H12" s="15" t="str">
        <f t="shared" si="0"/>
        <v>5~8</v>
      </c>
      <c r="I12" s="16" t="s">
        <v>202</v>
      </c>
      <c r="J12" s="16" t="s">
        <v>40</v>
      </c>
      <c r="K12" s="15" t="s">
        <v>97</v>
      </c>
      <c r="L12" s="15" t="s">
        <v>189</v>
      </c>
      <c r="M12" s="7"/>
      <c r="N12" s="7"/>
      <c r="O12" s="8"/>
      <c r="P12" s="8" t="s">
        <v>174</v>
      </c>
      <c r="Q12" s="8">
        <v>3</v>
      </c>
      <c r="R12" s="65">
        <v>5</v>
      </c>
      <c r="S12" s="8">
        <f t="shared" si="1"/>
        <v>5</v>
      </c>
      <c r="T12" s="8">
        <f t="shared" si="3"/>
        <v>8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">
        <v>99</v>
      </c>
      <c r="C13" s="15" t="s">
        <v>229</v>
      </c>
      <c r="D13" s="39" t="str">
        <f>[1]!颜色转换成内嵌函数()</f>
        <v>※color(181,79,79)[]</v>
      </c>
      <c r="E13" s="15">
        <v>1</v>
      </c>
      <c r="F13" s="15">
        <v>100110</v>
      </c>
      <c r="G13" s="15" t="s">
        <v>78</v>
      </c>
      <c r="H13" s="15" t="str">
        <f t="shared" si="0"/>
        <v>5~8</v>
      </c>
      <c r="I13" s="16" t="s">
        <v>204</v>
      </c>
      <c r="J13" s="16" t="s">
        <v>40</v>
      </c>
      <c r="K13" s="15" t="s">
        <v>99</v>
      </c>
      <c r="L13" s="15" t="s">
        <v>190</v>
      </c>
      <c r="M13" s="7"/>
      <c r="N13" s="7"/>
      <c r="O13" s="8"/>
      <c r="P13" s="8" t="s">
        <v>176</v>
      </c>
      <c r="Q13" s="8">
        <v>3</v>
      </c>
      <c r="R13" s="65">
        <v>5</v>
      </c>
      <c r="S13" s="8">
        <f t="shared" si="1"/>
        <v>5</v>
      </c>
      <c r="T13" s="8">
        <f t="shared" si="3"/>
        <v>8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">
        <v>101</v>
      </c>
      <c r="C14" s="15" t="s">
        <v>230</v>
      </c>
      <c r="D14" s="39" t="str">
        <f>[1]!颜色转换成内嵌函数()</f>
        <v>※color(181,79,79)[]</v>
      </c>
      <c r="E14" s="15">
        <v>1</v>
      </c>
      <c r="F14" s="15">
        <v>100111</v>
      </c>
      <c r="G14" s="15" t="s">
        <v>78</v>
      </c>
      <c r="H14" s="15" t="str">
        <f t="shared" si="0"/>
        <v>5~8</v>
      </c>
      <c r="I14" s="16" t="s">
        <v>204</v>
      </c>
      <c r="J14" s="16" t="s">
        <v>40</v>
      </c>
      <c r="K14" s="15" t="s">
        <v>101</v>
      </c>
      <c r="L14" s="15" t="s">
        <v>191</v>
      </c>
      <c r="M14" s="7"/>
      <c r="N14" s="7"/>
      <c r="O14" s="8"/>
      <c r="P14" s="8" t="s">
        <v>178</v>
      </c>
      <c r="Q14" s="8">
        <v>3</v>
      </c>
      <c r="R14" s="65">
        <v>5</v>
      </c>
      <c r="S14" s="8">
        <f t="shared" si="1"/>
        <v>5</v>
      </c>
      <c r="T14" s="8">
        <f t="shared" si="3"/>
        <v>8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100101</v>
      </c>
      <c r="B15" s="15" t="s">
        <v>82</v>
      </c>
      <c r="C15" s="15" t="s">
        <v>231</v>
      </c>
      <c r="D15" s="66" t="str">
        <f>[1]!颜色转换成内嵌函数()</f>
        <v>※color(83,141,213)[]</v>
      </c>
      <c r="E15" s="15">
        <v>2</v>
      </c>
      <c r="F15" s="15"/>
      <c r="G15" s="15" t="s">
        <v>78</v>
      </c>
      <c r="H15" s="15" t="str">
        <f t="shared" si="0"/>
        <v>8~12</v>
      </c>
      <c r="I15" s="16" t="s">
        <v>205</v>
      </c>
      <c r="J15" s="16" t="s">
        <v>38</v>
      </c>
      <c r="K15" s="15" t="s">
        <v>82</v>
      </c>
      <c r="L15" s="15" t="s">
        <v>181</v>
      </c>
      <c r="M15" s="7"/>
      <c r="N15" s="7"/>
      <c r="O15" s="8"/>
      <c r="P15" s="8" t="s">
        <v>180</v>
      </c>
      <c r="Q15" s="8">
        <v>4</v>
      </c>
      <c r="R15" s="8">
        <f>R4+Q15/2</f>
        <v>7</v>
      </c>
      <c r="S15" s="8">
        <f>S4+Q4/2+1</f>
        <v>7.5</v>
      </c>
      <c r="T15" s="8">
        <f t="shared" si="3"/>
        <v>11.5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100102</v>
      </c>
      <c r="B16" s="15" t="s">
        <v>84</v>
      </c>
      <c r="C16" s="15" t="s">
        <v>232</v>
      </c>
      <c r="D16" s="66" t="str">
        <f>[1]!颜色转换成内嵌函数()</f>
        <v>※color(83,141,213)[]</v>
      </c>
      <c r="E16" s="15">
        <v>2</v>
      </c>
      <c r="F16" s="15"/>
      <c r="G16" s="15" t="s">
        <v>78</v>
      </c>
      <c r="H16" s="15" t="str">
        <f t="shared" si="0"/>
        <v>8~12</v>
      </c>
      <c r="I16" s="16" t="s">
        <v>206</v>
      </c>
      <c r="J16" s="16" t="s">
        <v>38</v>
      </c>
      <c r="K16" s="15" t="s">
        <v>84</v>
      </c>
      <c r="L16" s="15" t="s">
        <v>182</v>
      </c>
      <c r="M16" s="7"/>
      <c r="N16" s="7"/>
      <c r="O16" s="8"/>
      <c r="P16" s="8" t="s">
        <v>160</v>
      </c>
      <c r="Q16" s="8">
        <v>4</v>
      </c>
      <c r="R16" s="8">
        <f t="shared" ref="R16:R25" si="4">R5+Q16/2</f>
        <v>7</v>
      </c>
      <c r="S16" s="8">
        <f t="shared" ref="S16:S25" si="5">S5+Q5/2+1</f>
        <v>7.5</v>
      </c>
      <c r="T16" s="8">
        <f>Q16+S16</f>
        <v>11.5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100103</v>
      </c>
      <c r="B17" s="15" t="s">
        <v>86</v>
      </c>
      <c r="C17" s="15" t="s">
        <v>233</v>
      </c>
      <c r="D17" s="66" t="str">
        <f>[1]!颜色转换成内嵌函数()</f>
        <v>※color(83,141,213)[]</v>
      </c>
      <c r="E17" s="15">
        <v>2</v>
      </c>
      <c r="F17" s="15"/>
      <c r="G17" s="15" t="s">
        <v>78</v>
      </c>
      <c r="H17" s="15" t="str">
        <f t="shared" si="0"/>
        <v>8~12</v>
      </c>
      <c r="I17" s="16" t="s">
        <v>207</v>
      </c>
      <c r="J17" s="16" t="s">
        <v>38</v>
      </c>
      <c r="K17" s="15" t="s">
        <v>86</v>
      </c>
      <c r="L17" s="15" t="s">
        <v>183</v>
      </c>
      <c r="M17" s="7"/>
      <c r="N17" s="7"/>
      <c r="O17" s="8"/>
      <c r="P17" s="8" t="s">
        <v>162</v>
      </c>
      <c r="Q17" s="8">
        <v>4</v>
      </c>
      <c r="R17" s="8">
        <f t="shared" si="4"/>
        <v>7</v>
      </c>
      <c r="S17" s="8">
        <f t="shared" si="5"/>
        <v>7.5</v>
      </c>
      <c r="T17" s="8">
        <f t="shared" ref="T17:T21" si="6">Q17+S17</f>
        <v>11.5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100104</v>
      </c>
      <c r="B18" s="15" t="s">
        <v>88</v>
      </c>
      <c r="C18" s="15" t="s">
        <v>234</v>
      </c>
      <c r="D18" s="66" t="str">
        <f>[1]!颜色转换成内嵌函数()</f>
        <v>※color(83,141,213)[]</v>
      </c>
      <c r="E18" s="15">
        <v>2</v>
      </c>
      <c r="F18" s="15"/>
      <c r="G18" s="15" t="s">
        <v>78</v>
      </c>
      <c r="H18" s="15" t="str">
        <f t="shared" si="0"/>
        <v>8~12</v>
      </c>
      <c r="I18" s="16" t="s">
        <v>206</v>
      </c>
      <c r="J18" s="16" t="s">
        <v>38</v>
      </c>
      <c r="K18" s="15" t="s">
        <v>88</v>
      </c>
      <c r="L18" s="15" t="s">
        <v>184</v>
      </c>
      <c r="M18" s="7"/>
      <c r="N18" s="7"/>
      <c r="O18" s="8"/>
      <c r="P18" s="8" t="s">
        <v>164</v>
      </c>
      <c r="Q18" s="8">
        <v>4</v>
      </c>
      <c r="R18" s="8">
        <f t="shared" si="4"/>
        <v>7</v>
      </c>
      <c r="S18" s="8">
        <f t="shared" si="5"/>
        <v>7.5</v>
      </c>
      <c r="T18" s="8">
        <f t="shared" si="6"/>
        <v>11.5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100105</v>
      </c>
      <c r="B19" s="15" t="s">
        <v>90</v>
      </c>
      <c r="C19" s="15" t="s">
        <v>235</v>
      </c>
      <c r="D19" s="66" t="str">
        <f>[1]!颜色转换成内嵌函数()</f>
        <v>※color(83,141,213)[]</v>
      </c>
      <c r="E19" s="15">
        <v>2</v>
      </c>
      <c r="F19" s="15"/>
      <c r="G19" s="15" t="s">
        <v>78</v>
      </c>
      <c r="H19" s="15" t="str">
        <f t="shared" si="0"/>
        <v>8~12</v>
      </c>
      <c r="I19" s="16" t="s">
        <v>205</v>
      </c>
      <c r="J19" s="16" t="s">
        <v>38</v>
      </c>
      <c r="K19" s="15" t="s">
        <v>90</v>
      </c>
      <c r="L19" s="15" t="s">
        <v>185</v>
      </c>
      <c r="M19" s="7"/>
      <c r="N19" s="7"/>
      <c r="O19" s="8"/>
      <c r="P19" s="8" t="s">
        <v>166</v>
      </c>
      <c r="Q19" s="8">
        <v>4</v>
      </c>
      <c r="R19" s="8">
        <f t="shared" si="4"/>
        <v>7</v>
      </c>
      <c r="S19" s="8">
        <f t="shared" si="5"/>
        <v>7.5</v>
      </c>
      <c r="T19" s="8">
        <f t="shared" si="6"/>
        <v>11.5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100106</v>
      </c>
      <c r="B20" s="15" t="s">
        <v>92</v>
      </c>
      <c r="C20" s="15" t="s">
        <v>236</v>
      </c>
      <c r="D20" s="66" t="str">
        <f>[1]!颜色转换成内嵌函数()</f>
        <v>※color(83,141,213)[]</v>
      </c>
      <c r="E20" s="15">
        <v>2</v>
      </c>
      <c r="F20" s="15"/>
      <c r="G20" s="15" t="s">
        <v>78</v>
      </c>
      <c r="H20" s="15" t="str">
        <f t="shared" si="0"/>
        <v>8~12</v>
      </c>
      <c r="I20" s="16" t="s">
        <v>208</v>
      </c>
      <c r="J20" s="16" t="s">
        <v>38</v>
      </c>
      <c r="K20" s="15" t="s">
        <v>92</v>
      </c>
      <c r="L20" s="15" t="s">
        <v>186</v>
      </c>
      <c r="M20" s="7"/>
      <c r="N20" s="7"/>
      <c r="O20" s="8"/>
      <c r="P20" s="8" t="s">
        <v>168</v>
      </c>
      <c r="Q20" s="8">
        <v>4</v>
      </c>
      <c r="R20" s="8">
        <f t="shared" si="4"/>
        <v>7</v>
      </c>
      <c r="S20" s="8">
        <f t="shared" si="5"/>
        <v>7.5</v>
      </c>
      <c r="T20" s="8">
        <f t="shared" si="6"/>
        <v>11.5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100107</v>
      </c>
      <c r="B21" s="15" t="s">
        <v>94</v>
      </c>
      <c r="C21" s="15" t="s">
        <v>237</v>
      </c>
      <c r="D21" s="66" t="str">
        <f>[1]!颜色转换成内嵌函数()</f>
        <v>※color(83,141,213)[]</v>
      </c>
      <c r="E21" s="15">
        <v>2</v>
      </c>
      <c r="F21" s="15"/>
      <c r="G21" s="15" t="s">
        <v>78</v>
      </c>
      <c r="H21" s="15" t="str">
        <f t="shared" si="0"/>
        <v>8~12</v>
      </c>
      <c r="I21" s="16" t="s">
        <v>209</v>
      </c>
      <c r="J21" s="16" t="s">
        <v>38</v>
      </c>
      <c r="K21" s="15" t="s">
        <v>94</v>
      </c>
      <c r="L21" s="15" t="s">
        <v>187</v>
      </c>
      <c r="M21" s="7"/>
      <c r="N21" s="7"/>
      <c r="O21" s="8"/>
      <c r="P21" s="8" t="s">
        <v>170</v>
      </c>
      <c r="Q21" s="8">
        <v>4</v>
      </c>
      <c r="R21" s="8">
        <f t="shared" si="4"/>
        <v>7</v>
      </c>
      <c r="S21" s="8">
        <f t="shared" si="5"/>
        <v>7.5</v>
      </c>
      <c r="T21" s="8">
        <f t="shared" si="6"/>
        <v>11.5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100108</v>
      </c>
      <c r="B22" s="15" t="s">
        <v>96</v>
      </c>
      <c r="C22" s="15" t="s">
        <v>238</v>
      </c>
      <c r="D22" s="66" t="str">
        <f>[1]!颜色转换成内嵌函数()</f>
        <v>※color(83,141,213)[]</v>
      </c>
      <c r="E22" s="15">
        <v>2</v>
      </c>
      <c r="F22" s="15"/>
      <c r="G22" s="15" t="s">
        <v>78</v>
      </c>
      <c r="H22" s="15" t="str">
        <f t="shared" si="0"/>
        <v>8~12</v>
      </c>
      <c r="I22" s="16" t="s">
        <v>210</v>
      </c>
      <c r="J22" s="16" t="s">
        <v>38</v>
      </c>
      <c r="K22" s="15" t="s">
        <v>96</v>
      </c>
      <c r="L22" s="15" t="s">
        <v>188</v>
      </c>
      <c r="M22" s="7"/>
      <c r="N22" s="7"/>
      <c r="O22" s="8"/>
      <c r="P22" s="8" t="s">
        <v>172</v>
      </c>
      <c r="Q22" s="8">
        <v>4</v>
      </c>
      <c r="R22" s="8">
        <f t="shared" si="4"/>
        <v>7</v>
      </c>
      <c r="S22" s="8">
        <f t="shared" si="5"/>
        <v>7.5</v>
      </c>
      <c r="T22" s="8">
        <f>Q22+S22</f>
        <v>11.5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100109</v>
      </c>
      <c r="B23" s="15" t="s">
        <v>98</v>
      </c>
      <c r="C23" s="15" t="s">
        <v>239</v>
      </c>
      <c r="D23" s="66" t="str">
        <f>[1]!颜色转换成内嵌函数()</f>
        <v>※color(83,141,213)[]</v>
      </c>
      <c r="E23" s="15">
        <v>2</v>
      </c>
      <c r="F23" s="15"/>
      <c r="G23" s="15" t="s">
        <v>78</v>
      </c>
      <c r="H23" s="15" t="str">
        <f t="shared" si="0"/>
        <v>8~12</v>
      </c>
      <c r="I23" s="16" t="s">
        <v>209</v>
      </c>
      <c r="J23" s="16" t="s">
        <v>38</v>
      </c>
      <c r="K23" s="15" t="s">
        <v>98</v>
      </c>
      <c r="L23" s="15" t="s">
        <v>189</v>
      </c>
      <c r="M23" s="7"/>
      <c r="N23" s="7"/>
      <c r="O23" s="8"/>
      <c r="P23" s="8" t="s">
        <v>174</v>
      </c>
      <c r="Q23" s="8">
        <v>4</v>
      </c>
      <c r="R23" s="8">
        <f t="shared" si="4"/>
        <v>7</v>
      </c>
      <c r="S23" s="8">
        <f t="shared" si="5"/>
        <v>7.5</v>
      </c>
      <c r="T23" s="8">
        <f t="shared" ref="T23:T25" si="7">Q23+S23</f>
        <v>11.5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100110</v>
      </c>
      <c r="B24" s="15" t="s">
        <v>100</v>
      </c>
      <c r="C24" s="15" t="s">
        <v>240</v>
      </c>
      <c r="D24" s="66" t="str">
        <f>[1]!颜色转换成内嵌函数()</f>
        <v>※color(83,141,213)[]</v>
      </c>
      <c r="E24" s="15">
        <v>2</v>
      </c>
      <c r="F24" s="15"/>
      <c r="G24" s="15" t="s">
        <v>78</v>
      </c>
      <c r="H24" s="15" t="str">
        <f t="shared" si="0"/>
        <v>8~12</v>
      </c>
      <c r="I24" s="16" t="s">
        <v>211</v>
      </c>
      <c r="J24" s="16" t="s">
        <v>38</v>
      </c>
      <c r="K24" s="15" t="s">
        <v>100</v>
      </c>
      <c r="L24" s="15" t="s">
        <v>190</v>
      </c>
      <c r="M24" s="7"/>
      <c r="N24" s="7"/>
      <c r="O24" s="8"/>
      <c r="P24" s="8" t="s">
        <v>176</v>
      </c>
      <c r="Q24" s="8">
        <v>4</v>
      </c>
      <c r="R24" s="8">
        <f t="shared" si="4"/>
        <v>7</v>
      </c>
      <c r="S24" s="8">
        <f t="shared" si="5"/>
        <v>7.5</v>
      </c>
      <c r="T24" s="8">
        <f t="shared" si="7"/>
        <v>11.5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100111</v>
      </c>
      <c r="B25" s="15" t="s">
        <v>102</v>
      </c>
      <c r="C25" s="15" t="s">
        <v>241</v>
      </c>
      <c r="D25" s="66" t="str">
        <f>[1]!颜色转换成内嵌函数()</f>
        <v>※color(83,141,213)[]</v>
      </c>
      <c r="E25" s="15">
        <v>2</v>
      </c>
      <c r="F25" s="15"/>
      <c r="G25" s="15" t="s">
        <v>78</v>
      </c>
      <c r="H25" s="15" t="str">
        <f t="shared" si="0"/>
        <v>8~12</v>
      </c>
      <c r="I25" s="16" t="s">
        <v>211</v>
      </c>
      <c r="J25" s="16" t="s">
        <v>38</v>
      </c>
      <c r="K25" s="15" t="s">
        <v>102</v>
      </c>
      <c r="L25" s="15" t="s">
        <v>191</v>
      </c>
      <c r="M25" s="7"/>
      <c r="N25" s="7"/>
      <c r="O25" s="8"/>
      <c r="P25" s="8" t="s">
        <v>178</v>
      </c>
      <c r="Q25" s="8">
        <v>4</v>
      </c>
      <c r="R25" s="8">
        <f t="shared" si="4"/>
        <v>7</v>
      </c>
      <c r="S25" s="8">
        <f t="shared" si="5"/>
        <v>7.5</v>
      </c>
      <c r="T25" s="8">
        <f t="shared" si="7"/>
        <v>11.5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7"/>
      <c r="B26" s="7"/>
      <c r="C26" s="7"/>
      <c r="D26" s="7"/>
      <c r="E26" s="7"/>
      <c r="F26" s="7"/>
      <c r="G26" s="7"/>
      <c r="H26" s="7"/>
      <c r="I26" s="10"/>
      <c r="J26" s="10"/>
      <c r="K26" s="7"/>
      <c r="L26" s="7"/>
      <c r="M26" s="7"/>
      <c r="N26" s="7"/>
      <c r="O26" s="8"/>
      <c r="P26" s="8"/>
      <c r="Q26" s="8"/>
      <c r="R26" s="8"/>
      <c r="S26" s="8"/>
      <c r="T26" s="8"/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7"/>
      <c r="B27" s="7"/>
      <c r="C27" s="7"/>
      <c r="D27" s="7"/>
      <c r="E27" s="7"/>
      <c r="F27" s="7"/>
      <c r="G27" s="7"/>
      <c r="H27" s="7"/>
      <c r="I27" s="10"/>
      <c r="J27" s="10"/>
      <c r="K27" s="7"/>
      <c r="L27" s="7"/>
      <c r="M27" s="7"/>
      <c r="N27" s="7"/>
      <c r="O27" s="8"/>
      <c r="P27" s="8"/>
      <c r="Q27" s="8"/>
      <c r="R27" s="8"/>
      <c r="S27" s="8"/>
      <c r="T27" s="8"/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7"/>
      <c r="B28" s="7"/>
      <c r="C28" s="7"/>
      <c r="D28" s="7"/>
      <c r="E28" s="7"/>
      <c r="F28" s="7"/>
      <c r="G28" s="7"/>
      <c r="H28" s="7"/>
      <c r="I28" s="10"/>
      <c r="J28" s="10"/>
      <c r="K28" s="7"/>
      <c r="L28" s="7"/>
      <c r="M28" s="7"/>
      <c r="N28" s="7"/>
      <c r="O28" s="8"/>
      <c r="P28" s="8"/>
      <c r="Q28" s="8"/>
      <c r="R28" s="8"/>
      <c r="S28" s="8"/>
      <c r="T28" s="8"/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7"/>
      <c r="B29" s="7"/>
      <c r="C29" s="7"/>
      <c r="D29" s="7"/>
      <c r="E29" s="7"/>
      <c r="F29" s="7"/>
      <c r="G29" s="7"/>
      <c r="H29" s="7"/>
      <c r="I29" s="10"/>
      <c r="J29" s="10"/>
      <c r="K29" s="7"/>
      <c r="L29" s="7"/>
      <c r="M29" s="7"/>
      <c r="N29" s="7"/>
      <c r="O29" s="8"/>
      <c r="P29" s="8"/>
      <c r="Q29" s="8"/>
      <c r="R29" s="9"/>
      <c r="S29" s="8"/>
      <c r="T29" s="8"/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7"/>
      <c r="B30" s="7"/>
      <c r="C30" s="7"/>
      <c r="D30" s="7"/>
      <c r="E30" s="7"/>
      <c r="F30" s="7"/>
      <c r="G30" s="7"/>
      <c r="H30" s="7"/>
      <c r="I30" s="10"/>
      <c r="J30" s="10"/>
      <c r="K30" s="7"/>
      <c r="L30" s="7"/>
      <c r="M30" s="7"/>
      <c r="N30" s="7"/>
      <c r="O30" s="8"/>
      <c r="P30" s="8"/>
      <c r="Q30" s="8"/>
      <c r="R30" s="8"/>
      <c r="S30" s="8"/>
      <c r="T30" s="8"/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7"/>
      <c r="B31" s="7"/>
      <c r="C31" s="7"/>
      <c r="D31" s="7"/>
      <c r="E31" s="7"/>
      <c r="F31" s="7"/>
      <c r="G31" s="7"/>
      <c r="H31" s="7"/>
      <c r="I31" s="10"/>
      <c r="J31" s="10"/>
      <c r="K31" s="7"/>
      <c r="L31" s="7"/>
      <c r="M31" s="7"/>
      <c r="N31" s="7"/>
      <c r="O31" s="8"/>
      <c r="P31" s="8"/>
      <c r="Q31" s="8"/>
      <c r="R31" s="8"/>
      <c r="S31" s="8"/>
      <c r="T31" s="8"/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7"/>
      <c r="B32" s="7"/>
      <c r="C32" s="7"/>
      <c r="D32" s="7"/>
      <c r="E32" s="7"/>
      <c r="F32" s="7"/>
      <c r="G32" s="7"/>
      <c r="H32" s="7"/>
      <c r="I32" s="10"/>
      <c r="J32" s="10"/>
      <c r="K32" s="7"/>
      <c r="L32" s="7"/>
      <c r="M32" s="7"/>
      <c r="N32" s="7"/>
      <c r="O32" s="8"/>
      <c r="P32" s="8"/>
      <c r="Q32" s="8"/>
      <c r="R32" s="8"/>
      <c r="S32" s="8"/>
      <c r="T32" s="8"/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7"/>
      <c r="B33" s="7"/>
      <c r="C33" s="7"/>
      <c r="D33" s="7"/>
      <c r="E33" s="7"/>
      <c r="F33" s="7"/>
      <c r="G33" s="7"/>
      <c r="H33" s="7"/>
      <c r="I33" s="10"/>
      <c r="J33" s="10"/>
      <c r="K33" s="7"/>
      <c r="L33" s="7"/>
      <c r="M33" s="7"/>
      <c r="N33" s="7"/>
      <c r="O33" s="8"/>
      <c r="P33" s="8"/>
      <c r="Q33" s="8"/>
      <c r="R33" s="8"/>
      <c r="S33" s="8"/>
      <c r="T33" s="8"/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7"/>
      <c r="B34" s="7"/>
      <c r="C34" s="7"/>
      <c r="D34" s="7"/>
      <c r="E34" s="7"/>
      <c r="F34" s="7"/>
      <c r="G34" s="7"/>
      <c r="H34" s="7"/>
      <c r="I34" s="10"/>
      <c r="J34" s="10"/>
      <c r="K34" s="7"/>
      <c r="L34" s="7"/>
      <c r="M34" s="7"/>
      <c r="N34" s="7"/>
      <c r="O34" s="8"/>
      <c r="P34" s="8"/>
      <c r="Q34" s="8"/>
      <c r="R34" s="8"/>
      <c r="S34" s="8"/>
      <c r="T34" s="8"/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7"/>
      <c r="B35" s="7"/>
      <c r="C35" s="7"/>
      <c r="D35" s="7"/>
      <c r="E35" s="7"/>
      <c r="F35" s="7"/>
      <c r="G35" s="7"/>
      <c r="H35" s="7"/>
      <c r="I35" s="10"/>
      <c r="J35" s="10"/>
      <c r="K35" s="7"/>
      <c r="L35" s="7"/>
    </row>
    <row r="36" spans="1:28" x14ac:dyDescent="0.3">
      <c r="A36" s="7"/>
      <c r="B36" s="7"/>
      <c r="C36" s="7"/>
      <c r="D36" s="7"/>
      <c r="E36" s="7"/>
      <c r="F36" s="7"/>
      <c r="G36" s="7"/>
      <c r="H36" s="7"/>
      <c r="I36" s="10"/>
      <c r="J36" s="10"/>
      <c r="K36" s="7"/>
      <c r="L36" s="7"/>
    </row>
    <row r="37" spans="1:28" x14ac:dyDescent="0.3">
      <c r="A37" s="7"/>
      <c r="B37" s="7"/>
      <c r="C37" s="7"/>
      <c r="D37" s="7"/>
      <c r="E37" s="7"/>
      <c r="F37" s="7"/>
      <c r="G37" s="7"/>
      <c r="H37" s="7"/>
      <c r="I37" s="10"/>
      <c r="J37" s="10"/>
      <c r="K37" s="7"/>
      <c r="L37" s="7"/>
    </row>
    <row r="38" spans="1:28" x14ac:dyDescent="0.3">
      <c r="A38" s="7"/>
      <c r="B38" s="7"/>
      <c r="C38" s="7"/>
      <c r="D38" s="7"/>
      <c r="E38" s="7"/>
      <c r="F38" s="7"/>
      <c r="G38" s="7"/>
      <c r="H38" s="7"/>
      <c r="I38" s="10"/>
      <c r="J38" s="10"/>
      <c r="K38" s="7"/>
      <c r="L38" s="7"/>
    </row>
    <row r="39" spans="1:28" x14ac:dyDescent="0.3">
      <c r="A39" s="7"/>
      <c r="B39" s="7"/>
      <c r="C39" s="7"/>
      <c r="D39" s="7"/>
      <c r="E39" s="7"/>
      <c r="F39" s="7"/>
      <c r="G39" s="7"/>
      <c r="H39" s="7"/>
      <c r="I39" s="10"/>
      <c r="J39" s="10"/>
      <c r="K39" s="7"/>
      <c r="L39" s="7"/>
    </row>
    <row r="40" spans="1:28" x14ac:dyDescent="0.3">
      <c r="A40" s="7"/>
      <c r="B40" s="7"/>
      <c r="C40" s="7"/>
      <c r="D40" s="7"/>
      <c r="E40" s="7"/>
      <c r="F40" s="7"/>
      <c r="G40" s="7"/>
      <c r="H40" s="7"/>
      <c r="I40" s="10"/>
      <c r="J40" s="10"/>
      <c r="K40" s="7"/>
      <c r="L40" s="7"/>
    </row>
    <row r="41" spans="1:28" x14ac:dyDescent="0.3">
      <c r="A41" s="7"/>
      <c r="B41" s="7"/>
      <c r="C41" s="7"/>
      <c r="D41" s="7"/>
      <c r="E41" s="7"/>
      <c r="F41" s="7"/>
      <c r="G41" s="7"/>
      <c r="H41" s="7"/>
      <c r="I41" s="10"/>
      <c r="J41" s="10"/>
      <c r="K41" s="7"/>
      <c r="L41" s="7"/>
    </row>
    <row r="42" spans="1:28" x14ac:dyDescent="0.3">
      <c r="A42" s="7"/>
      <c r="B42" s="7"/>
      <c r="C42" s="7"/>
      <c r="D42" s="7"/>
      <c r="E42" s="7"/>
      <c r="F42" s="7"/>
      <c r="G42" s="7"/>
      <c r="H42" s="7"/>
      <c r="I42" s="10"/>
      <c r="J42" s="10"/>
      <c r="K42" s="7"/>
      <c r="L42" s="7"/>
    </row>
    <row r="43" spans="1:28" x14ac:dyDescent="0.3">
      <c r="A43" s="7"/>
      <c r="B43" s="7"/>
      <c r="C43" s="7"/>
      <c r="D43" s="7"/>
      <c r="E43" s="7"/>
      <c r="F43" s="7"/>
      <c r="G43" s="7"/>
      <c r="H43" s="7"/>
      <c r="I43" s="10"/>
      <c r="J43" s="10"/>
      <c r="K43" s="7"/>
      <c r="L43" s="7"/>
    </row>
    <row r="44" spans="1:28" x14ac:dyDescent="0.3">
      <c r="A44" s="7"/>
      <c r="B44" s="7"/>
      <c r="C44" s="7"/>
      <c r="D44" s="7"/>
      <c r="E44" s="7"/>
      <c r="F44" s="7"/>
      <c r="G44" s="7"/>
      <c r="H44" s="7"/>
      <c r="I44" s="10"/>
      <c r="J44" s="10"/>
      <c r="K44" s="7"/>
      <c r="L44" s="7"/>
    </row>
    <row r="45" spans="1:28" x14ac:dyDescent="0.3">
      <c r="A45" s="7"/>
      <c r="B45" s="7"/>
      <c r="C45" s="7"/>
      <c r="D45" s="7"/>
      <c r="E45" s="7"/>
      <c r="F45" s="7"/>
      <c r="G45" s="7"/>
      <c r="H45" s="7"/>
      <c r="I45" s="10"/>
      <c r="J45" s="10"/>
      <c r="K45" s="7"/>
      <c r="L45" s="7"/>
    </row>
    <row r="46" spans="1:28" x14ac:dyDescent="0.3">
      <c r="A46" s="7"/>
      <c r="B46" s="7"/>
      <c r="C46" s="7"/>
      <c r="D46" s="7"/>
      <c r="E46" s="7"/>
      <c r="F46" s="7"/>
      <c r="G46" s="7"/>
      <c r="H46" s="7"/>
      <c r="I46" s="10"/>
      <c r="J46" s="10"/>
      <c r="K46" s="7"/>
      <c r="L46" s="7"/>
    </row>
    <row r="47" spans="1:28" x14ac:dyDescent="0.3">
      <c r="A47" s="7"/>
      <c r="B47" s="7"/>
      <c r="C47" s="7"/>
      <c r="D47" s="7"/>
      <c r="E47" s="7"/>
      <c r="F47" s="7"/>
      <c r="G47" s="7"/>
      <c r="H47" s="7"/>
      <c r="I47" s="10"/>
      <c r="J47" s="10"/>
      <c r="K47" s="7"/>
      <c r="L47" s="7"/>
    </row>
    <row r="48" spans="1:28" x14ac:dyDescent="0.3">
      <c r="A48" s="7"/>
      <c r="B48" s="7"/>
      <c r="C48" s="7"/>
      <c r="D48" s="7"/>
      <c r="E48" s="7"/>
      <c r="F48" s="7"/>
      <c r="G48" s="7"/>
      <c r="H48" s="7"/>
      <c r="I48" s="10"/>
      <c r="J48" s="10"/>
      <c r="K48" s="7"/>
      <c r="L48" s="7"/>
    </row>
    <row r="49" spans="6:6" x14ac:dyDescent="0.3">
      <c r="F49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5" priority="25"/>
  </conditionalFormatting>
  <conditionalFormatting sqref="A4:A25">
    <cfRule type="duplicateValues" dxfId="174" priority="1"/>
  </conditionalFormatting>
  <dataValidations count="1">
    <dataValidation type="list" allowBlank="1" showInputMessage="1" showErrorMessage="1" sqref="J4:J25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40" t="s">
        <v>62</v>
      </c>
    </row>
    <row r="2" spans="1:1" ht="15" x14ac:dyDescent="0.15">
      <c r="A2" s="19" t="s">
        <v>46</v>
      </c>
    </row>
    <row r="3" spans="1:1" ht="16.5" x14ac:dyDescent="0.15">
      <c r="A3" s="18" t="s">
        <v>36</v>
      </c>
    </row>
    <row r="4" spans="1:1" ht="16.5" x14ac:dyDescent="0.15">
      <c r="A4" s="18" t="s">
        <v>37</v>
      </c>
    </row>
    <row r="5" spans="1:1" ht="16.5" x14ac:dyDescent="0.15">
      <c r="A5" s="18" t="s">
        <v>39</v>
      </c>
    </row>
    <row r="6" spans="1:1" ht="16.5" x14ac:dyDescent="0.15">
      <c r="A6" s="18" t="s">
        <v>41</v>
      </c>
    </row>
    <row r="7" spans="1:1" ht="16.5" x14ac:dyDescent="0.15">
      <c r="A7" s="18" t="s">
        <v>43</v>
      </c>
    </row>
    <row r="8" spans="1:1" ht="16.5" x14ac:dyDescent="0.15">
      <c r="A8" s="18" t="s">
        <v>47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76"/>
  <sheetViews>
    <sheetView showGridLines="0" workbookViewId="0">
      <selection activeCell="B66" sqref="B6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3" t="s">
        <v>29</v>
      </c>
      <c r="C3" s="24"/>
      <c r="D3" s="24"/>
      <c r="H3" s="24" t="str">
        <f>B3</f>
        <v>t1</v>
      </c>
      <c r="I3" s="24"/>
      <c r="J3" s="24"/>
      <c r="N3" s="24" t="str">
        <f>B3</f>
        <v>t1</v>
      </c>
      <c r="O3" s="24"/>
      <c r="P3" s="24"/>
      <c r="T3" s="24" t="str">
        <f>B3</f>
        <v>t1</v>
      </c>
      <c r="U3" s="24"/>
      <c r="V3" s="24"/>
      <c r="Z3" s="24" t="str">
        <f>B3</f>
        <v>t1</v>
      </c>
      <c r="AA3" s="24"/>
      <c r="AB3" s="24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3" t="s">
        <v>22</v>
      </c>
      <c r="C9" s="24"/>
      <c r="D9" s="24"/>
      <c r="H9" s="24" t="str">
        <f>B9</f>
        <v>t2</v>
      </c>
      <c r="I9" s="24"/>
      <c r="J9" s="24"/>
      <c r="N9" s="24" t="str">
        <f>B9</f>
        <v>t2</v>
      </c>
      <c r="O9" s="24"/>
      <c r="P9" s="24"/>
      <c r="T9" s="24" t="str">
        <f>B9</f>
        <v>t2</v>
      </c>
      <c r="U9" s="24"/>
      <c r="V9" s="24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3" t="s">
        <v>23</v>
      </c>
      <c r="C15" s="24"/>
      <c r="D15" s="24"/>
      <c r="H15" s="24" t="str">
        <f>B15</f>
        <v>t3</v>
      </c>
      <c r="I15" s="24"/>
      <c r="J15" s="24"/>
      <c r="N15" s="24" t="str">
        <f>B15</f>
        <v>t3</v>
      </c>
      <c r="O15" s="24"/>
      <c r="P15" s="24"/>
      <c r="T15" s="24" t="str">
        <f>B15</f>
        <v>t3</v>
      </c>
      <c r="U15" s="24"/>
      <c r="V15" s="24"/>
      <c r="Z15" s="24" t="str">
        <f>B15</f>
        <v>t3</v>
      </c>
      <c r="AA15" s="24"/>
      <c r="AB15" s="24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3" t="s">
        <v>24</v>
      </c>
      <c r="C21" s="24"/>
      <c r="D21" s="24"/>
      <c r="H21" s="24" t="str">
        <f>B21</f>
        <v>t4</v>
      </c>
      <c r="I21" s="24"/>
      <c r="J21" s="24"/>
      <c r="N21" s="24" t="str">
        <f>B21</f>
        <v>t4</v>
      </c>
      <c r="O21" s="24"/>
      <c r="P21" s="24"/>
      <c r="T21" s="24" t="str">
        <f>B21</f>
        <v>t4</v>
      </c>
      <c r="U21" s="24"/>
      <c r="V21" s="24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3" t="s">
        <v>25</v>
      </c>
      <c r="C27" s="24"/>
      <c r="D27" s="24"/>
      <c r="H27" s="24" t="str">
        <f>B27</f>
        <v>t5</v>
      </c>
      <c r="I27" s="24"/>
      <c r="J27" s="24"/>
      <c r="N27" s="24" t="str">
        <f>B27</f>
        <v>t5</v>
      </c>
      <c r="O27" s="24"/>
      <c r="P27" s="24"/>
      <c r="T27" s="24" t="str">
        <f>B27</f>
        <v>t5</v>
      </c>
      <c r="U27" s="24"/>
      <c r="V27" s="24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3" t="s">
        <v>26</v>
      </c>
      <c r="C33" s="24"/>
      <c r="D33" s="24"/>
      <c r="H33" s="23" t="str">
        <f>B33</f>
        <v>t6</v>
      </c>
      <c r="I33" s="24"/>
      <c r="J33" s="24"/>
      <c r="N33" s="23" t="str">
        <f>B33</f>
        <v>t6</v>
      </c>
      <c r="O33" s="24"/>
      <c r="P33" s="24"/>
      <c r="T33" s="23" t="str">
        <f>B33</f>
        <v>t6</v>
      </c>
      <c r="U33" s="24"/>
      <c r="V33" s="24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3" t="s">
        <v>27</v>
      </c>
      <c r="C39" s="24"/>
      <c r="D39" s="24"/>
      <c r="E39" s="4"/>
      <c r="H39" s="23" t="s">
        <v>27</v>
      </c>
      <c r="I39" s="24"/>
      <c r="J39" s="24"/>
      <c r="K39" s="4"/>
      <c r="N39" s="23" t="s">
        <v>27</v>
      </c>
      <c r="O39" s="24"/>
      <c r="P39" s="24"/>
      <c r="Q39" s="4"/>
      <c r="T39" s="23" t="s">
        <v>27</v>
      </c>
      <c r="U39" s="24"/>
      <c r="V39" s="24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3" t="s">
        <v>28</v>
      </c>
      <c r="C45" s="24"/>
      <c r="D45" s="24"/>
      <c r="E45" s="4"/>
      <c r="H45" s="23" t="s">
        <v>28</v>
      </c>
      <c r="I45" s="24"/>
      <c r="J45" s="24"/>
      <c r="K45" s="4"/>
      <c r="N45" s="23" t="s">
        <v>28</v>
      </c>
      <c r="O45" s="24"/>
      <c r="P45" s="24"/>
      <c r="Q45" s="4"/>
      <c r="T45" s="23" t="s">
        <v>28</v>
      </c>
      <c r="U45" s="24"/>
      <c r="V45" s="24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3" t="s">
        <v>30</v>
      </c>
      <c r="C51" s="24"/>
      <c r="D51" s="24"/>
      <c r="H51" s="23" t="str">
        <f>B51</f>
        <v>t9</v>
      </c>
      <c r="I51" s="24"/>
      <c r="J51" s="24"/>
      <c r="N51" s="23" t="str">
        <f>H51</f>
        <v>t9</v>
      </c>
      <c r="O51" s="24"/>
      <c r="P51" s="24"/>
      <c r="T51" s="23" t="str">
        <f>N51</f>
        <v>t9</v>
      </c>
      <c r="U51" s="24"/>
      <c r="V51" s="24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3" t="s">
        <v>31</v>
      </c>
      <c r="C57" s="24"/>
      <c r="D57" s="24"/>
      <c r="H57" s="23" t="str">
        <f>B57</f>
        <v>t10</v>
      </c>
      <c r="I57" s="24"/>
      <c r="J57" s="24"/>
      <c r="N57" s="23" t="str">
        <f>H57</f>
        <v>t10</v>
      </c>
      <c r="O57" s="24"/>
      <c r="P57" s="24"/>
      <c r="T57" s="23" t="str">
        <f>N57</f>
        <v>t10</v>
      </c>
      <c r="U57" s="23"/>
      <c r="V57" s="23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  <row r="66" spans="2:34" x14ac:dyDescent="0.15">
      <c r="B66" s="64" t="s">
        <v>159</v>
      </c>
      <c r="H66" s="64" t="s">
        <v>161</v>
      </c>
      <c r="N66" s="64" t="s">
        <v>163</v>
      </c>
      <c r="T66" s="64" t="s">
        <v>165</v>
      </c>
      <c r="Z66" s="64" t="s">
        <v>167</v>
      </c>
      <c r="AF66" s="64" t="s">
        <v>169</v>
      </c>
    </row>
    <row r="67" spans="2:34" x14ac:dyDescent="0.15">
      <c r="B67" s="5"/>
      <c r="C67" s="5">
        <v>1</v>
      </c>
      <c r="D67" s="5"/>
      <c r="H67" s="5"/>
      <c r="I67" s="5"/>
      <c r="J67" s="5"/>
      <c r="N67" s="5"/>
      <c r="O67" s="5">
        <v>3</v>
      </c>
      <c r="P67" s="5"/>
      <c r="T67" s="5"/>
      <c r="U67" s="5">
        <v>1</v>
      </c>
      <c r="V67" s="5"/>
      <c r="Z67" s="5"/>
      <c r="AA67" s="5">
        <v>2</v>
      </c>
      <c r="AB67" s="5"/>
      <c r="AF67" s="5"/>
      <c r="AG67" s="5">
        <v>2</v>
      </c>
      <c r="AH67" s="5"/>
    </row>
    <row r="68" spans="2:34" x14ac:dyDescent="0.15">
      <c r="B68" s="5"/>
      <c r="C68" s="5">
        <v>1</v>
      </c>
      <c r="D68" s="5">
        <v>3</v>
      </c>
      <c r="H68" s="5">
        <v>3</v>
      </c>
      <c r="I68" s="5">
        <v>1</v>
      </c>
      <c r="J68" s="5"/>
      <c r="N68" s="5"/>
      <c r="O68" s="5">
        <v>1</v>
      </c>
      <c r="P68" s="5"/>
      <c r="T68" s="5">
        <v>2</v>
      </c>
      <c r="U68" s="5">
        <v>1</v>
      </c>
      <c r="V68" s="5">
        <v>3</v>
      </c>
      <c r="Z68" s="5">
        <v>3</v>
      </c>
      <c r="AA68" s="5">
        <v>1</v>
      </c>
      <c r="AB68" s="5"/>
      <c r="AF68" s="5"/>
      <c r="AG68" s="5">
        <v>1</v>
      </c>
      <c r="AH68" s="5"/>
    </row>
    <row r="69" spans="2:34" x14ac:dyDescent="0.15">
      <c r="B69" s="5"/>
      <c r="C69" s="5">
        <v>2</v>
      </c>
      <c r="D69" s="5"/>
      <c r="H69" s="5"/>
      <c r="I69" s="5">
        <v>2</v>
      </c>
      <c r="J69" s="5">
        <v>1</v>
      </c>
      <c r="N69" s="5"/>
      <c r="O69" s="5">
        <v>1</v>
      </c>
      <c r="P69" s="5">
        <v>2</v>
      </c>
      <c r="T69" s="5"/>
      <c r="U69" s="5"/>
      <c r="V69" s="5"/>
      <c r="Z69" s="5">
        <v>1</v>
      </c>
      <c r="AA69" s="5"/>
      <c r="AB69" s="5"/>
      <c r="AF69" s="5"/>
      <c r="AG69" s="5">
        <v>1</v>
      </c>
      <c r="AH69" s="5">
        <v>3</v>
      </c>
    </row>
    <row r="73" spans="2:34" x14ac:dyDescent="0.15">
      <c r="B73" s="64" t="s">
        <v>171</v>
      </c>
      <c r="H73" s="64" t="s">
        <v>173</v>
      </c>
      <c r="N73" s="64" t="s">
        <v>175</v>
      </c>
      <c r="T73" s="64" t="s">
        <v>177</v>
      </c>
      <c r="Z73" s="64" t="s">
        <v>179</v>
      </c>
    </row>
    <row r="74" spans="2:34" x14ac:dyDescent="0.15">
      <c r="B74" s="5"/>
      <c r="C74" s="5">
        <v>1</v>
      </c>
      <c r="D74" s="5">
        <v>2</v>
      </c>
      <c r="H74" s="5"/>
      <c r="I74" s="5"/>
      <c r="J74" s="5"/>
      <c r="N74" s="5">
        <v>3</v>
      </c>
      <c r="O74" s="5"/>
      <c r="P74" s="5"/>
      <c r="T74" s="5"/>
      <c r="U74" s="5"/>
      <c r="V74" s="5"/>
      <c r="Z74" s="5">
        <v>2</v>
      </c>
      <c r="AA74" s="5">
        <v>1</v>
      </c>
      <c r="AB74" s="5"/>
    </row>
    <row r="75" spans="2:34" x14ac:dyDescent="0.15">
      <c r="B75" s="5"/>
      <c r="C75" s="5">
        <v>1</v>
      </c>
      <c r="D75" s="5"/>
      <c r="H75" s="5">
        <v>1</v>
      </c>
      <c r="I75" s="5">
        <v>3</v>
      </c>
      <c r="J75" s="5">
        <v>1</v>
      </c>
      <c r="N75" s="5">
        <v>1</v>
      </c>
      <c r="O75" s="5">
        <v>1</v>
      </c>
      <c r="P75" s="5"/>
      <c r="T75" s="5">
        <v>1</v>
      </c>
      <c r="U75" s="5">
        <v>1</v>
      </c>
      <c r="V75" s="5">
        <v>2</v>
      </c>
      <c r="Z75" s="5"/>
      <c r="AA75" s="5">
        <v>3</v>
      </c>
      <c r="AB75" s="5">
        <v>1</v>
      </c>
    </row>
    <row r="76" spans="2:34" x14ac:dyDescent="0.15">
      <c r="B76" s="5"/>
      <c r="C76" s="5">
        <v>3</v>
      </c>
      <c r="D76" s="5"/>
      <c r="H76" s="5"/>
      <c r="I76" s="5">
        <v>2</v>
      </c>
      <c r="J76" s="5"/>
      <c r="N76" s="5"/>
      <c r="O76" s="5">
        <v>2</v>
      </c>
      <c r="P76" s="5"/>
      <c r="T76" s="5">
        <v>3</v>
      </c>
      <c r="U76" s="5"/>
      <c r="V76" s="5"/>
      <c r="Z76" s="5"/>
      <c r="AA76" s="5"/>
      <c r="AB76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L56:P60 A57:J60 A61:W61 A14:XFD14 X8:XFD13 A20:XFD20 A44:D48 E44:AN44 X51:XFD61 R57:W60 X45:AN45 X35:AN42 AW35:XFD45 A62:XFD1048576">
    <cfRule type="cellIs" dxfId="159" priority="178" operator="equal">
      <formula>3</formula>
    </cfRule>
    <cfRule type="cellIs" dxfId="158" priority="179" operator="equal">
      <formula>2</formula>
    </cfRule>
    <cfRule type="cellIs" dxfId="157" priority="180" operator="equal">
      <formula>1</formula>
    </cfRule>
  </conditionalFormatting>
  <conditionalFormatting sqref="H7:I7">
    <cfRule type="cellIs" dxfId="156" priority="172" operator="equal">
      <formula>3</formula>
    </cfRule>
    <cfRule type="cellIs" dxfId="155" priority="173" operator="equal">
      <formula>2</formula>
    </cfRule>
    <cfRule type="cellIs" dxfId="154" priority="174" operator="equal">
      <formula>1</formula>
    </cfRule>
  </conditionalFormatting>
  <conditionalFormatting sqref="K4">
    <cfRule type="cellIs" dxfId="153" priority="166" operator="equal">
      <formula>3</formula>
    </cfRule>
    <cfRule type="cellIs" dxfId="152" priority="167" operator="equal">
      <formula>2</formula>
    </cfRule>
    <cfRule type="cellIs" dxfId="151" priority="168" operator="equal">
      <formula>1</formula>
    </cfRule>
  </conditionalFormatting>
  <conditionalFormatting sqref="Q4:Q6">
    <cfRule type="cellIs" dxfId="150" priority="163" operator="equal">
      <formula>3</formula>
    </cfRule>
    <cfRule type="cellIs" dxfId="149" priority="164" operator="equal">
      <formula>2</formula>
    </cfRule>
    <cfRule type="cellIs" dxfId="148" priority="165" operator="equal">
      <formula>1</formula>
    </cfRule>
  </conditionalFormatting>
  <conditionalFormatting sqref="Q3">
    <cfRule type="cellIs" dxfId="147" priority="160" operator="equal">
      <formula>3</formula>
    </cfRule>
    <cfRule type="cellIs" dxfId="146" priority="161" operator="equal">
      <formula>2</formula>
    </cfRule>
    <cfRule type="cellIs" dxfId="145" priority="162" operator="equal">
      <formula>1</formula>
    </cfRule>
  </conditionalFormatting>
  <conditionalFormatting sqref="E10:E12">
    <cfRule type="cellIs" dxfId="144" priority="157" operator="equal">
      <formula>3</formula>
    </cfRule>
    <cfRule type="cellIs" dxfId="143" priority="158" operator="equal">
      <formula>2</formula>
    </cfRule>
    <cfRule type="cellIs" dxfId="142" priority="159" operator="equal">
      <formula>1</formula>
    </cfRule>
  </conditionalFormatting>
  <conditionalFormatting sqref="Q10:Q12">
    <cfRule type="cellIs" dxfId="141" priority="154" operator="equal">
      <formula>3</formula>
    </cfRule>
    <cfRule type="cellIs" dxfId="140" priority="155" operator="equal">
      <formula>2</formula>
    </cfRule>
    <cfRule type="cellIs" dxfId="139" priority="156" operator="equal">
      <formula>1</formula>
    </cfRule>
  </conditionalFormatting>
  <conditionalFormatting sqref="W8:W12">
    <cfRule type="cellIs" dxfId="138" priority="148" operator="equal">
      <formula>3</formula>
    </cfRule>
    <cfRule type="cellIs" dxfId="137" priority="149" operator="equal">
      <formula>2</formula>
    </cfRule>
    <cfRule type="cellIs" dxfId="136" priority="150" operator="equal">
      <formula>1</formula>
    </cfRule>
  </conditionalFormatting>
  <conditionalFormatting sqref="U13:W13">
    <cfRule type="cellIs" dxfId="135" priority="145" operator="equal">
      <formula>3</formula>
    </cfRule>
    <cfRule type="cellIs" dxfId="134" priority="146" operator="equal">
      <formula>2</formula>
    </cfRule>
    <cfRule type="cellIs" dxfId="133" priority="147" operator="equal">
      <formula>1</formula>
    </cfRule>
  </conditionalFormatting>
  <conditionalFormatting sqref="Q15:Q19">
    <cfRule type="cellIs" dxfId="132" priority="142" operator="equal">
      <formula>3</formula>
    </cfRule>
    <cfRule type="cellIs" dxfId="131" priority="143" operator="equal">
      <formula>2</formula>
    </cfRule>
    <cfRule type="cellIs" dxfId="130" priority="144" operator="equal">
      <formula>1</formula>
    </cfRule>
  </conditionalFormatting>
  <conditionalFormatting sqref="W15:W19">
    <cfRule type="cellIs" dxfId="129" priority="139" operator="equal">
      <formula>3</formula>
    </cfRule>
    <cfRule type="cellIs" dxfId="128" priority="140" operator="equal">
      <formula>2</formula>
    </cfRule>
    <cfRule type="cellIs" dxfId="127" priority="141" operator="equal">
      <formula>1</formula>
    </cfRule>
  </conditionalFormatting>
  <conditionalFormatting sqref="AC15:AC19">
    <cfRule type="cellIs" dxfId="126" priority="136" operator="equal">
      <formula>3</formula>
    </cfRule>
    <cfRule type="cellIs" dxfId="125" priority="137" operator="equal">
      <formula>2</formula>
    </cfRule>
    <cfRule type="cellIs" dxfId="124" priority="138" operator="equal">
      <formula>1</formula>
    </cfRule>
  </conditionalFormatting>
  <conditionalFormatting sqref="W21:W24 W26">
    <cfRule type="cellIs" dxfId="123" priority="133" operator="equal">
      <formula>3</formula>
    </cfRule>
    <cfRule type="cellIs" dxfId="122" priority="134" operator="equal">
      <formula>2</formula>
    </cfRule>
    <cfRule type="cellIs" dxfId="121" priority="135" operator="equal">
      <formula>1</formula>
    </cfRule>
  </conditionalFormatting>
  <conditionalFormatting sqref="S25:Y25">
    <cfRule type="cellIs" dxfId="120" priority="130" operator="equal">
      <formula>3</formula>
    </cfRule>
    <cfRule type="cellIs" dxfId="119" priority="131" operator="equal">
      <formula>2</formula>
    </cfRule>
    <cfRule type="cellIs" dxfId="118" priority="132" operator="equal">
      <formula>1</formula>
    </cfRule>
  </conditionalFormatting>
  <conditionalFormatting sqref="E27:E28">
    <cfRule type="cellIs" dxfId="117" priority="127" operator="equal">
      <formula>3</formula>
    </cfRule>
    <cfRule type="cellIs" dxfId="116" priority="128" operator="equal">
      <formula>2</formula>
    </cfRule>
    <cfRule type="cellIs" dxfId="115" priority="129" operator="equal">
      <formula>1</formula>
    </cfRule>
  </conditionalFormatting>
  <conditionalFormatting sqref="E29:E30">
    <cfRule type="cellIs" dxfId="114" priority="124" operator="equal">
      <formula>3</formula>
    </cfRule>
    <cfRule type="cellIs" dxfId="113" priority="125" operator="equal">
      <formula>2</formula>
    </cfRule>
    <cfRule type="cellIs" dxfId="112" priority="126" operator="equal">
      <formula>1</formula>
    </cfRule>
  </conditionalFormatting>
  <conditionalFormatting sqref="A31:F31">
    <cfRule type="cellIs" dxfId="111" priority="121" operator="equal">
      <formula>3</formula>
    </cfRule>
    <cfRule type="cellIs" dxfId="110" priority="122" operator="equal">
      <formula>2</formula>
    </cfRule>
    <cfRule type="cellIs" dxfId="109" priority="123" operator="equal">
      <formula>1</formula>
    </cfRule>
  </conditionalFormatting>
  <conditionalFormatting sqref="K27:K31">
    <cfRule type="cellIs" dxfId="108" priority="118" operator="equal">
      <formula>3</formula>
    </cfRule>
    <cfRule type="cellIs" dxfId="107" priority="119" operator="equal">
      <formula>2</formula>
    </cfRule>
    <cfRule type="cellIs" dxfId="106" priority="120" operator="equal">
      <formula>1</formula>
    </cfRule>
  </conditionalFormatting>
  <conditionalFormatting sqref="G31:J31">
    <cfRule type="cellIs" dxfId="105" priority="115" operator="equal">
      <formula>3</formula>
    </cfRule>
    <cfRule type="cellIs" dxfId="104" priority="116" operator="equal">
      <formula>2</formula>
    </cfRule>
    <cfRule type="cellIs" dxfId="103" priority="117" operator="equal">
      <formula>1</formula>
    </cfRule>
  </conditionalFormatting>
  <conditionalFormatting sqref="Q27:Q30">
    <cfRule type="cellIs" dxfId="102" priority="112" operator="equal">
      <formula>3</formula>
    </cfRule>
    <cfRule type="cellIs" dxfId="101" priority="113" operator="equal">
      <formula>2</formula>
    </cfRule>
    <cfRule type="cellIs" dxfId="100" priority="114" operator="equal">
      <formula>1</formula>
    </cfRule>
  </conditionalFormatting>
  <conditionalFormatting sqref="M31:Q31">
    <cfRule type="cellIs" dxfId="99" priority="109" operator="equal">
      <formula>3</formula>
    </cfRule>
    <cfRule type="cellIs" dxfId="98" priority="110" operator="equal">
      <formula>2</formula>
    </cfRule>
    <cfRule type="cellIs" dxfId="97" priority="111" operator="equal">
      <formula>1</formula>
    </cfRule>
  </conditionalFormatting>
  <conditionalFormatting sqref="W27:W30">
    <cfRule type="cellIs" dxfId="96" priority="106" operator="equal">
      <formula>3</formula>
    </cfRule>
    <cfRule type="cellIs" dxfId="95" priority="107" operator="equal">
      <formula>2</formula>
    </cfRule>
    <cfRule type="cellIs" dxfId="94" priority="108" operator="equal">
      <formula>1</formula>
    </cfRule>
  </conditionalFormatting>
  <conditionalFormatting sqref="R31:Y31">
    <cfRule type="cellIs" dxfId="93" priority="103" operator="equal">
      <formula>3</formula>
    </cfRule>
    <cfRule type="cellIs" dxfId="92" priority="104" operator="equal">
      <formula>2</formula>
    </cfRule>
    <cfRule type="cellIs" dxfId="91" priority="105" operator="equal">
      <formula>1</formula>
    </cfRule>
  </conditionalFormatting>
  <conditionalFormatting sqref="E33:E36">
    <cfRule type="cellIs" dxfId="90" priority="100" operator="equal">
      <formula>3</formula>
    </cfRule>
    <cfRule type="cellIs" dxfId="89" priority="101" operator="equal">
      <formula>2</formula>
    </cfRule>
    <cfRule type="cellIs" dxfId="88" priority="102" operator="equal">
      <formula>1</formula>
    </cfRule>
  </conditionalFormatting>
  <conditionalFormatting sqref="A37:E37">
    <cfRule type="cellIs" dxfId="87" priority="97" operator="equal">
      <formula>3</formula>
    </cfRule>
    <cfRule type="cellIs" dxfId="86" priority="98" operator="equal">
      <formula>2</formula>
    </cfRule>
    <cfRule type="cellIs" dxfId="85" priority="99" operator="equal">
      <formula>1</formula>
    </cfRule>
  </conditionalFormatting>
  <conditionalFormatting sqref="K33:K37">
    <cfRule type="cellIs" dxfId="84" priority="94" operator="equal">
      <formula>3</formula>
    </cfRule>
    <cfRule type="cellIs" dxfId="83" priority="95" operator="equal">
      <formula>2</formula>
    </cfRule>
    <cfRule type="cellIs" dxfId="82" priority="96" operator="equal">
      <formula>1</formula>
    </cfRule>
  </conditionalFormatting>
  <conditionalFormatting sqref="Q34:Q36">
    <cfRule type="cellIs" dxfId="81" priority="91" operator="equal">
      <formula>3</formula>
    </cfRule>
    <cfRule type="cellIs" dxfId="80" priority="92" operator="equal">
      <formula>2</formula>
    </cfRule>
    <cfRule type="cellIs" dxfId="79" priority="93" operator="equal">
      <formula>1</formula>
    </cfRule>
  </conditionalFormatting>
  <conditionalFormatting sqref="M37:Q37">
    <cfRule type="cellIs" dxfId="78" priority="85" operator="equal">
      <formula>3</formula>
    </cfRule>
    <cfRule type="cellIs" dxfId="77" priority="86" operator="equal">
      <formula>2</formula>
    </cfRule>
    <cfRule type="cellIs" dxfId="76" priority="87" operator="equal">
      <formula>1</formula>
    </cfRule>
  </conditionalFormatting>
  <conditionalFormatting sqref="W33:W37">
    <cfRule type="cellIs" dxfId="75" priority="82" operator="equal">
      <formula>3</formula>
    </cfRule>
    <cfRule type="cellIs" dxfId="74" priority="83" operator="equal">
      <formula>2</formula>
    </cfRule>
    <cfRule type="cellIs" dxfId="73" priority="84" operator="equal">
      <formula>1</formula>
    </cfRule>
  </conditionalFormatting>
  <conditionalFormatting sqref="E39:E42">
    <cfRule type="cellIs" dxfId="72" priority="79" operator="equal">
      <formula>3</formula>
    </cfRule>
    <cfRule type="cellIs" dxfId="71" priority="80" operator="equal">
      <formula>2</formula>
    </cfRule>
    <cfRule type="cellIs" dxfId="70" priority="81" operator="equal">
      <formula>1</formula>
    </cfRule>
  </conditionalFormatting>
  <conditionalFormatting sqref="A43:F43">
    <cfRule type="cellIs" dxfId="69" priority="76" operator="equal">
      <formula>3</formula>
    </cfRule>
    <cfRule type="cellIs" dxfId="68" priority="77" operator="equal">
      <formula>2</formula>
    </cfRule>
    <cfRule type="cellIs" dxfId="67" priority="78" operator="equal">
      <formula>1</formula>
    </cfRule>
  </conditionalFormatting>
  <conditionalFormatting sqref="K39:K42">
    <cfRule type="cellIs" dxfId="66" priority="73" operator="equal">
      <formula>3</formula>
    </cfRule>
    <cfRule type="cellIs" dxfId="65" priority="74" operator="equal">
      <formula>2</formula>
    </cfRule>
    <cfRule type="cellIs" dxfId="64" priority="75" operator="equal">
      <formula>1</formula>
    </cfRule>
  </conditionalFormatting>
  <conditionalFormatting sqref="G43:K43">
    <cfRule type="cellIs" dxfId="63" priority="70" operator="equal">
      <formula>3</formula>
    </cfRule>
    <cfRule type="cellIs" dxfId="62" priority="71" operator="equal">
      <formula>2</formula>
    </cfRule>
    <cfRule type="cellIs" dxfId="61" priority="72" operator="equal">
      <formula>1</formula>
    </cfRule>
  </conditionalFormatting>
  <conditionalFormatting sqref="W38:W42">
    <cfRule type="cellIs" dxfId="60" priority="67" operator="equal">
      <formula>3</formula>
    </cfRule>
    <cfRule type="cellIs" dxfId="59" priority="68" operator="equal">
      <formula>2</formula>
    </cfRule>
    <cfRule type="cellIs" dxfId="58" priority="69" operator="equal">
      <formula>1</formula>
    </cfRule>
  </conditionalFormatting>
  <conditionalFormatting sqref="S43:Y43">
    <cfRule type="cellIs" dxfId="57" priority="64" operator="equal">
      <formula>3</formula>
    </cfRule>
    <cfRule type="cellIs" dxfId="56" priority="65" operator="equal">
      <formula>2</formula>
    </cfRule>
    <cfRule type="cellIs" dxfId="55" priority="66" operator="equal">
      <formula>1</formula>
    </cfRule>
  </conditionalFormatting>
  <conditionalFormatting sqref="E45:E48">
    <cfRule type="cellIs" dxfId="54" priority="61" operator="equal">
      <formula>3</formula>
    </cfRule>
    <cfRule type="cellIs" dxfId="53" priority="62" operator="equal">
      <formula>2</formula>
    </cfRule>
    <cfRule type="cellIs" dxfId="52" priority="63" operator="equal">
      <formula>1</formula>
    </cfRule>
  </conditionalFormatting>
  <conditionalFormatting sqref="K45:K49">
    <cfRule type="cellIs" dxfId="51" priority="58" operator="equal">
      <formula>3</formula>
    </cfRule>
    <cfRule type="cellIs" dxfId="50" priority="59" operator="equal">
      <formula>2</formula>
    </cfRule>
    <cfRule type="cellIs" dxfId="49" priority="60" operator="equal">
      <formula>1</formula>
    </cfRule>
  </conditionalFormatting>
  <conditionalFormatting sqref="Q45:Q49">
    <cfRule type="cellIs" dxfId="48" priority="55" operator="equal">
      <formula>3</formula>
    </cfRule>
    <cfRule type="cellIs" dxfId="47" priority="56" operator="equal">
      <formula>2</formula>
    </cfRule>
    <cfRule type="cellIs" dxfId="46" priority="57" operator="equal">
      <formula>1</formula>
    </cfRule>
  </conditionalFormatting>
  <conditionalFormatting sqref="W45:W49">
    <cfRule type="cellIs" dxfId="45" priority="52" operator="equal">
      <formula>3</formula>
    </cfRule>
    <cfRule type="cellIs" dxfId="44" priority="53" operator="equal">
      <formula>2</formula>
    </cfRule>
    <cfRule type="cellIs" dxfId="43" priority="54" operator="equal">
      <formula>1</formula>
    </cfRule>
  </conditionalFormatting>
  <conditionalFormatting sqref="A49:F49">
    <cfRule type="cellIs" dxfId="42" priority="49" operator="equal">
      <formula>3</formula>
    </cfRule>
    <cfRule type="cellIs" dxfId="41" priority="50" operator="equal">
      <formula>2</formula>
    </cfRule>
    <cfRule type="cellIs" dxfId="40" priority="51" operator="equal">
      <formula>1</formula>
    </cfRule>
  </conditionalFormatting>
  <conditionalFormatting sqref="J49 G49:H49">
    <cfRule type="cellIs" dxfId="39" priority="46" operator="equal">
      <formula>3</formula>
    </cfRule>
    <cfRule type="cellIs" dxfId="38" priority="47" operator="equal">
      <formula>2</formula>
    </cfRule>
    <cfRule type="cellIs" dxfId="37" priority="48" operator="equal">
      <formula>1</formula>
    </cfRule>
  </conditionalFormatting>
  <conditionalFormatting sqref="I49">
    <cfRule type="cellIs" dxfId="36" priority="43" operator="equal">
      <formula>3</formula>
    </cfRule>
    <cfRule type="cellIs" dxfId="35" priority="44" operator="equal">
      <formula>2</formula>
    </cfRule>
    <cfRule type="cellIs" dxfId="34" priority="45" operator="equal">
      <formula>1</formula>
    </cfRule>
  </conditionalFormatting>
  <conditionalFormatting sqref="P49 M49:N49">
    <cfRule type="cellIs" dxfId="33" priority="40" operator="equal">
      <formula>3</formula>
    </cfRule>
    <cfRule type="cellIs" dxfId="32" priority="41" operator="equal">
      <formula>2</formula>
    </cfRule>
    <cfRule type="cellIs" dxfId="31" priority="42" operator="equal">
      <formula>1</formula>
    </cfRule>
  </conditionalFormatting>
  <conditionalFormatting sqref="O49">
    <cfRule type="cellIs" dxfId="30" priority="37" operator="equal">
      <formula>3</formula>
    </cfRule>
    <cfRule type="cellIs" dxfId="29" priority="38" operator="equal">
      <formula>2</formula>
    </cfRule>
    <cfRule type="cellIs" dxfId="28" priority="39" operator="equal">
      <formula>1</formula>
    </cfRule>
  </conditionalFormatting>
  <conditionalFormatting sqref="V49 S49:T49">
    <cfRule type="cellIs" dxfId="27" priority="34" operator="equal">
      <formula>3</formula>
    </cfRule>
    <cfRule type="cellIs" dxfId="26" priority="35" operator="equal">
      <formula>2</formula>
    </cfRule>
    <cfRule type="cellIs" dxfId="25" priority="36" operator="equal">
      <formula>1</formula>
    </cfRule>
  </conditionalFormatting>
  <conditionalFormatting sqref="U49">
    <cfRule type="cellIs" dxfId="24" priority="31" operator="equal">
      <formula>3</formula>
    </cfRule>
    <cfRule type="cellIs" dxfId="23" priority="32" operator="equal">
      <formula>2</formula>
    </cfRule>
    <cfRule type="cellIs" dxfId="22" priority="33" operator="equal">
      <formula>1</formula>
    </cfRule>
  </conditionalFormatting>
  <conditionalFormatting sqref="W51:W54 W56">
    <cfRule type="cellIs" dxfId="21" priority="28" operator="equal">
      <formula>3</formula>
    </cfRule>
    <cfRule type="cellIs" dxfId="20" priority="29" operator="equal">
      <formula>2</formula>
    </cfRule>
    <cfRule type="cellIs" dxfId="19" priority="30" operator="equal">
      <formula>1</formula>
    </cfRule>
  </conditionalFormatting>
  <conditionalFormatting sqref="Q51:Q54 Q56">
    <cfRule type="cellIs" dxfId="18" priority="25" operator="equal">
      <formula>3</formula>
    </cfRule>
    <cfRule type="cellIs" dxfId="17" priority="26" operator="equal">
      <formula>2</formula>
    </cfRule>
    <cfRule type="cellIs" dxfId="16" priority="27" operator="equal">
      <formula>1</formula>
    </cfRule>
  </conditionalFormatting>
  <conditionalFormatting sqref="K51:K54 K56">
    <cfRule type="cellIs" dxfId="15" priority="22" operator="equal">
      <formula>3</formula>
    </cfRule>
    <cfRule type="cellIs" dxfId="14" priority="23" operator="equal">
      <formula>2</formula>
    </cfRule>
    <cfRule type="cellIs" dxfId="13" priority="24" operator="equal">
      <formula>1</formula>
    </cfRule>
  </conditionalFormatting>
  <conditionalFormatting sqref="E51:E54 E56">
    <cfRule type="cellIs" dxfId="12" priority="19" operator="equal">
      <formula>3</formula>
    </cfRule>
    <cfRule type="cellIs" dxfId="11" priority="20" operator="equal">
      <formula>2</formula>
    </cfRule>
    <cfRule type="cellIs" dxfId="10" priority="21" operator="equal">
      <formula>1</formula>
    </cfRule>
  </conditionalFormatting>
  <conditionalFormatting sqref="Q57:Q60">
    <cfRule type="cellIs" dxfId="9" priority="10" operator="equal">
      <formula>3</formula>
    </cfRule>
    <cfRule type="cellIs" dxfId="8" priority="11" operator="equal">
      <formula>2</formula>
    </cfRule>
    <cfRule type="cellIs" dxfId="7" priority="12" operator="equal">
      <formula>1</formula>
    </cfRule>
  </conditionalFormatting>
  <conditionalFormatting sqref="K57:K60">
    <cfRule type="cellIs" dxfId="6" priority="7" operator="equal">
      <formula>3</formula>
    </cfRule>
    <cfRule type="cellIs" dxfId="5" priority="8" operator="equal">
      <formula>2</formula>
    </cfRule>
    <cfRule type="cellIs" dxfId="4" priority="9" operator="equal">
      <formula>1</formula>
    </cfRule>
  </conditionalFormatting>
  <conditionalFormatting sqref="AO35:AV45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AX18" sqref="AX18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4">
        <v>1</v>
      </c>
      <c r="D1" s="34">
        <v>2</v>
      </c>
      <c r="E1" s="34">
        <v>3</v>
      </c>
      <c r="F1" s="34">
        <v>4</v>
      </c>
      <c r="G1" s="34">
        <v>5</v>
      </c>
      <c r="H1" s="34">
        <v>6</v>
      </c>
      <c r="I1" s="34">
        <v>7</v>
      </c>
      <c r="J1" s="34">
        <v>8</v>
      </c>
      <c r="K1" s="34">
        <v>9</v>
      </c>
      <c r="L1" s="34">
        <v>10</v>
      </c>
      <c r="M1" s="34">
        <v>11</v>
      </c>
    </row>
    <row r="2" spans="1:50" ht="22.5" customHeight="1" x14ac:dyDescent="0.15">
      <c r="D2" t="s">
        <v>34</v>
      </c>
      <c r="E2" t="s">
        <v>55</v>
      </c>
      <c r="AV2" s="72" t="s">
        <v>54</v>
      </c>
      <c r="AW2" s="73"/>
      <c r="AX2" s="74"/>
    </row>
    <row r="3" spans="1:50" ht="22.5" customHeight="1" x14ac:dyDescent="0.15">
      <c r="C3" s="29" t="s">
        <v>53</v>
      </c>
      <c r="D3" s="29">
        <v>1</v>
      </c>
      <c r="E3" s="29">
        <v>23</v>
      </c>
      <c r="F3" s="29">
        <v>11</v>
      </c>
      <c r="Q3" s="29" t="s">
        <v>53</v>
      </c>
      <c r="R3" s="29">
        <v>2</v>
      </c>
      <c r="S3" s="29">
        <v>23</v>
      </c>
      <c r="T3" s="29">
        <v>11</v>
      </c>
      <c r="AE3" s="29" t="s">
        <v>53</v>
      </c>
      <c r="AF3" s="29">
        <v>3</v>
      </c>
      <c r="AG3" s="29">
        <v>23</v>
      </c>
      <c r="AH3" s="29">
        <v>11</v>
      </c>
      <c r="AV3" s="22"/>
      <c r="AW3" s="35" t="s">
        <v>35</v>
      </c>
      <c r="AX3" s="36">
        <f>测试单元格颜色(AV3)</f>
        <v>0</v>
      </c>
    </row>
    <row r="4" spans="1:50" ht="22.5" customHeight="1" x14ac:dyDescent="0.15">
      <c r="A4" s="34">
        <v>1</v>
      </c>
      <c r="C4" s="30"/>
      <c r="D4" s="30"/>
      <c r="E4" s="30"/>
      <c r="F4" s="30"/>
      <c r="G4" s="30"/>
      <c r="H4" s="30"/>
      <c r="I4" s="33">
        <v>30</v>
      </c>
      <c r="J4" s="30"/>
      <c r="K4" s="30"/>
      <c r="L4" s="30"/>
      <c r="M4" s="30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1"/>
      <c r="AC4" s="31"/>
      <c r="AD4" s="31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V4" s="27"/>
      <c r="AW4" s="35" t="s">
        <v>38</v>
      </c>
      <c r="AX4" s="36">
        <f>测试单元格颜色(AV4)</f>
        <v>13995347</v>
      </c>
    </row>
    <row r="5" spans="1:50" ht="22.5" customHeight="1" x14ac:dyDescent="0.15">
      <c r="A5" s="34">
        <v>2</v>
      </c>
      <c r="C5" s="30"/>
      <c r="D5" s="30"/>
      <c r="F5" s="30"/>
      <c r="G5" s="30"/>
      <c r="H5" s="30"/>
      <c r="I5" s="30"/>
      <c r="J5" s="30"/>
      <c r="K5" s="30"/>
      <c r="L5" s="30"/>
      <c r="M5" s="30"/>
      <c r="N5" s="31"/>
      <c r="O5" s="31"/>
      <c r="P5" s="31"/>
      <c r="Q5" s="30"/>
      <c r="R5" s="30"/>
      <c r="S5" s="32"/>
      <c r="T5" s="30"/>
      <c r="U5" s="30"/>
      <c r="V5" s="30"/>
      <c r="W5" s="30"/>
      <c r="X5" s="30"/>
      <c r="Y5" s="30"/>
      <c r="Z5" s="30"/>
      <c r="AA5" s="30"/>
      <c r="AB5" s="31"/>
      <c r="AC5" s="31"/>
      <c r="AD5" s="31"/>
      <c r="AE5" s="30"/>
      <c r="AF5" s="30"/>
      <c r="AG5" s="32"/>
      <c r="AH5" s="30"/>
      <c r="AI5" s="30"/>
      <c r="AJ5" s="30"/>
      <c r="AK5" s="30"/>
      <c r="AL5" s="30"/>
      <c r="AM5" s="30"/>
      <c r="AN5" s="30"/>
      <c r="AO5" s="30"/>
      <c r="AV5" s="28"/>
      <c r="AW5" s="35" t="s">
        <v>40</v>
      </c>
      <c r="AX5" s="36">
        <f>测试单元格颜色(AV5)</f>
        <v>192</v>
      </c>
    </row>
    <row r="6" spans="1:50" ht="22.5" customHeight="1" x14ac:dyDescent="0.15">
      <c r="A6" s="34">
        <v>3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1"/>
      <c r="AC6" s="31"/>
      <c r="AD6" s="31"/>
      <c r="AE6" s="30"/>
      <c r="AF6" s="30"/>
      <c r="AG6" s="33">
        <v>30</v>
      </c>
      <c r="AH6" s="30"/>
      <c r="AI6" s="30"/>
      <c r="AJ6" s="30"/>
      <c r="AK6" s="30"/>
      <c r="AL6" s="30"/>
      <c r="AM6" s="30"/>
      <c r="AN6" s="30"/>
      <c r="AO6" s="30"/>
      <c r="AV6" s="25"/>
      <c r="AW6" s="35" t="s">
        <v>42</v>
      </c>
      <c r="AX6" s="36">
        <f>测试单元格颜色(AV6)</f>
        <v>65535</v>
      </c>
    </row>
    <row r="7" spans="1:50" ht="22.5" customHeight="1" x14ac:dyDescent="0.15">
      <c r="A7" s="34">
        <v>4</v>
      </c>
      <c r="C7" s="30"/>
      <c r="D7" s="30"/>
      <c r="F7" s="30"/>
      <c r="G7" s="30"/>
      <c r="H7" s="30"/>
      <c r="I7" s="30"/>
      <c r="J7" s="30"/>
      <c r="K7" s="30"/>
      <c r="L7" s="30"/>
      <c r="M7" s="30"/>
      <c r="N7" s="31"/>
      <c r="O7" s="31"/>
      <c r="P7" s="31"/>
      <c r="Q7" s="30"/>
      <c r="R7" s="30"/>
      <c r="S7" s="33">
        <v>30</v>
      </c>
      <c r="T7" s="30"/>
      <c r="U7" s="30"/>
      <c r="V7" s="30"/>
      <c r="W7" s="30"/>
      <c r="X7" s="30"/>
      <c r="Y7" s="30"/>
      <c r="Z7" s="30"/>
      <c r="AA7" s="30"/>
      <c r="AB7" s="31"/>
      <c r="AC7" s="31"/>
      <c r="AD7" s="31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V7" s="26"/>
      <c r="AW7" s="37" t="s">
        <v>56</v>
      </c>
      <c r="AX7" s="38">
        <f>测试单元格颜色(AV7)</f>
        <v>5880731</v>
      </c>
    </row>
    <row r="8" spans="1:50" ht="22.5" customHeight="1" x14ac:dyDescent="0.15">
      <c r="A8" s="34">
        <v>5</v>
      </c>
      <c r="C8" s="30"/>
      <c r="D8" s="30"/>
      <c r="E8" s="30"/>
      <c r="F8" s="30"/>
      <c r="G8" s="30"/>
      <c r="H8" s="30"/>
      <c r="I8" s="30"/>
      <c r="J8" s="30"/>
      <c r="L8" s="30"/>
      <c r="M8" s="30"/>
      <c r="N8" s="31"/>
      <c r="O8" s="31"/>
      <c r="P8" s="31"/>
      <c r="Q8" s="30"/>
      <c r="R8" s="30"/>
      <c r="S8" s="30"/>
      <c r="T8" s="30"/>
      <c r="U8" s="30"/>
      <c r="V8" s="32"/>
      <c r="W8" s="30"/>
      <c r="X8" s="30"/>
      <c r="Y8" s="30"/>
      <c r="Z8" s="30"/>
      <c r="AA8" s="30"/>
      <c r="AB8" s="31"/>
      <c r="AC8" s="31"/>
      <c r="AD8" s="31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</row>
    <row r="9" spans="1:50" ht="22.5" customHeight="1" x14ac:dyDescent="0.15">
      <c r="A9" s="34">
        <v>6</v>
      </c>
      <c r="C9" s="30"/>
      <c r="D9" s="30"/>
      <c r="E9" s="30"/>
      <c r="F9" s="30"/>
      <c r="G9" s="30"/>
      <c r="H9" s="27"/>
      <c r="I9" s="27"/>
      <c r="J9" s="27"/>
      <c r="K9" s="30"/>
      <c r="L9" s="30"/>
      <c r="M9" s="30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1"/>
      <c r="AC9" s="31"/>
      <c r="AD9" s="31"/>
      <c r="AE9" s="30"/>
      <c r="AF9" s="30"/>
      <c r="AG9" s="30"/>
      <c r="AH9" s="30"/>
      <c r="AI9" s="30"/>
      <c r="AJ9" s="30"/>
      <c r="AK9" s="30"/>
      <c r="AL9" s="30"/>
      <c r="AM9" s="30"/>
      <c r="AN9" s="32"/>
      <c r="AO9" s="30"/>
    </row>
    <row r="10" spans="1:50" ht="22.5" customHeight="1" x14ac:dyDescent="0.15">
      <c r="A10" s="34">
        <v>7</v>
      </c>
      <c r="C10" s="30"/>
      <c r="D10" s="30"/>
      <c r="E10" s="30"/>
      <c r="F10" s="30"/>
      <c r="G10" s="30"/>
      <c r="H10" s="27"/>
      <c r="I10" s="27"/>
      <c r="J10" s="27"/>
      <c r="K10" s="27"/>
      <c r="L10" s="30"/>
      <c r="M10" s="30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3">
        <v>20</v>
      </c>
      <c r="Z10" s="30"/>
      <c r="AA10" s="30"/>
      <c r="AB10" s="31"/>
      <c r="AC10" s="31"/>
      <c r="AD10" s="31"/>
      <c r="AE10" s="30"/>
      <c r="AF10" s="30"/>
      <c r="AG10" s="30"/>
      <c r="AH10" s="30"/>
      <c r="AI10" s="32"/>
      <c r="AJ10" s="30"/>
      <c r="AK10" s="30"/>
      <c r="AL10" s="30"/>
      <c r="AM10" s="30"/>
      <c r="AN10" s="32"/>
      <c r="AO10" s="30"/>
    </row>
    <row r="11" spans="1:50" ht="22.5" customHeight="1" x14ac:dyDescent="0.15">
      <c r="A11" s="34">
        <v>8</v>
      </c>
      <c r="C11" s="30"/>
      <c r="D11" s="30"/>
      <c r="E11" s="30"/>
      <c r="F11" s="30"/>
      <c r="G11" s="30"/>
      <c r="H11" s="27"/>
      <c r="I11" s="27"/>
      <c r="J11" s="27"/>
      <c r="K11" s="33">
        <v>15</v>
      </c>
      <c r="L11" s="30"/>
      <c r="M11" s="30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2"/>
      <c r="Z11" s="30"/>
      <c r="AA11" s="30"/>
      <c r="AB11" s="31"/>
      <c r="AC11" s="31"/>
      <c r="AD11" s="31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50" ht="22.5" customHeight="1" x14ac:dyDescent="0.15">
      <c r="A12" s="34">
        <v>9</v>
      </c>
      <c r="C12" s="30"/>
      <c r="D12" s="30"/>
      <c r="E12" s="30"/>
      <c r="F12" s="30"/>
      <c r="G12" s="30"/>
      <c r="H12" s="30"/>
      <c r="I12" s="27"/>
      <c r="J12" s="27"/>
      <c r="K12" s="30"/>
      <c r="L12" s="30"/>
      <c r="M12" s="30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1"/>
      <c r="AC12" s="31"/>
      <c r="AD12" s="31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50" ht="22.5" customHeight="1" x14ac:dyDescent="0.15">
      <c r="A13" s="34">
        <v>10</v>
      </c>
      <c r="C13" s="30"/>
      <c r="D13" s="30"/>
      <c r="E13" s="30"/>
      <c r="F13" s="30"/>
      <c r="G13" s="28"/>
      <c r="H13" s="30"/>
      <c r="I13" s="30"/>
      <c r="J13" s="30"/>
      <c r="K13" s="30"/>
      <c r="L13" s="30"/>
      <c r="M13" s="30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1"/>
      <c r="AC13" s="31"/>
      <c r="AD13" s="31"/>
      <c r="AE13" s="30"/>
      <c r="AF13" s="30"/>
      <c r="AG13" s="30"/>
      <c r="AH13" s="30"/>
      <c r="AI13" s="30"/>
      <c r="AJ13" s="30"/>
      <c r="AK13" s="30"/>
      <c r="AL13" s="30"/>
      <c r="AM13" s="33">
        <v>7</v>
      </c>
      <c r="AN13" s="30"/>
      <c r="AO13" s="30"/>
    </row>
    <row r="14" spans="1:50" ht="22.5" customHeight="1" x14ac:dyDescent="0.15">
      <c r="A14" s="34">
        <v>11</v>
      </c>
      <c r="C14" s="30"/>
      <c r="D14" s="30"/>
      <c r="E14" s="28"/>
      <c r="F14" s="28"/>
      <c r="G14" s="28"/>
      <c r="H14" s="28"/>
      <c r="I14" s="30"/>
      <c r="J14" s="30"/>
      <c r="K14" s="30"/>
      <c r="L14" s="30"/>
      <c r="M14" s="30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1"/>
      <c r="AC14" s="31"/>
      <c r="AD14" s="31"/>
      <c r="AE14" s="30"/>
      <c r="AF14" s="30"/>
      <c r="AG14" s="28"/>
      <c r="AH14" s="28"/>
      <c r="AI14" s="30"/>
      <c r="AJ14" s="30"/>
      <c r="AK14" s="30"/>
      <c r="AL14" s="30"/>
      <c r="AM14" s="30"/>
      <c r="AN14" s="30"/>
      <c r="AO14" s="30"/>
    </row>
    <row r="15" spans="1:50" ht="22.5" customHeight="1" x14ac:dyDescent="0.15">
      <c r="A15" s="34">
        <v>12</v>
      </c>
      <c r="C15" s="30"/>
      <c r="D15" s="30"/>
      <c r="E15" s="28"/>
      <c r="F15" s="33">
        <v>15</v>
      </c>
      <c r="G15" s="28"/>
      <c r="H15" s="28"/>
      <c r="I15" s="30"/>
      <c r="J15" s="30"/>
      <c r="K15" s="30"/>
      <c r="L15" s="30"/>
      <c r="M15" s="30"/>
      <c r="N15" s="31"/>
      <c r="O15" s="31"/>
      <c r="P15" s="31"/>
      <c r="Q15" s="30"/>
      <c r="R15" s="30"/>
      <c r="S15" s="30"/>
      <c r="T15" s="28"/>
      <c r="U15" s="28"/>
      <c r="V15" s="28"/>
      <c r="W15" s="28"/>
      <c r="X15" s="30"/>
      <c r="Y15" s="30"/>
      <c r="Z15" s="30"/>
      <c r="AA15" s="30"/>
      <c r="AB15" s="31"/>
      <c r="AC15" s="31"/>
      <c r="AD15" s="31"/>
      <c r="AE15" s="30"/>
      <c r="AF15" s="30"/>
      <c r="AG15" s="33">
        <v>7</v>
      </c>
      <c r="AH15" s="28"/>
      <c r="AI15" s="28"/>
      <c r="AJ15" s="30"/>
      <c r="AK15" s="30"/>
      <c r="AL15" s="30"/>
      <c r="AM15" s="30"/>
      <c r="AN15" s="30"/>
      <c r="AO15" s="30"/>
    </row>
    <row r="16" spans="1:50" ht="22.5" customHeight="1" x14ac:dyDescent="0.15">
      <c r="A16" s="34">
        <v>13</v>
      </c>
      <c r="C16" s="30"/>
      <c r="D16" s="30"/>
      <c r="E16" s="28"/>
      <c r="F16" s="28"/>
      <c r="G16" s="28"/>
      <c r="H16" s="28"/>
      <c r="J16" s="30"/>
      <c r="K16" s="30"/>
      <c r="L16" s="30"/>
      <c r="M16" s="30"/>
      <c r="N16" s="31"/>
      <c r="O16" s="31"/>
      <c r="P16" s="31"/>
      <c r="Q16" s="30"/>
      <c r="R16" s="30"/>
      <c r="S16" s="30"/>
      <c r="T16" s="28"/>
      <c r="U16" s="32"/>
      <c r="V16" s="28"/>
      <c r="W16" s="28"/>
      <c r="X16" s="28"/>
      <c r="Y16" s="30"/>
      <c r="Z16" s="30"/>
      <c r="AA16" s="30"/>
      <c r="AB16" s="31"/>
      <c r="AC16" s="31"/>
      <c r="AD16" s="31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1:41" ht="22.5" customHeight="1" x14ac:dyDescent="0.15">
      <c r="A17" s="34">
        <v>14</v>
      </c>
      <c r="C17" s="30"/>
      <c r="D17" s="30"/>
      <c r="E17" s="30"/>
      <c r="F17" s="28"/>
      <c r="G17" s="28"/>
      <c r="H17" s="28"/>
      <c r="I17" s="30"/>
      <c r="J17" s="30"/>
      <c r="K17" s="30"/>
      <c r="L17" s="30"/>
      <c r="M17" s="30"/>
      <c r="N17" s="31"/>
      <c r="O17" s="31"/>
      <c r="P17" s="31"/>
      <c r="Q17" s="30"/>
      <c r="R17" s="30"/>
      <c r="S17" s="30"/>
      <c r="T17" s="28"/>
      <c r="U17" s="28"/>
      <c r="V17" s="33">
        <v>10</v>
      </c>
      <c r="W17" s="28"/>
      <c r="X17" s="30"/>
      <c r="Y17" s="30"/>
      <c r="Z17" s="30"/>
      <c r="AA17" s="30"/>
      <c r="AB17" s="31"/>
      <c r="AC17" s="31"/>
      <c r="AD17" s="31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1:41" ht="22.5" customHeight="1" x14ac:dyDescent="0.15">
      <c r="A18" s="34">
        <v>15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1"/>
      <c r="AC18" s="31"/>
      <c r="AD18" s="31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1:41" ht="22.5" customHeight="1" x14ac:dyDescent="0.15">
      <c r="A19" s="34">
        <v>16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1"/>
      <c r="AC19" s="31"/>
      <c r="AD19" s="31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1:41" ht="22.5" customHeight="1" x14ac:dyDescent="0.15">
      <c r="A20" s="34">
        <v>17</v>
      </c>
      <c r="C20" s="30"/>
      <c r="E20" s="30"/>
      <c r="F20" s="30"/>
      <c r="H20" s="30"/>
      <c r="I20" s="30"/>
      <c r="K20" s="30"/>
      <c r="L20" s="30"/>
      <c r="M20" s="30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1"/>
      <c r="AC20" s="31"/>
      <c r="AD20" s="31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1:41" ht="22.5" customHeight="1" x14ac:dyDescent="0.15">
      <c r="A21" s="34">
        <v>18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1"/>
      <c r="AC21" s="31"/>
      <c r="AD21" s="31"/>
      <c r="AE21" s="30"/>
      <c r="AF21" s="30"/>
      <c r="AG21" s="30"/>
      <c r="AH21" s="30"/>
      <c r="AI21" s="32"/>
      <c r="AJ21" s="30"/>
      <c r="AK21" s="30"/>
      <c r="AL21" s="30"/>
      <c r="AM21" s="33">
        <v>27</v>
      </c>
      <c r="AN21" s="30"/>
      <c r="AO21" s="30"/>
    </row>
    <row r="22" spans="1:41" ht="22.5" customHeight="1" x14ac:dyDescent="0.15">
      <c r="A22" s="34">
        <v>19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2"/>
      <c r="Z22" s="30"/>
      <c r="AA22" s="30"/>
      <c r="AB22" s="31"/>
      <c r="AC22" s="31"/>
      <c r="AD22" s="31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1:41" ht="22.5" customHeight="1" x14ac:dyDescent="0.15">
      <c r="A23" s="34">
        <v>20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1"/>
      <c r="O23" s="31"/>
      <c r="P23" s="31"/>
      <c r="Q23" s="30"/>
      <c r="R23" s="30"/>
      <c r="S23" s="30"/>
      <c r="T23" s="30"/>
      <c r="U23" s="30"/>
      <c r="V23" s="33">
        <v>25</v>
      </c>
      <c r="W23" s="30"/>
      <c r="X23" s="30"/>
      <c r="Y23" s="32"/>
      <c r="Z23" s="30"/>
      <c r="AA23" s="30"/>
      <c r="AB23" s="31"/>
      <c r="AC23" s="31"/>
      <c r="AD23" s="31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1:41" ht="22.5" customHeight="1" x14ac:dyDescent="0.15">
      <c r="A24" s="34">
        <v>21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1"/>
      <c r="AC24" s="31"/>
      <c r="AD24" s="31"/>
      <c r="AE24" s="30"/>
      <c r="AF24" s="32"/>
      <c r="AG24" s="32"/>
      <c r="AH24" s="30"/>
      <c r="AI24" s="30"/>
      <c r="AJ24" s="30"/>
      <c r="AK24" s="30"/>
      <c r="AL24" s="30"/>
      <c r="AM24" s="30"/>
      <c r="AN24" s="30"/>
      <c r="AO24" s="30"/>
    </row>
    <row r="25" spans="1:41" ht="22.5" customHeight="1" x14ac:dyDescent="0.15">
      <c r="A25" s="34">
        <v>22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1"/>
      <c r="O25" s="31"/>
      <c r="P25" s="31"/>
      <c r="Q25" s="30"/>
      <c r="R25" s="30"/>
      <c r="S25" s="32"/>
      <c r="T25" s="30"/>
      <c r="U25" s="30"/>
      <c r="V25" s="30"/>
      <c r="W25" s="30"/>
      <c r="X25" s="30"/>
      <c r="Y25" s="30"/>
      <c r="Z25" s="30"/>
      <c r="AA25" s="30"/>
      <c r="AB25" s="31"/>
      <c r="AC25" s="31"/>
      <c r="AD25" s="31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1:41" ht="22.5" customHeight="1" x14ac:dyDescent="0.15">
      <c r="A26" s="34">
        <v>23</v>
      </c>
      <c r="C26" s="30"/>
      <c r="D26" s="30"/>
      <c r="E26" s="30"/>
      <c r="F26" s="30"/>
      <c r="G26" s="30"/>
      <c r="H26" s="30"/>
      <c r="I26" s="30"/>
      <c r="J26" s="30"/>
      <c r="K26" s="33">
        <v>20</v>
      </c>
      <c r="L26" s="30"/>
      <c r="M26" s="30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1"/>
      <c r="AC26" s="31"/>
      <c r="AD26" s="31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E78"/>
  <sheetViews>
    <sheetView tabSelected="1" zoomScale="70" zoomScaleNormal="70" workbookViewId="0">
      <pane xSplit="4" ySplit="3" topLeftCell="AJ19" activePane="bottomRight" state="frozen"/>
      <selection pane="topRight" activeCell="E1" sqref="E1"/>
      <selection pane="bottomLeft" activeCell="A4" sqref="A4"/>
      <selection pane="bottomRight" activeCell="BA4" sqref="BA4:BA25"/>
    </sheetView>
  </sheetViews>
  <sheetFormatPr defaultRowHeight="16.5" x14ac:dyDescent="0.3"/>
  <cols>
    <col min="1" max="2" width="9.25" style="42" bestFit="1" customWidth="1"/>
    <col min="3" max="3" width="15.125" style="42" customWidth="1"/>
    <col min="4" max="4" width="9.25" style="42" customWidth="1"/>
    <col min="5" max="6" width="7.5" style="54" bestFit="1" customWidth="1"/>
    <col min="7" max="8" width="9.25" style="54" bestFit="1" customWidth="1"/>
    <col min="9" max="9" width="11.375" style="54" bestFit="1" customWidth="1"/>
    <col min="10" max="10" width="11.375" style="54" customWidth="1"/>
    <col min="11" max="12" width="6.375" style="55" bestFit="1" customWidth="1"/>
    <col min="13" max="14" width="9.25" style="55" bestFit="1" customWidth="1"/>
    <col min="15" max="15" width="6.375" style="55" bestFit="1" customWidth="1"/>
    <col min="16" max="16" width="7.5" style="55" bestFit="1" customWidth="1"/>
    <col min="17" max="18" width="9.25" style="55" bestFit="1" customWidth="1"/>
    <col min="19" max="22" width="6.375" style="55" bestFit="1" customWidth="1"/>
    <col min="23" max="24" width="9.25" style="55" bestFit="1" customWidth="1"/>
    <col min="25" max="26" width="7.5" style="55" bestFit="1" customWidth="1"/>
    <col min="27" max="27" width="6.375" style="55" bestFit="1" customWidth="1"/>
    <col min="28" max="29" width="9.25" style="55" bestFit="1" customWidth="1"/>
    <col min="30" max="30" width="6.375" style="55" bestFit="1" customWidth="1"/>
    <col min="31" max="33" width="9.25" style="55" bestFit="1" customWidth="1"/>
    <col min="34" max="36" width="9.25" style="56" bestFit="1" customWidth="1"/>
    <col min="37" max="37" width="6.375" style="56" bestFit="1" customWidth="1"/>
    <col min="38" max="39" width="9.25" style="56" bestFit="1" customWidth="1"/>
    <col min="40" max="40" width="6.375" style="56" bestFit="1" customWidth="1"/>
    <col min="41" max="49" width="9.25" style="56" bestFit="1" customWidth="1"/>
    <col min="50" max="50" width="9" style="42"/>
    <col min="51" max="51" width="3.125" style="42" bestFit="1" customWidth="1"/>
    <col min="52" max="52" width="14.625" style="42" bestFit="1" customWidth="1"/>
    <col min="53" max="53" width="31.75" style="42" bestFit="1" customWidth="1"/>
    <col min="54" max="54" width="9.5" style="42" bestFit="1" customWidth="1"/>
    <col min="55" max="55" width="9" style="42"/>
    <col min="56" max="56" width="44.375" style="42" bestFit="1" customWidth="1"/>
    <col min="57" max="57" width="91" style="42" bestFit="1" customWidth="1"/>
    <col min="58" max="16384" width="9" style="42"/>
  </cols>
  <sheetData>
    <row r="1" spans="1:57" x14ac:dyDescent="0.3">
      <c r="A1" s="43"/>
      <c r="B1" s="43"/>
      <c r="C1" s="43"/>
      <c r="D1" s="43"/>
      <c r="E1" s="75" t="s">
        <v>103</v>
      </c>
      <c r="F1" s="75"/>
      <c r="G1" s="75"/>
      <c r="H1" s="75"/>
      <c r="I1" s="75"/>
      <c r="J1" s="67"/>
      <c r="K1" s="76" t="s">
        <v>104</v>
      </c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</row>
    <row r="2" spans="1:57" x14ac:dyDescent="0.3">
      <c r="A2" s="43"/>
      <c r="B2" s="43"/>
      <c r="C2" s="43"/>
      <c r="D2" s="43"/>
      <c r="E2" s="67" t="s">
        <v>243</v>
      </c>
      <c r="F2" s="67" t="s">
        <v>212</v>
      </c>
      <c r="G2" s="68" t="s">
        <v>242</v>
      </c>
      <c r="H2" s="67" t="s">
        <v>218</v>
      </c>
      <c r="I2" s="44" t="s">
        <v>213</v>
      </c>
      <c r="J2" s="67" t="s">
        <v>214</v>
      </c>
      <c r="K2" s="45">
        <v>1001</v>
      </c>
      <c r="L2" s="45">
        <v>1002</v>
      </c>
      <c r="M2" s="45">
        <v>1003</v>
      </c>
      <c r="N2" s="45">
        <v>1004</v>
      </c>
      <c r="O2" s="45">
        <v>1005</v>
      </c>
      <c r="P2" s="45">
        <v>1006</v>
      </c>
      <c r="Q2" s="45">
        <v>1007</v>
      </c>
      <c r="R2" s="45">
        <v>1008</v>
      </c>
      <c r="S2" s="45">
        <v>1009</v>
      </c>
      <c r="T2" s="45">
        <v>1010</v>
      </c>
      <c r="U2" s="45">
        <v>1011</v>
      </c>
      <c r="V2" s="45">
        <v>1012</v>
      </c>
      <c r="W2" s="45">
        <v>1013</v>
      </c>
      <c r="X2" s="45">
        <v>1014</v>
      </c>
      <c r="Y2" s="45">
        <v>1015</v>
      </c>
      <c r="Z2" s="45">
        <v>1016</v>
      </c>
      <c r="AA2" s="45">
        <v>1017</v>
      </c>
      <c r="AB2" s="45">
        <v>1018</v>
      </c>
      <c r="AC2" s="45">
        <v>1019</v>
      </c>
      <c r="AD2" s="45">
        <v>1020</v>
      </c>
      <c r="AE2" s="45">
        <v>1021</v>
      </c>
      <c r="AF2" s="45">
        <v>1022</v>
      </c>
      <c r="AG2" s="45">
        <v>1023</v>
      </c>
      <c r="AH2" s="46">
        <v>1025</v>
      </c>
      <c r="AI2" s="46">
        <v>1026</v>
      </c>
      <c r="AJ2" s="46">
        <v>1027</v>
      </c>
      <c r="AK2" s="46">
        <v>1028</v>
      </c>
      <c r="AL2" s="46">
        <v>1029</v>
      </c>
      <c r="AM2" s="46">
        <v>1030</v>
      </c>
      <c r="AN2" s="46">
        <v>1031</v>
      </c>
      <c r="AO2" s="46">
        <v>1032</v>
      </c>
      <c r="AP2" s="46">
        <v>1033</v>
      </c>
      <c r="AQ2" s="46">
        <v>1034</v>
      </c>
      <c r="AR2" s="46">
        <v>1035</v>
      </c>
      <c r="AS2" s="46">
        <v>1036</v>
      </c>
      <c r="AT2" s="46">
        <v>1037</v>
      </c>
      <c r="AU2" s="46">
        <v>1038</v>
      </c>
      <c r="AV2" s="46">
        <v>1039</v>
      </c>
      <c r="AW2" s="46">
        <v>1040</v>
      </c>
    </row>
    <row r="3" spans="1:57" x14ac:dyDescent="0.3">
      <c r="A3" s="43" t="s">
        <v>105</v>
      </c>
      <c r="B3" s="43" t="s">
        <v>106</v>
      </c>
      <c r="C3" s="43"/>
      <c r="D3" s="43"/>
      <c r="E3" s="47" t="s">
        <v>107</v>
      </c>
      <c r="F3" s="47" t="s">
        <v>108</v>
      </c>
      <c r="G3" s="47" t="s">
        <v>217</v>
      </c>
      <c r="H3" s="47" t="s">
        <v>219</v>
      </c>
      <c r="I3" s="47" t="s">
        <v>215</v>
      </c>
      <c r="J3" s="47" t="s">
        <v>216</v>
      </c>
      <c r="K3" s="48" t="s">
        <v>109</v>
      </c>
      <c r="L3" s="45" t="s">
        <v>110</v>
      </c>
      <c r="M3" s="45" t="s">
        <v>111</v>
      </c>
      <c r="N3" s="45" t="s">
        <v>112</v>
      </c>
      <c r="O3" s="45" t="s">
        <v>113</v>
      </c>
      <c r="P3" s="45" t="s">
        <v>114</v>
      </c>
      <c r="Q3" s="45" t="s">
        <v>115</v>
      </c>
      <c r="R3" s="45" t="s">
        <v>116</v>
      </c>
      <c r="S3" s="45" t="s">
        <v>117</v>
      </c>
      <c r="T3" s="45" t="s">
        <v>118</v>
      </c>
      <c r="U3" s="45" t="s">
        <v>119</v>
      </c>
      <c r="V3" s="45" t="s">
        <v>120</v>
      </c>
      <c r="W3" s="45" t="s">
        <v>121</v>
      </c>
      <c r="X3" s="45" t="s">
        <v>122</v>
      </c>
      <c r="Y3" s="45" t="s">
        <v>123</v>
      </c>
      <c r="Z3" s="45" t="s">
        <v>124</v>
      </c>
      <c r="AA3" s="45" t="s">
        <v>125</v>
      </c>
      <c r="AB3" s="45" t="s">
        <v>126</v>
      </c>
      <c r="AC3" s="45" t="s">
        <v>127</v>
      </c>
      <c r="AD3" s="45" t="s">
        <v>128</v>
      </c>
      <c r="AE3" s="45" t="s">
        <v>129</v>
      </c>
      <c r="AF3" s="45" t="s">
        <v>130</v>
      </c>
      <c r="AG3" s="45" t="s">
        <v>131</v>
      </c>
      <c r="AH3" s="46" t="s">
        <v>132</v>
      </c>
      <c r="AI3" s="46" t="s">
        <v>133</v>
      </c>
      <c r="AJ3" s="46" t="s">
        <v>134</v>
      </c>
      <c r="AK3" s="46" t="s">
        <v>135</v>
      </c>
      <c r="AL3" s="46" t="s">
        <v>136</v>
      </c>
      <c r="AM3" s="46" t="s">
        <v>137</v>
      </c>
      <c r="AN3" s="46" t="s">
        <v>138</v>
      </c>
      <c r="AO3" s="46" t="s">
        <v>139</v>
      </c>
      <c r="AP3" s="46" t="s">
        <v>140</v>
      </c>
      <c r="AQ3" s="46" t="s">
        <v>141</v>
      </c>
      <c r="AR3" s="46" t="s">
        <v>142</v>
      </c>
      <c r="AS3" s="46" t="s">
        <v>143</v>
      </c>
      <c r="AT3" s="46" t="s">
        <v>144</v>
      </c>
      <c r="AU3" s="46" t="s">
        <v>145</v>
      </c>
      <c r="AV3" s="46" t="s">
        <v>146</v>
      </c>
      <c r="AW3" s="46" t="s">
        <v>147</v>
      </c>
    </row>
    <row r="4" spans="1:57" ht="45" customHeight="1" x14ac:dyDescent="0.3">
      <c r="A4" s="57">
        <v>100001</v>
      </c>
      <c r="B4" s="43">
        <v>1</v>
      </c>
      <c r="C4" s="60" t="s">
        <v>148</v>
      </c>
      <c r="D4" s="43"/>
      <c r="E4" s="44"/>
      <c r="F4" s="44">
        <v>2</v>
      </c>
      <c r="G4" s="44"/>
      <c r="H4" s="44">
        <v>5</v>
      </c>
      <c r="I4" s="44"/>
      <c r="J4" s="67">
        <v>1</v>
      </c>
      <c r="K4" s="45">
        <v>3</v>
      </c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6">
        <v>3</v>
      </c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Y4" s="42">
        <f>COUNTA(E4:AW4)</f>
        <v>5</v>
      </c>
      <c r="AZ4" s="42" t="str">
        <f t="shared" ref="AZ4:AZ67" si="0">"属性" &amp; A4 &amp; "_" &amp;B4</f>
        <v>属性100001_1</v>
      </c>
      <c r="BA4" s="42" t="str">
        <f>属性统计($E$2:$J$2,E4:J4)</f>
        <v>firstAtt;laser;guard</v>
      </c>
      <c r="BB4" s="42" t="str">
        <f ca="1">[1]!连接单元格(E4:I4,";")</f>
        <v>2;5</v>
      </c>
      <c r="BD4" s="42" t="str">
        <f>技能点统计($K$2:$AW$2,K4:AW4)</f>
        <v>1001:3|1025:3</v>
      </c>
      <c r="BE4" s="42" t="str">
        <f t="shared" ref="BE4:BE67" si="1">"&lt;color=#FFCB00FF&gt;" &amp; 描述生成($K$3:$AW$3,K4:AW4)&amp;"&lt;/color&gt;;&lt;color=#FFEFAEFF &gt;"&amp; 描述生成($E$3:$I$3,E4:I4) &amp; "&lt;/color&gt;"</f>
        <v>&lt;color=#FFCB00FF&gt;南瓜+3,先发制人+3&lt;/color&gt;;&lt;color=#FFEFAEFF &gt;先攻+2,光线攻击+5&lt;/color&gt;</v>
      </c>
    </row>
    <row r="5" spans="1:57" ht="45" customHeight="1" x14ac:dyDescent="0.3">
      <c r="A5" s="49">
        <f>A4+1</f>
        <v>100002</v>
      </c>
      <c r="B5" s="43">
        <v>1</v>
      </c>
      <c r="C5" s="61" t="s">
        <v>149</v>
      </c>
      <c r="D5" s="43"/>
      <c r="E5" s="44"/>
      <c r="F5" s="44">
        <v>2</v>
      </c>
      <c r="G5" s="44">
        <v>5</v>
      </c>
      <c r="H5" s="44"/>
      <c r="I5" s="44"/>
      <c r="J5" s="67">
        <v>1</v>
      </c>
      <c r="K5" s="45"/>
      <c r="L5" s="45">
        <v>3</v>
      </c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6"/>
      <c r="AI5" s="46">
        <v>3</v>
      </c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Y5" s="42">
        <f t="shared" ref="AY5:AY68" si="2">COUNTA(E5:AW5)</f>
        <v>5</v>
      </c>
      <c r="AZ5" s="42" t="str">
        <f t="shared" si="0"/>
        <v>属性100002_1</v>
      </c>
      <c r="BA5" s="42" t="str">
        <f t="shared" ref="BA5:BA68" si="3">属性统计($E$2:$J$2,E5:J5)</f>
        <v>firstAtt;attack;guard</v>
      </c>
      <c r="BB5" s="42" t="str">
        <f ca="1">[1]!连接单元格(E5:I5,";")</f>
        <v>2;5</v>
      </c>
      <c r="BD5" s="42" t="str">
        <f t="shared" ref="BD5:BD68" si="4">技能点统计($K$2:$AW$2,K5:AW5)</f>
        <v>1002:3|1026:3</v>
      </c>
      <c r="BE5" s="42" t="str">
        <f t="shared" si="1"/>
        <v>&lt;color=#FFCB00FF&gt;榴弹+3,反应装甲+3&lt;/color&gt;;&lt;color=#FFEFAEFF &gt;先攻+2,物理攻击+5&lt;/color&gt;</v>
      </c>
    </row>
    <row r="6" spans="1:57" ht="45" customHeight="1" x14ac:dyDescent="0.3">
      <c r="A6" s="49">
        <f t="shared" ref="A6:A14" si="5">A5+1</f>
        <v>100003</v>
      </c>
      <c r="B6" s="43">
        <v>1</v>
      </c>
      <c r="C6" s="60" t="s">
        <v>150</v>
      </c>
      <c r="D6" s="43"/>
      <c r="E6" s="44"/>
      <c r="F6" s="44">
        <v>1</v>
      </c>
      <c r="G6" s="44"/>
      <c r="H6" s="44">
        <v>5</v>
      </c>
      <c r="I6" s="44">
        <v>2</v>
      </c>
      <c r="J6" s="67"/>
      <c r="K6" s="45">
        <v>3</v>
      </c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6"/>
      <c r="AI6" s="46"/>
      <c r="AJ6" s="46">
        <v>3</v>
      </c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Y6" s="42">
        <f t="shared" si="2"/>
        <v>5</v>
      </c>
      <c r="AZ6" s="42" t="str">
        <f t="shared" si="0"/>
        <v>属性100003_1</v>
      </c>
      <c r="BA6" s="42" t="str">
        <f t="shared" si="3"/>
        <v>firstAtt;laser;shield</v>
      </c>
      <c r="BB6" s="42" t="str">
        <f ca="1">[1]!连接单元格(E6:I6,";")</f>
        <v>1;5;2</v>
      </c>
      <c r="BD6" s="42" t="str">
        <f t="shared" si="4"/>
        <v>1001:3|1027:3</v>
      </c>
      <c r="BE6" s="42" t="str">
        <f t="shared" si="1"/>
        <v>&lt;color=#FFCB00FF&gt;南瓜+3,纳米涂层+3&lt;/color&gt;;&lt;color=#FFEFAEFF &gt;先攻+1,光线攻击+5,护盾+2&lt;/color&gt;</v>
      </c>
    </row>
    <row r="7" spans="1:57" ht="45" customHeight="1" x14ac:dyDescent="0.3">
      <c r="A7" s="49">
        <f t="shared" si="5"/>
        <v>100004</v>
      </c>
      <c r="B7" s="43">
        <v>1</v>
      </c>
      <c r="C7" s="61" t="s">
        <v>151</v>
      </c>
      <c r="D7" s="43"/>
      <c r="E7" s="44"/>
      <c r="F7" s="44">
        <v>1</v>
      </c>
      <c r="G7" s="44"/>
      <c r="H7" s="44"/>
      <c r="I7" s="44"/>
      <c r="J7" s="67"/>
      <c r="K7" s="45"/>
      <c r="L7" s="45">
        <v>3</v>
      </c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6"/>
      <c r="AI7" s="46">
        <v>3</v>
      </c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Y7" s="42">
        <f t="shared" si="2"/>
        <v>3</v>
      </c>
      <c r="AZ7" s="42" t="str">
        <f t="shared" si="0"/>
        <v>属性100004_1</v>
      </c>
      <c r="BA7" s="42" t="str">
        <f t="shared" si="3"/>
        <v>firstAtt</v>
      </c>
      <c r="BB7" s="42" t="str">
        <f ca="1">[1]!连接单元格(E7:I7,";")</f>
        <v>1</v>
      </c>
      <c r="BD7" s="42" t="str">
        <f t="shared" si="4"/>
        <v>1002:3|1026:3</v>
      </c>
      <c r="BE7" s="42" t="str">
        <f t="shared" si="1"/>
        <v>&lt;color=#FFCB00FF&gt;榴弹+3,反应装甲+3&lt;/color&gt;;&lt;color=#FFEFAEFF &gt;先攻+1&lt;/color&gt;</v>
      </c>
    </row>
    <row r="8" spans="1:57" ht="45" customHeight="1" x14ac:dyDescent="0.3">
      <c r="A8" s="49">
        <f t="shared" si="5"/>
        <v>100005</v>
      </c>
      <c r="B8" s="43">
        <v>1</v>
      </c>
      <c r="C8" s="60" t="s">
        <v>152</v>
      </c>
      <c r="D8" s="43"/>
      <c r="E8" s="44"/>
      <c r="F8" s="44">
        <v>1</v>
      </c>
      <c r="G8" s="44">
        <v>4</v>
      </c>
      <c r="H8" s="44">
        <v>3</v>
      </c>
      <c r="I8" s="44"/>
      <c r="J8" s="67">
        <v>1</v>
      </c>
      <c r="K8" s="45">
        <v>3</v>
      </c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6">
        <v>3</v>
      </c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Y8" s="42">
        <f t="shared" si="2"/>
        <v>6</v>
      </c>
      <c r="AZ8" s="42" t="str">
        <f t="shared" si="0"/>
        <v>属性100005_1</v>
      </c>
      <c r="BA8" s="42" t="str">
        <f t="shared" si="3"/>
        <v>firstAtt;attack;laser;guard</v>
      </c>
      <c r="BB8" s="42" t="str">
        <f ca="1">[1]!连接单元格(E8:I8,";")</f>
        <v>1;4;3</v>
      </c>
      <c r="BD8" s="42" t="str">
        <f t="shared" si="4"/>
        <v>1001:3|1025:3</v>
      </c>
      <c r="BE8" s="42" t="str">
        <f t="shared" si="1"/>
        <v>&lt;color=#FFCB00FF&gt;南瓜+3,先发制人+3&lt;/color&gt;;&lt;color=#FFEFAEFF &gt;先攻+1,物理攻击+4,光线攻击+3&lt;/color&gt;</v>
      </c>
    </row>
    <row r="9" spans="1:57" ht="45" customHeight="1" x14ac:dyDescent="0.3">
      <c r="A9" s="49">
        <f t="shared" si="5"/>
        <v>100006</v>
      </c>
      <c r="B9" s="43">
        <v>1</v>
      </c>
      <c r="C9" s="61" t="s">
        <v>153</v>
      </c>
      <c r="D9" s="43"/>
      <c r="E9" s="44"/>
      <c r="F9" s="44">
        <v>1</v>
      </c>
      <c r="G9" s="44"/>
      <c r="H9" s="44">
        <v>4</v>
      </c>
      <c r="I9" s="44">
        <v>2</v>
      </c>
      <c r="J9" s="67"/>
      <c r="K9" s="45"/>
      <c r="L9" s="45">
        <v>3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6"/>
      <c r="AI9" s="46"/>
      <c r="AJ9" s="46">
        <v>3</v>
      </c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Y9" s="42">
        <f t="shared" si="2"/>
        <v>5</v>
      </c>
      <c r="AZ9" s="42" t="str">
        <f t="shared" si="0"/>
        <v>属性100006_1</v>
      </c>
      <c r="BA9" s="42" t="str">
        <f t="shared" si="3"/>
        <v>firstAtt;laser;shield</v>
      </c>
      <c r="BB9" s="42" t="str">
        <f ca="1">[1]!连接单元格(E9:I9,";")</f>
        <v>1;4;2</v>
      </c>
      <c r="BD9" s="42" t="str">
        <f t="shared" si="4"/>
        <v>1002:3|1027:3</v>
      </c>
      <c r="BE9" s="42" t="str">
        <f t="shared" si="1"/>
        <v>&lt;color=#FFCB00FF&gt;榴弹+3,纳米涂层+3&lt;/color&gt;;&lt;color=#FFEFAEFF &gt;先攻+1,光线攻击+4,护盾+2&lt;/color&gt;</v>
      </c>
    </row>
    <row r="10" spans="1:57" ht="45" customHeight="1" x14ac:dyDescent="0.3">
      <c r="A10" s="49">
        <f t="shared" si="5"/>
        <v>100007</v>
      </c>
      <c r="B10" s="43">
        <v>1</v>
      </c>
      <c r="C10" s="62" t="s">
        <v>154</v>
      </c>
      <c r="D10" s="43"/>
      <c r="E10" s="44">
        <v>20</v>
      </c>
      <c r="F10" s="44"/>
      <c r="G10" s="44"/>
      <c r="H10" s="44">
        <v>5</v>
      </c>
      <c r="I10" s="44"/>
      <c r="J10" s="67">
        <v>1</v>
      </c>
      <c r="K10" s="45"/>
      <c r="L10" s="45"/>
      <c r="M10" s="45"/>
      <c r="N10" s="45">
        <v>3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6"/>
      <c r="AI10" s="46"/>
      <c r="AJ10" s="46"/>
      <c r="AK10" s="46">
        <v>3</v>
      </c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Y10" s="42">
        <f t="shared" si="2"/>
        <v>5</v>
      </c>
      <c r="AZ10" s="42" t="str">
        <f t="shared" si="0"/>
        <v>属性100007_1</v>
      </c>
      <c r="BA10" s="42" t="str">
        <f t="shared" si="3"/>
        <v>mhp;laser;guard</v>
      </c>
      <c r="BB10" s="42" t="str">
        <f ca="1">[1]!连接单元格(E10:I10,";")</f>
        <v>20;5</v>
      </c>
      <c r="BD10" s="42" t="str">
        <f t="shared" si="4"/>
        <v>1004:3|1028:3</v>
      </c>
      <c r="BE10" s="42" t="str">
        <f t="shared" si="1"/>
        <v>&lt;color=#FFCB00FF&gt;全弹齐发+3,冲锋+3&lt;/color&gt;;&lt;color=#FFEFAEFF &gt;生命值+20,光线攻击+5&lt;/color&gt;</v>
      </c>
    </row>
    <row r="11" spans="1:57" ht="45" customHeight="1" x14ac:dyDescent="0.3">
      <c r="A11" s="49">
        <f t="shared" si="5"/>
        <v>100008</v>
      </c>
      <c r="B11" s="43">
        <v>1</v>
      </c>
      <c r="C11" s="63" t="s">
        <v>155</v>
      </c>
      <c r="D11" s="43"/>
      <c r="E11" s="44">
        <v>15</v>
      </c>
      <c r="F11" s="44"/>
      <c r="G11" s="44">
        <v>4</v>
      </c>
      <c r="H11" s="44"/>
      <c r="I11" s="44"/>
      <c r="J11" s="67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6"/>
      <c r="AI11" s="46"/>
      <c r="AJ11" s="46"/>
      <c r="AK11" s="46">
        <v>4</v>
      </c>
      <c r="AL11" s="46"/>
      <c r="AM11" s="46"/>
      <c r="AN11" s="46">
        <v>4</v>
      </c>
      <c r="AO11" s="46"/>
      <c r="AP11" s="46"/>
      <c r="AQ11" s="46"/>
      <c r="AR11" s="46"/>
      <c r="AS11" s="46"/>
      <c r="AT11" s="46"/>
      <c r="AU11" s="46"/>
      <c r="AV11" s="46"/>
      <c r="AW11" s="46"/>
      <c r="AY11" s="42">
        <f t="shared" si="2"/>
        <v>4</v>
      </c>
      <c r="AZ11" s="42" t="str">
        <f t="shared" si="0"/>
        <v>属性100008_1</v>
      </c>
      <c r="BA11" s="42" t="str">
        <f t="shared" si="3"/>
        <v>mhp;attack</v>
      </c>
      <c r="BB11" s="42" t="str">
        <f ca="1">[1]!连接单元格(E11:I11,";")</f>
        <v>15;4</v>
      </c>
      <c r="BD11" s="42" t="str">
        <f t="shared" si="4"/>
        <v>1028:4|1031:4</v>
      </c>
      <c r="BE11" s="42" t="str">
        <f t="shared" si="1"/>
        <v>&lt;color=#FFCB00FF&gt;冲锋+4,斩杀+4&lt;/color&gt;;&lt;color=#FFEFAEFF &gt;生命值+15,物理攻击+4&lt;/color&gt;</v>
      </c>
    </row>
    <row r="12" spans="1:57" ht="45" customHeight="1" x14ac:dyDescent="0.3">
      <c r="A12" s="49">
        <f t="shared" si="5"/>
        <v>100009</v>
      </c>
      <c r="B12" s="43">
        <v>1</v>
      </c>
      <c r="C12" s="62" t="s">
        <v>156</v>
      </c>
      <c r="D12" s="43"/>
      <c r="E12" s="44">
        <v>20</v>
      </c>
      <c r="F12" s="44"/>
      <c r="G12" s="44"/>
      <c r="H12" s="44"/>
      <c r="I12" s="44">
        <v>2</v>
      </c>
      <c r="J12" s="67"/>
      <c r="K12" s="45"/>
      <c r="L12" s="45"/>
      <c r="M12" s="45"/>
      <c r="N12" s="45">
        <v>3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6"/>
      <c r="AI12" s="46"/>
      <c r="AJ12" s="46"/>
      <c r="AK12" s="46">
        <v>3</v>
      </c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Y12" s="42">
        <f t="shared" si="2"/>
        <v>4</v>
      </c>
      <c r="AZ12" s="42" t="str">
        <f t="shared" si="0"/>
        <v>属性100009_1</v>
      </c>
      <c r="BA12" s="42" t="str">
        <f t="shared" si="3"/>
        <v>mhp;shield</v>
      </c>
      <c r="BB12" s="42" t="str">
        <f ca="1">[1]!连接单元格(E12:I12,";")</f>
        <v>20;2</v>
      </c>
      <c r="BD12" s="42" t="str">
        <f t="shared" si="4"/>
        <v>1004:3|1028:3</v>
      </c>
      <c r="BE12" s="42" t="str">
        <f t="shared" si="1"/>
        <v>&lt;color=#FFCB00FF&gt;全弹齐发+3,冲锋+3&lt;/color&gt;;&lt;color=#FFEFAEFF &gt;生命值+20,护盾+2&lt;/color&gt;</v>
      </c>
    </row>
    <row r="13" spans="1:57" ht="45" customHeight="1" x14ac:dyDescent="0.3">
      <c r="A13" s="49">
        <f t="shared" si="5"/>
        <v>100010</v>
      </c>
      <c r="B13" s="43">
        <v>1</v>
      </c>
      <c r="C13" s="63" t="s">
        <v>157</v>
      </c>
      <c r="D13" s="43"/>
      <c r="E13" s="44">
        <v>20</v>
      </c>
      <c r="F13" s="44"/>
      <c r="G13" s="44">
        <v>4</v>
      </c>
      <c r="H13" s="44">
        <v>3</v>
      </c>
      <c r="I13" s="44">
        <v>2</v>
      </c>
      <c r="J13" s="67"/>
      <c r="K13" s="45"/>
      <c r="L13" s="45"/>
      <c r="M13" s="45"/>
      <c r="N13" s="45"/>
      <c r="O13" s="45">
        <v>3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6"/>
      <c r="AI13" s="46"/>
      <c r="AJ13" s="46"/>
      <c r="AK13" s="46"/>
      <c r="AL13" s="46"/>
      <c r="AM13" s="46"/>
      <c r="AN13" s="46">
        <v>3</v>
      </c>
      <c r="AO13" s="46"/>
      <c r="AP13" s="46"/>
      <c r="AQ13" s="46"/>
      <c r="AR13" s="46"/>
      <c r="AS13" s="46"/>
      <c r="AT13" s="46"/>
      <c r="AU13" s="46"/>
      <c r="AV13" s="46"/>
      <c r="AW13" s="46"/>
      <c r="AY13" s="42">
        <f t="shared" si="2"/>
        <v>6</v>
      </c>
      <c r="AZ13" s="42" t="str">
        <f t="shared" si="0"/>
        <v>属性100010_1</v>
      </c>
      <c r="BA13" s="42" t="str">
        <f t="shared" si="3"/>
        <v>mhp;attack;laser;shield</v>
      </c>
      <c r="BB13" s="42" t="str">
        <f ca="1">[1]!连接单元格(E13:I13,";")</f>
        <v>20;4;3;2</v>
      </c>
      <c r="BD13" s="42" t="str">
        <f t="shared" si="4"/>
        <v>1005:3|1031:3</v>
      </c>
      <c r="BE13" s="42" t="str">
        <f t="shared" si="1"/>
        <v>&lt;color=#FFCB00FF&gt;散射+3,斩杀+3&lt;/color&gt;;&lt;color=#FFEFAEFF &gt;生命值+20,物理攻击+4,光线攻击+3,护盾+2&lt;/color&gt;</v>
      </c>
    </row>
    <row r="14" spans="1:57" ht="45" customHeight="1" x14ac:dyDescent="0.3">
      <c r="A14" s="49">
        <f t="shared" si="5"/>
        <v>100011</v>
      </c>
      <c r="B14" s="43">
        <v>1</v>
      </c>
      <c r="C14" s="63" t="s">
        <v>158</v>
      </c>
      <c r="D14" s="43"/>
      <c r="E14" s="44">
        <v>20</v>
      </c>
      <c r="F14" s="44"/>
      <c r="G14" s="44">
        <v>4</v>
      </c>
      <c r="H14" s="44"/>
      <c r="I14" s="44">
        <v>2</v>
      </c>
      <c r="J14" s="67">
        <v>1</v>
      </c>
      <c r="K14" s="45"/>
      <c r="L14" s="45"/>
      <c r="M14" s="45"/>
      <c r="N14" s="45"/>
      <c r="O14" s="45">
        <v>3</v>
      </c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6"/>
      <c r="AI14" s="46"/>
      <c r="AJ14" s="46"/>
      <c r="AK14" s="46"/>
      <c r="AL14" s="46"/>
      <c r="AM14" s="46"/>
      <c r="AN14" s="46">
        <v>3</v>
      </c>
      <c r="AO14" s="46"/>
      <c r="AP14" s="46"/>
      <c r="AQ14" s="46"/>
      <c r="AR14" s="46"/>
      <c r="AS14" s="46"/>
      <c r="AT14" s="46"/>
      <c r="AU14" s="46"/>
      <c r="AV14" s="46"/>
      <c r="AW14" s="46"/>
      <c r="AY14" s="42">
        <f t="shared" si="2"/>
        <v>6</v>
      </c>
      <c r="AZ14" s="42" t="str">
        <f t="shared" si="0"/>
        <v>属性100011_1</v>
      </c>
      <c r="BA14" s="42" t="str">
        <f t="shared" si="3"/>
        <v>mhp;attack;shield;guard</v>
      </c>
      <c r="BB14" s="42" t="str">
        <f ca="1">[1]!连接单元格(E14:I14,";")</f>
        <v>20;4;2</v>
      </c>
      <c r="BD14" s="42" t="str">
        <f t="shared" si="4"/>
        <v>1005:3|1031:3</v>
      </c>
      <c r="BE14" s="42" t="str">
        <f t="shared" si="1"/>
        <v>&lt;color=#FFCB00FF&gt;散射+3,斩杀+3&lt;/color&gt;;&lt;color=#FFEFAEFF &gt;生命值+20,物理攻击+4,护盾+2&lt;/color&gt;</v>
      </c>
    </row>
    <row r="15" spans="1:57" ht="45" customHeight="1" x14ac:dyDescent="0.3">
      <c r="A15" s="49">
        <f>A4+100</f>
        <v>100101</v>
      </c>
      <c r="B15" s="43">
        <v>2</v>
      </c>
      <c r="C15" s="60" t="s">
        <v>82</v>
      </c>
      <c r="D15" s="43"/>
      <c r="E15" s="44" t="str">
        <f>IF(E4&lt;&gt;"",E4*2,"")</f>
        <v/>
      </c>
      <c r="F15" s="58">
        <f t="shared" ref="F15:I15" si="6">IF(F4&lt;&gt;"",F4*2,"")</f>
        <v>4</v>
      </c>
      <c r="G15" s="58" t="str">
        <f t="shared" si="6"/>
        <v/>
      </c>
      <c r="H15" s="58">
        <f t="shared" si="6"/>
        <v>10</v>
      </c>
      <c r="I15" s="58" t="str">
        <f t="shared" si="6"/>
        <v/>
      </c>
      <c r="J15" s="67"/>
      <c r="K15" s="45">
        <f>IF(K4&lt;&gt;"",5,"")</f>
        <v>5</v>
      </c>
      <c r="L15" s="59" t="str">
        <f t="shared" ref="L15:AG15" si="7">IF(L4&lt;&gt;"",5,"")</f>
        <v/>
      </c>
      <c r="M15" s="59" t="str">
        <f t="shared" si="7"/>
        <v/>
      </c>
      <c r="N15" s="59" t="str">
        <f t="shared" si="7"/>
        <v/>
      </c>
      <c r="O15" s="59" t="str">
        <f t="shared" si="7"/>
        <v/>
      </c>
      <c r="P15" s="59" t="str">
        <f t="shared" si="7"/>
        <v/>
      </c>
      <c r="Q15" s="59" t="str">
        <f t="shared" si="7"/>
        <v/>
      </c>
      <c r="R15" s="59" t="str">
        <f t="shared" si="7"/>
        <v/>
      </c>
      <c r="S15" s="59" t="str">
        <f t="shared" si="7"/>
        <v/>
      </c>
      <c r="T15" s="59" t="str">
        <f t="shared" si="7"/>
        <v/>
      </c>
      <c r="U15" s="59" t="str">
        <f t="shared" si="7"/>
        <v/>
      </c>
      <c r="V15" s="59" t="str">
        <f t="shared" si="7"/>
        <v/>
      </c>
      <c r="W15" s="59" t="str">
        <f t="shared" si="7"/>
        <v/>
      </c>
      <c r="X15" s="59" t="str">
        <f t="shared" si="7"/>
        <v/>
      </c>
      <c r="Y15" s="59" t="str">
        <f t="shared" si="7"/>
        <v/>
      </c>
      <c r="Z15" s="59" t="str">
        <f t="shared" si="7"/>
        <v/>
      </c>
      <c r="AA15" s="59" t="str">
        <f t="shared" si="7"/>
        <v/>
      </c>
      <c r="AB15" s="59" t="str">
        <f t="shared" si="7"/>
        <v/>
      </c>
      <c r="AC15" s="59" t="str">
        <f t="shared" si="7"/>
        <v/>
      </c>
      <c r="AD15" s="59" t="str">
        <f t="shared" si="7"/>
        <v/>
      </c>
      <c r="AE15" s="59" t="str">
        <f t="shared" si="7"/>
        <v/>
      </c>
      <c r="AF15" s="59" t="str">
        <f t="shared" si="7"/>
        <v/>
      </c>
      <c r="AG15" s="59" t="str">
        <f t="shared" si="7"/>
        <v/>
      </c>
      <c r="AH15" s="46">
        <f>IF(AH4&lt;&gt;"",5,"")</f>
        <v>5</v>
      </c>
      <c r="AI15" s="46" t="str">
        <f t="shared" ref="AI15:AW15" si="8">IF(AI4&lt;&gt;"",5,"")</f>
        <v/>
      </c>
      <c r="AJ15" s="46" t="str">
        <f t="shared" si="8"/>
        <v/>
      </c>
      <c r="AK15" s="46" t="str">
        <f t="shared" si="8"/>
        <v/>
      </c>
      <c r="AL15" s="46" t="str">
        <f t="shared" si="8"/>
        <v/>
      </c>
      <c r="AM15" s="46" t="str">
        <f t="shared" si="8"/>
        <v/>
      </c>
      <c r="AN15" s="46" t="str">
        <f t="shared" si="8"/>
        <v/>
      </c>
      <c r="AO15" s="46" t="str">
        <f t="shared" si="8"/>
        <v/>
      </c>
      <c r="AP15" s="46" t="str">
        <f t="shared" si="8"/>
        <v/>
      </c>
      <c r="AQ15" s="46" t="str">
        <f t="shared" si="8"/>
        <v/>
      </c>
      <c r="AR15" s="46" t="str">
        <f t="shared" si="8"/>
        <v/>
      </c>
      <c r="AS15" s="46" t="str">
        <f t="shared" si="8"/>
        <v/>
      </c>
      <c r="AT15" s="46" t="str">
        <f t="shared" si="8"/>
        <v/>
      </c>
      <c r="AU15" s="46" t="str">
        <f t="shared" si="8"/>
        <v/>
      </c>
      <c r="AV15" s="46" t="str">
        <f t="shared" si="8"/>
        <v/>
      </c>
      <c r="AW15" s="46" t="str">
        <f t="shared" si="8"/>
        <v/>
      </c>
      <c r="AY15" s="42">
        <f t="shared" si="2"/>
        <v>44</v>
      </c>
      <c r="AZ15" s="42" t="str">
        <f t="shared" si="0"/>
        <v>属性100101_2</v>
      </c>
      <c r="BA15" s="42" t="str">
        <f t="shared" si="3"/>
        <v>firstAtt;laser</v>
      </c>
      <c r="BB15" s="42" t="str">
        <f ca="1">[1]!连接单元格(E15:I15,";")</f>
        <v>4;10</v>
      </c>
      <c r="BD15" s="42" t="str">
        <f t="shared" si="4"/>
        <v>1001:5|1025:5</v>
      </c>
      <c r="BE15" s="42" t="str">
        <f t="shared" si="1"/>
        <v>&lt;color=#FFCB00FF&gt;南瓜+5,先发制人+5&lt;/color&gt;;&lt;color=#FFEFAEFF &gt;先攻+4,光线攻击+10&lt;/color&gt;</v>
      </c>
    </row>
    <row r="16" spans="1:57" ht="45" customHeight="1" x14ac:dyDescent="0.3">
      <c r="A16" s="49">
        <f t="shared" ref="A16:A25" si="9">A5+100</f>
        <v>100102</v>
      </c>
      <c r="B16" s="43">
        <v>2</v>
      </c>
      <c r="C16" s="61" t="s">
        <v>84</v>
      </c>
      <c r="D16" s="43"/>
      <c r="E16" s="58" t="str">
        <f t="shared" ref="E16:I16" si="10">IF(E5&lt;&gt;"",E5*2,"")</f>
        <v/>
      </c>
      <c r="F16" s="58">
        <f t="shared" si="10"/>
        <v>4</v>
      </c>
      <c r="G16" s="58">
        <f t="shared" si="10"/>
        <v>10</v>
      </c>
      <c r="H16" s="58" t="str">
        <f t="shared" si="10"/>
        <v/>
      </c>
      <c r="I16" s="58" t="str">
        <f t="shared" si="10"/>
        <v/>
      </c>
      <c r="J16" s="67"/>
      <c r="K16" s="59" t="str">
        <f t="shared" ref="K16:AG16" si="11">IF(K5&lt;&gt;"",5,"")</f>
        <v/>
      </c>
      <c r="L16" s="59">
        <f t="shared" si="11"/>
        <v>5</v>
      </c>
      <c r="M16" s="59" t="str">
        <f t="shared" si="11"/>
        <v/>
      </c>
      <c r="N16" s="59" t="str">
        <f t="shared" si="11"/>
        <v/>
      </c>
      <c r="O16" s="59" t="str">
        <f t="shared" si="11"/>
        <v/>
      </c>
      <c r="P16" s="59" t="str">
        <f t="shared" si="11"/>
        <v/>
      </c>
      <c r="Q16" s="59" t="str">
        <f t="shared" si="11"/>
        <v/>
      </c>
      <c r="R16" s="59" t="str">
        <f t="shared" si="11"/>
        <v/>
      </c>
      <c r="S16" s="59" t="str">
        <f t="shared" si="11"/>
        <v/>
      </c>
      <c r="T16" s="59" t="str">
        <f t="shared" si="11"/>
        <v/>
      </c>
      <c r="U16" s="59" t="str">
        <f t="shared" si="11"/>
        <v/>
      </c>
      <c r="V16" s="59" t="str">
        <f t="shared" si="11"/>
        <v/>
      </c>
      <c r="W16" s="59" t="str">
        <f t="shared" si="11"/>
        <v/>
      </c>
      <c r="X16" s="59" t="str">
        <f t="shared" si="11"/>
        <v/>
      </c>
      <c r="Y16" s="59" t="str">
        <f t="shared" si="11"/>
        <v/>
      </c>
      <c r="Z16" s="59" t="str">
        <f t="shared" si="11"/>
        <v/>
      </c>
      <c r="AA16" s="59" t="str">
        <f t="shared" si="11"/>
        <v/>
      </c>
      <c r="AB16" s="59" t="str">
        <f t="shared" si="11"/>
        <v/>
      </c>
      <c r="AC16" s="59" t="str">
        <f t="shared" si="11"/>
        <v/>
      </c>
      <c r="AD16" s="59" t="str">
        <f t="shared" si="11"/>
        <v/>
      </c>
      <c r="AE16" s="59" t="str">
        <f t="shared" si="11"/>
        <v/>
      </c>
      <c r="AF16" s="59" t="str">
        <f t="shared" si="11"/>
        <v/>
      </c>
      <c r="AG16" s="59" t="str">
        <f t="shared" si="11"/>
        <v/>
      </c>
      <c r="AH16" s="46" t="str">
        <f t="shared" ref="AH16:AW16" si="12">IF(AH5&lt;&gt;"",5,"")</f>
        <v/>
      </c>
      <c r="AI16" s="46">
        <f t="shared" si="12"/>
        <v>5</v>
      </c>
      <c r="AJ16" s="46" t="str">
        <f t="shared" si="12"/>
        <v/>
      </c>
      <c r="AK16" s="46" t="str">
        <f t="shared" si="12"/>
        <v/>
      </c>
      <c r="AL16" s="46" t="str">
        <f t="shared" si="12"/>
        <v/>
      </c>
      <c r="AM16" s="46" t="str">
        <f t="shared" si="12"/>
        <v/>
      </c>
      <c r="AN16" s="46" t="str">
        <f t="shared" si="12"/>
        <v/>
      </c>
      <c r="AO16" s="46" t="str">
        <f t="shared" si="12"/>
        <v/>
      </c>
      <c r="AP16" s="46" t="str">
        <f t="shared" si="12"/>
        <v/>
      </c>
      <c r="AQ16" s="46" t="str">
        <f t="shared" si="12"/>
        <v/>
      </c>
      <c r="AR16" s="46" t="str">
        <f t="shared" si="12"/>
        <v/>
      </c>
      <c r="AS16" s="46" t="str">
        <f t="shared" si="12"/>
        <v/>
      </c>
      <c r="AT16" s="46" t="str">
        <f t="shared" si="12"/>
        <v/>
      </c>
      <c r="AU16" s="46" t="str">
        <f t="shared" si="12"/>
        <v/>
      </c>
      <c r="AV16" s="46" t="str">
        <f t="shared" si="12"/>
        <v/>
      </c>
      <c r="AW16" s="46" t="str">
        <f t="shared" si="12"/>
        <v/>
      </c>
      <c r="AY16" s="42">
        <f t="shared" si="2"/>
        <v>44</v>
      </c>
      <c r="AZ16" s="42" t="str">
        <f t="shared" si="0"/>
        <v>属性100102_2</v>
      </c>
      <c r="BA16" s="42" t="str">
        <f t="shared" si="3"/>
        <v>firstAtt;attack</v>
      </c>
      <c r="BB16" s="42" t="str">
        <f ca="1">[1]!连接单元格(E16:I16,";")</f>
        <v>4;10</v>
      </c>
      <c r="BD16" s="42" t="str">
        <f t="shared" si="4"/>
        <v>1002:5|1026:5</v>
      </c>
      <c r="BE16" s="42" t="str">
        <f t="shared" si="1"/>
        <v>&lt;color=#FFCB00FF&gt;榴弹+5,反应装甲+5&lt;/color&gt;;&lt;color=#FFEFAEFF &gt;先攻+4,物理攻击+10&lt;/color&gt;</v>
      </c>
    </row>
    <row r="17" spans="1:57" ht="45" customHeight="1" x14ac:dyDescent="0.3">
      <c r="A17" s="49">
        <f t="shared" si="9"/>
        <v>100103</v>
      </c>
      <c r="B17" s="43">
        <v>2</v>
      </c>
      <c r="C17" s="60" t="s">
        <v>86</v>
      </c>
      <c r="D17" s="43"/>
      <c r="E17" s="58" t="str">
        <f t="shared" ref="E17:I17" si="13">IF(E6&lt;&gt;"",E6*2,"")</f>
        <v/>
      </c>
      <c r="F17" s="58">
        <f t="shared" si="13"/>
        <v>2</v>
      </c>
      <c r="G17" s="58" t="str">
        <f t="shared" si="13"/>
        <v/>
      </c>
      <c r="H17" s="58">
        <f t="shared" si="13"/>
        <v>10</v>
      </c>
      <c r="I17" s="58">
        <f t="shared" si="13"/>
        <v>4</v>
      </c>
      <c r="J17" s="67"/>
      <c r="K17" s="59">
        <f t="shared" ref="K17:AG17" si="14">IF(K6&lt;&gt;"",5,"")</f>
        <v>5</v>
      </c>
      <c r="L17" s="59" t="str">
        <f t="shared" si="14"/>
        <v/>
      </c>
      <c r="M17" s="59" t="str">
        <f t="shared" si="14"/>
        <v/>
      </c>
      <c r="N17" s="59" t="str">
        <f t="shared" si="14"/>
        <v/>
      </c>
      <c r="O17" s="59" t="str">
        <f t="shared" si="14"/>
        <v/>
      </c>
      <c r="P17" s="59" t="str">
        <f t="shared" si="14"/>
        <v/>
      </c>
      <c r="Q17" s="59" t="str">
        <f t="shared" si="14"/>
        <v/>
      </c>
      <c r="R17" s="59" t="str">
        <f t="shared" si="14"/>
        <v/>
      </c>
      <c r="S17" s="59" t="str">
        <f t="shared" si="14"/>
        <v/>
      </c>
      <c r="T17" s="59" t="str">
        <f t="shared" si="14"/>
        <v/>
      </c>
      <c r="U17" s="59" t="str">
        <f t="shared" si="14"/>
        <v/>
      </c>
      <c r="V17" s="59" t="str">
        <f t="shared" si="14"/>
        <v/>
      </c>
      <c r="W17" s="59" t="str">
        <f t="shared" si="14"/>
        <v/>
      </c>
      <c r="X17" s="59" t="str">
        <f t="shared" si="14"/>
        <v/>
      </c>
      <c r="Y17" s="59" t="str">
        <f t="shared" si="14"/>
        <v/>
      </c>
      <c r="Z17" s="59" t="str">
        <f t="shared" si="14"/>
        <v/>
      </c>
      <c r="AA17" s="59" t="str">
        <f t="shared" si="14"/>
        <v/>
      </c>
      <c r="AB17" s="59" t="str">
        <f t="shared" si="14"/>
        <v/>
      </c>
      <c r="AC17" s="59" t="str">
        <f t="shared" si="14"/>
        <v/>
      </c>
      <c r="AD17" s="59" t="str">
        <f t="shared" si="14"/>
        <v/>
      </c>
      <c r="AE17" s="59" t="str">
        <f t="shared" si="14"/>
        <v/>
      </c>
      <c r="AF17" s="59" t="str">
        <f t="shared" si="14"/>
        <v/>
      </c>
      <c r="AG17" s="59" t="str">
        <f t="shared" si="14"/>
        <v/>
      </c>
      <c r="AH17" s="46" t="str">
        <f t="shared" ref="AH17:AW17" si="15">IF(AH6&lt;&gt;"",5,"")</f>
        <v/>
      </c>
      <c r="AI17" s="46" t="str">
        <f t="shared" si="15"/>
        <v/>
      </c>
      <c r="AJ17" s="46">
        <f t="shared" si="15"/>
        <v>5</v>
      </c>
      <c r="AK17" s="46" t="str">
        <f t="shared" si="15"/>
        <v/>
      </c>
      <c r="AL17" s="46" t="str">
        <f t="shared" si="15"/>
        <v/>
      </c>
      <c r="AM17" s="46" t="str">
        <f t="shared" si="15"/>
        <v/>
      </c>
      <c r="AN17" s="46" t="str">
        <f t="shared" si="15"/>
        <v/>
      </c>
      <c r="AO17" s="46" t="str">
        <f t="shared" si="15"/>
        <v/>
      </c>
      <c r="AP17" s="46" t="str">
        <f t="shared" si="15"/>
        <v/>
      </c>
      <c r="AQ17" s="46" t="str">
        <f t="shared" si="15"/>
        <v/>
      </c>
      <c r="AR17" s="46" t="str">
        <f t="shared" si="15"/>
        <v/>
      </c>
      <c r="AS17" s="46" t="str">
        <f t="shared" si="15"/>
        <v/>
      </c>
      <c r="AT17" s="46" t="str">
        <f t="shared" si="15"/>
        <v/>
      </c>
      <c r="AU17" s="46" t="str">
        <f t="shared" si="15"/>
        <v/>
      </c>
      <c r="AV17" s="46" t="str">
        <f t="shared" si="15"/>
        <v/>
      </c>
      <c r="AW17" s="46" t="str">
        <f t="shared" si="15"/>
        <v/>
      </c>
      <c r="AY17" s="42">
        <f t="shared" si="2"/>
        <v>44</v>
      </c>
      <c r="AZ17" s="42" t="str">
        <f t="shared" si="0"/>
        <v>属性100103_2</v>
      </c>
      <c r="BA17" s="42" t="str">
        <f t="shared" si="3"/>
        <v>firstAtt;laser;shield</v>
      </c>
      <c r="BB17" s="42" t="str">
        <f ca="1">[1]!连接单元格(E17:I17,";")</f>
        <v>2;10;4</v>
      </c>
      <c r="BD17" s="42" t="str">
        <f t="shared" si="4"/>
        <v>1001:5|1027:5</v>
      </c>
      <c r="BE17" s="42" t="str">
        <f t="shared" si="1"/>
        <v>&lt;color=#FFCB00FF&gt;南瓜+5,纳米涂层+5&lt;/color&gt;;&lt;color=#FFEFAEFF &gt;先攻+2,光线攻击+10,护盾+4&lt;/color&gt;</v>
      </c>
    </row>
    <row r="18" spans="1:57" ht="45" customHeight="1" x14ac:dyDescent="0.3">
      <c r="A18" s="49">
        <f t="shared" si="9"/>
        <v>100104</v>
      </c>
      <c r="B18" s="43">
        <v>2</v>
      </c>
      <c r="C18" s="61" t="s">
        <v>88</v>
      </c>
      <c r="D18" s="43"/>
      <c r="E18" s="58" t="str">
        <f t="shared" ref="E18:I18" si="16">IF(E7&lt;&gt;"",E7*2,"")</f>
        <v/>
      </c>
      <c r="F18" s="58">
        <f t="shared" si="16"/>
        <v>2</v>
      </c>
      <c r="G18" s="58" t="str">
        <f t="shared" si="16"/>
        <v/>
      </c>
      <c r="H18" s="58" t="str">
        <f t="shared" si="16"/>
        <v/>
      </c>
      <c r="I18" s="58" t="str">
        <f t="shared" si="16"/>
        <v/>
      </c>
      <c r="J18" s="67"/>
      <c r="K18" s="59" t="str">
        <f t="shared" ref="K18:AG18" si="17">IF(K7&lt;&gt;"",5,"")</f>
        <v/>
      </c>
      <c r="L18" s="59">
        <f t="shared" si="17"/>
        <v>5</v>
      </c>
      <c r="M18" s="59" t="str">
        <f t="shared" si="17"/>
        <v/>
      </c>
      <c r="N18" s="59" t="str">
        <f t="shared" si="17"/>
        <v/>
      </c>
      <c r="O18" s="59" t="str">
        <f t="shared" si="17"/>
        <v/>
      </c>
      <c r="P18" s="59" t="str">
        <f t="shared" si="17"/>
        <v/>
      </c>
      <c r="Q18" s="59" t="str">
        <f t="shared" si="17"/>
        <v/>
      </c>
      <c r="R18" s="59" t="str">
        <f t="shared" si="17"/>
        <v/>
      </c>
      <c r="S18" s="59" t="str">
        <f t="shared" si="17"/>
        <v/>
      </c>
      <c r="T18" s="59" t="str">
        <f t="shared" si="17"/>
        <v/>
      </c>
      <c r="U18" s="59" t="str">
        <f t="shared" si="17"/>
        <v/>
      </c>
      <c r="V18" s="59" t="str">
        <f t="shared" si="17"/>
        <v/>
      </c>
      <c r="W18" s="59" t="str">
        <f t="shared" si="17"/>
        <v/>
      </c>
      <c r="X18" s="59" t="str">
        <f t="shared" si="17"/>
        <v/>
      </c>
      <c r="Y18" s="59" t="str">
        <f t="shared" si="17"/>
        <v/>
      </c>
      <c r="Z18" s="59" t="str">
        <f t="shared" si="17"/>
        <v/>
      </c>
      <c r="AA18" s="59" t="str">
        <f t="shared" si="17"/>
        <v/>
      </c>
      <c r="AB18" s="59" t="str">
        <f t="shared" si="17"/>
        <v/>
      </c>
      <c r="AC18" s="59" t="str">
        <f t="shared" si="17"/>
        <v/>
      </c>
      <c r="AD18" s="59" t="str">
        <f t="shared" si="17"/>
        <v/>
      </c>
      <c r="AE18" s="59" t="str">
        <f t="shared" si="17"/>
        <v/>
      </c>
      <c r="AF18" s="59" t="str">
        <f t="shared" si="17"/>
        <v/>
      </c>
      <c r="AG18" s="59" t="str">
        <f t="shared" si="17"/>
        <v/>
      </c>
      <c r="AH18" s="46" t="str">
        <f t="shared" ref="AH18:AW18" si="18">IF(AH7&lt;&gt;"",5,"")</f>
        <v/>
      </c>
      <c r="AI18" s="46">
        <f t="shared" si="18"/>
        <v>5</v>
      </c>
      <c r="AJ18" s="46" t="str">
        <f t="shared" si="18"/>
        <v/>
      </c>
      <c r="AK18" s="46" t="str">
        <f t="shared" si="18"/>
        <v/>
      </c>
      <c r="AL18" s="46" t="str">
        <f t="shared" si="18"/>
        <v/>
      </c>
      <c r="AM18" s="46" t="str">
        <f t="shared" si="18"/>
        <v/>
      </c>
      <c r="AN18" s="46" t="str">
        <f t="shared" si="18"/>
        <v/>
      </c>
      <c r="AO18" s="46" t="str">
        <f t="shared" si="18"/>
        <v/>
      </c>
      <c r="AP18" s="46" t="str">
        <f t="shared" si="18"/>
        <v/>
      </c>
      <c r="AQ18" s="46" t="str">
        <f t="shared" si="18"/>
        <v/>
      </c>
      <c r="AR18" s="46" t="str">
        <f t="shared" si="18"/>
        <v/>
      </c>
      <c r="AS18" s="46" t="str">
        <f t="shared" si="18"/>
        <v/>
      </c>
      <c r="AT18" s="46" t="str">
        <f t="shared" si="18"/>
        <v/>
      </c>
      <c r="AU18" s="46" t="str">
        <f t="shared" si="18"/>
        <v/>
      </c>
      <c r="AV18" s="46" t="str">
        <f t="shared" si="18"/>
        <v/>
      </c>
      <c r="AW18" s="46" t="str">
        <f t="shared" si="18"/>
        <v/>
      </c>
      <c r="AY18" s="42">
        <f t="shared" si="2"/>
        <v>44</v>
      </c>
      <c r="AZ18" s="42" t="str">
        <f t="shared" si="0"/>
        <v>属性100104_2</v>
      </c>
      <c r="BA18" s="42" t="str">
        <f t="shared" si="3"/>
        <v>firstAtt</v>
      </c>
      <c r="BB18" s="42" t="str">
        <f ca="1">[1]!连接单元格(E18:I18,";")</f>
        <v>2</v>
      </c>
      <c r="BD18" s="42" t="str">
        <f t="shared" si="4"/>
        <v>1002:5|1026:5</v>
      </c>
      <c r="BE18" s="42" t="str">
        <f t="shared" si="1"/>
        <v>&lt;color=#FFCB00FF&gt;榴弹+5,反应装甲+5&lt;/color&gt;;&lt;color=#FFEFAEFF &gt;先攻+2&lt;/color&gt;</v>
      </c>
    </row>
    <row r="19" spans="1:57" ht="45" customHeight="1" x14ac:dyDescent="0.3">
      <c r="A19" s="49">
        <f t="shared" si="9"/>
        <v>100105</v>
      </c>
      <c r="B19" s="43">
        <v>2</v>
      </c>
      <c r="C19" s="60" t="s">
        <v>90</v>
      </c>
      <c r="D19" s="43"/>
      <c r="E19" s="58" t="str">
        <f t="shared" ref="E19:I19" si="19">IF(E8&lt;&gt;"",E8*2,"")</f>
        <v/>
      </c>
      <c r="F19" s="58">
        <f t="shared" si="19"/>
        <v>2</v>
      </c>
      <c r="G19" s="58">
        <f t="shared" si="19"/>
        <v>8</v>
      </c>
      <c r="H19" s="58">
        <f t="shared" si="19"/>
        <v>6</v>
      </c>
      <c r="I19" s="58" t="str">
        <f t="shared" si="19"/>
        <v/>
      </c>
      <c r="J19" s="67"/>
      <c r="K19" s="59">
        <f t="shared" ref="K19:AG19" si="20">IF(K8&lt;&gt;"",5,"")</f>
        <v>5</v>
      </c>
      <c r="L19" s="59" t="str">
        <f t="shared" si="20"/>
        <v/>
      </c>
      <c r="M19" s="59" t="str">
        <f t="shared" si="20"/>
        <v/>
      </c>
      <c r="N19" s="59" t="str">
        <f t="shared" si="20"/>
        <v/>
      </c>
      <c r="O19" s="59" t="str">
        <f t="shared" si="20"/>
        <v/>
      </c>
      <c r="P19" s="59" t="str">
        <f t="shared" si="20"/>
        <v/>
      </c>
      <c r="Q19" s="59" t="str">
        <f t="shared" si="20"/>
        <v/>
      </c>
      <c r="R19" s="59" t="str">
        <f t="shared" si="20"/>
        <v/>
      </c>
      <c r="S19" s="59" t="str">
        <f t="shared" si="20"/>
        <v/>
      </c>
      <c r="T19" s="59" t="str">
        <f t="shared" si="20"/>
        <v/>
      </c>
      <c r="U19" s="59" t="str">
        <f t="shared" si="20"/>
        <v/>
      </c>
      <c r="V19" s="59" t="str">
        <f t="shared" si="20"/>
        <v/>
      </c>
      <c r="W19" s="59" t="str">
        <f t="shared" si="20"/>
        <v/>
      </c>
      <c r="X19" s="59" t="str">
        <f t="shared" si="20"/>
        <v/>
      </c>
      <c r="Y19" s="59" t="str">
        <f t="shared" si="20"/>
        <v/>
      </c>
      <c r="Z19" s="59" t="str">
        <f t="shared" si="20"/>
        <v/>
      </c>
      <c r="AA19" s="59" t="str">
        <f t="shared" si="20"/>
        <v/>
      </c>
      <c r="AB19" s="59" t="str">
        <f t="shared" si="20"/>
        <v/>
      </c>
      <c r="AC19" s="59" t="str">
        <f t="shared" si="20"/>
        <v/>
      </c>
      <c r="AD19" s="59" t="str">
        <f t="shared" si="20"/>
        <v/>
      </c>
      <c r="AE19" s="59" t="str">
        <f t="shared" si="20"/>
        <v/>
      </c>
      <c r="AF19" s="59" t="str">
        <f t="shared" si="20"/>
        <v/>
      </c>
      <c r="AG19" s="59" t="str">
        <f t="shared" si="20"/>
        <v/>
      </c>
      <c r="AH19" s="46">
        <f t="shared" ref="AH19:AW19" si="21">IF(AH8&lt;&gt;"",5,"")</f>
        <v>5</v>
      </c>
      <c r="AI19" s="46" t="str">
        <f t="shared" si="21"/>
        <v/>
      </c>
      <c r="AJ19" s="46" t="str">
        <f t="shared" si="21"/>
        <v/>
      </c>
      <c r="AK19" s="46" t="str">
        <f t="shared" si="21"/>
        <v/>
      </c>
      <c r="AL19" s="46" t="str">
        <f t="shared" si="21"/>
        <v/>
      </c>
      <c r="AM19" s="46" t="str">
        <f t="shared" si="21"/>
        <v/>
      </c>
      <c r="AN19" s="46" t="str">
        <f t="shared" si="21"/>
        <v/>
      </c>
      <c r="AO19" s="46" t="str">
        <f t="shared" si="21"/>
        <v/>
      </c>
      <c r="AP19" s="46" t="str">
        <f t="shared" si="21"/>
        <v/>
      </c>
      <c r="AQ19" s="46" t="str">
        <f t="shared" si="21"/>
        <v/>
      </c>
      <c r="AR19" s="46" t="str">
        <f t="shared" si="21"/>
        <v/>
      </c>
      <c r="AS19" s="46" t="str">
        <f t="shared" si="21"/>
        <v/>
      </c>
      <c r="AT19" s="46" t="str">
        <f t="shared" si="21"/>
        <v/>
      </c>
      <c r="AU19" s="46" t="str">
        <f t="shared" si="21"/>
        <v/>
      </c>
      <c r="AV19" s="46" t="str">
        <f t="shared" si="21"/>
        <v/>
      </c>
      <c r="AW19" s="46" t="str">
        <f t="shared" si="21"/>
        <v/>
      </c>
      <c r="AY19" s="42">
        <f t="shared" si="2"/>
        <v>44</v>
      </c>
      <c r="AZ19" s="42" t="str">
        <f t="shared" si="0"/>
        <v>属性100105_2</v>
      </c>
      <c r="BA19" s="42" t="str">
        <f t="shared" si="3"/>
        <v>firstAtt;attack;laser</v>
      </c>
      <c r="BB19" s="42" t="str">
        <f ca="1">[1]!连接单元格(E19:I19,";")</f>
        <v>2;8;6</v>
      </c>
      <c r="BD19" s="42" t="str">
        <f t="shared" si="4"/>
        <v>1001:5|1025:5</v>
      </c>
      <c r="BE19" s="42" t="str">
        <f t="shared" si="1"/>
        <v>&lt;color=#FFCB00FF&gt;南瓜+5,先发制人+5&lt;/color&gt;;&lt;color=#FFEFAEFF &gt;先攻+2,物理攻击+8,光线攻击+6&lt;/color&gt;</v>
      </c>
    </row>
    <row r="20" spans="1:57" ht="45" customHeight="1" x14ac:dyDescent="0.3">
      <c r="A20" s="49">
        <f t="shared" si="9"/>
        <v>100106</v>
      </c>
      <c r="B20" s="43">
        <v>2</v>
      </c>
      <c r="C20" s="61" t="s">
        <v>92</v>
      </c>
      <c r="D20" s="43"/>
      <c r="E20" s="58" t="str">
        <f t="shared" ref="E20:I20" si="22">IF(E9&lt;&gt;"",E9*2,"")</f>
        <v/>
      </c>
      <c r="F20" s="58">
        <f t="shared" si="22"/>
        <v>2</v>
      </c>
      <c r="G20" s="58" t="str">
        <f t="shared" si="22"/>
        <v/>
      </c>
      <c r="H20" s="58">
        <f t="shared" si="22"/>
        <v>8</v>
      </c>
      <c r="I20" s="58">
        <f t="shared" si="22"/>
        <v>4</v>
      </c>
      <c r="J20" s="67"/>
      <c r="K20" s="59" t="str">
        <f t="shared" ref="K20:AG20" si="23">IF(K9&lt;&gt;"",5,"")</f>
        <v/>
      </c>
      <c r="L20" s="59">
        <f t="shared" si="23"/>
        <v>5</v>
      </c>
      <c r="M20" s="59" t="str">
        <f t="shared" si="23"/>
        <v/>
      </c>
      <c r="N20" s="59" t="str">
        <f t="shared" si="23"/>
        <v/>
      </c>
      <c r="O20" s="59" t="str">
        <f t="shared" si="23"/>
        <v/>
      </c>
      <c r="P20" s="59" t="str">
        <f t="shared" si="23"/>
        <v/>
      </c>
      <c r="Q20" s="59" t="str">
        <f t="shared" si="23"/>
        <v/>
      </c>
      <c r="R20" s="59" t="str">
        <f t="shared" si="23"/>
        <v/>
      </c>
      <c r="S20" s="59" t="str">
        <f t="shared" si="23"/>
        <v/>
      </c>
      <c r="T20" s="59" t="str">
        <f t="shared" si="23"/>
        <v/>
      </c>
      <c r="U20" s="59" t="str">
        <f t="shared" si="23"/>
        <v/>
      </c>
      <c r="V20" s="59" t="str">
        <f t="shared" si="23"/>
        <v/>
      </c>
      <c r="W20" s="59" t="str">
        <f t="shared" si="23"/>
        <v/>
      </c>
      <c r="X20" s="59" t="str">
        <f t="shared" si="23"/>
        <v/>
      </c>
      <c r="Y20" s="59" t="str">
        <f t="shared" si="23"/>
        <v/>
      </c>
      <c r="Z20" s="59" t="str">
        <f t="shared" si="23"/>
        <v/>
      </c>
      <c r="AA20" s="59" t="str">
        <f t="shared" si="23"/>
        <v/>
      </c>
      <c r="AB20" s="59" t="str">
        <f t="shared" si="23"/>
        <v/>
      </c>
      <c r="AC20" s="59" t="str">
        <f t="shared" si="23"/>
        <v/>
      </c>
      <c r="AD20" s="59" t="str">
        <f t="shared" si="23"/>
        <v/>
      </c>
      <c r="AE20" s="59" t="str">
        <f t="shared" si="23"/>
        <v/>
      </c>
      <c r="AF20" s="59" t="str">
        <f t="shared" si="23"/>
        <v/>
      </c>
      <c r="AG20" s="59" t="str">
        <f t="shared" si="23"/>
        <v/>
      </c>
      <c r="AH20" s="46" t="str">
        <f t="shared" ref="AH20:AW20" si="24">IF(AH9&lt;&gt;"",5,"")</f>
        <v/>
      </c>
      <c r="AI20" s="46" t="str">
        <f t="shared" si="24"/>
        <v/>
      </c>
      <c r="AJ20" s="46">
        <f t="shared" si="24"/>
        <v>5</v>
      </c>
      <c r="AK20" s="46" t="str">
        <f t="shared" si="24"/>
        <v/>
      </c>
      <c r="AL20" s="46" t="str">
        <f t="shared" si="24"/>
        <v/>
      </c>
      <c r="AM20" s="46" t="str">
        <f t="shared" si="24"/>
        <v/>
      </c>
      <c r="AN20" s="46" t="str">
        <f t="shared" si="24"/>
        <v/>
      </c>
      <c r="AO20" s="46" t="str">
        <f t="shared" si="24"/>
        <v/>
      </c>
      <c r="AP20" s="46" t="str">
        <f t="shared" si="24"/>
        <v/>
      </c>
      <c r="AQ20" s="46" t="str">
        <f t="shared" si="24"/>
        <v/>
      </c>
      <c r="AR20" s="46" t="str">
        <f t="shared" si="24"/>
        <v/>
      </c>
      <c r="AS20" s="46" t="str">
        <f t="shared" si="24"/>
        <v/>
      </c>
      <c r="AT20" s="46" t="str">
        <f t="shared" si="24"/>
        <v/>
      </c>
      <c r="AU20" s="46" t="str">
        <f t="shared" si="24"/>
        <v/>
      </c>
      <c r="AV20" s="46" t="str">
        <f t="shared" si="24"/>
        <v/>
      </c>
      <c r="AW20" s="46" t="str">
        <f t="shared" si="24"/>
        <v/>
      </c>
      <c r="AY20" s="42">
        <f t="shared" si="2"/>
        <v>44</v>
      </c>
      <c r="AZ20" s="42" t="str">
        <f t="shared" si="0"/>
        <v>属性100106_2</v>
      </c>
      <c r="BA20" s="42" t="str">
        <f t="shared" si="3"/>
        <v>firstAtt;laser;shield</v>
      </c>
      <c r="BB20" s="42" t="str">
        <f ca="1">[1]!连接单元格(E20:I20,";")</f>
        <v>2;8;4</v>
      </c>
      <c r="BD20" s="42" t="str">
        <f t="shared" si="4"/>
        <v>1002:5|1027:5</v>
      </c>
      <c r="BE20" s="42" t="str">
        <f t="shared" si="1"/>
        <v>&lt;color=#FFCB00FF&gt;榴弹+5,纳米涂层+5&lt;/color&gt;;&lt;color=#FFEFAEFF &gt;先攻+2,光线攻击+8,护盾+4&lt;/color&gt;</v>
      </c>
    </row>
    <row r="21" spans="1:57" ht="45" customHeight="1" x14ac:dyDescent="0.3">
      <c r="A21" s="49">
        <f t="shared" si="9"/>
        <v>100107</v>
      </c>
      <c r="B21" s="43">
        <v>2</v>
      </c>
      <c r="C21" s="62" t="s">
        <v>94</v>
      </c>
      <c r="D21" s="43"/>
      <c r="E21" s="58">
        <f t="shared" ref="E21:I21" si="25">IF(E10&lt;&gt;"",E10*2,"")</f>
        <v>40</v>
      </c>
      <c r="F21" s="58" t="str">
        <f t="shared" si="25"/>
        <v/>
      </c>
      <c r="G21" s="58" t="str">
        <f t="shared" si="25"/>
        <v/>
      </c>
      <c r="H21" s="58">
        <f t="shared" si="25"/>
        <v>10</v>
      </c>
      <c r="I21" s="58" t="str">
        <f t="shared" si="25"/>
        <v/>
      </c>
      <c r="J21" s="67"/>
      <c r="K21" s="59" t="str">
        <f t="shared" ref="K21:AG21" si="26">IF(K10&lt;&gt;"",5,"")</f>
        <v/>
      </c>
      <c r="L21" s="59" t="str">
        <f t="shared" si="26"/>
        <v/>
      </c>
      <c r="M21" s="59" t="str">
        <f t="shared" si="26"/>
        <v/>
      </c>
      <c r="N21" s="59">
        <f t="shared" si="26"/>
        <v>5</v>
      </c>
      <c r="O21" s="59" t="str">
        <f t="shared" si="26"/>
        <v/>
      </c>
      <c r="P21" s="59" t="str">
        <f t="shared" si="26"/>
        <v/>
      </c>
      <c r="Q21" s="59" t="str">
        <f t="shared" si="26"/>
        <v/>
      </c>
      <c r="R21" s="59" t="str">
        <f t="shared" si="26"/>
        <v/>
      </c>
      <c r="S21" s="59" t="str">
        <f t="shared" si="26"/>
        <v/>
      </c>
      <c r="T21" s="59" t="str">
        <f t="shared" si="26"/>
        <v/>
      </c>
      <c r="U21" s="59" t="str">
        <f t="shared" si="26"/>
        <v/>
      </c>
      <c r="V21" s="59" t="str">
        <f t="shared" si="26"/>
        <v/>
      </c>
      <c r="W21" s="59" t="str">
        <f t="shared" si="26"/>
        <v/>
      </c>
      <c r="X21" s="59" t="str">
        <f t="shared" si="26"/>
        <v/>
      </c>
      <c r="Y21" s="59" t="str">
        <f t="shared" si="26"/>
        <v/>
      </c>
      <c r="Z21" s="59" t="str">
        <f t="shared" si="26"/>
        <v/>
      </c>
      <c r="AA21" s="59" t="str">
        <f t="shared" si="26"/>
        <v/>
      </c>
      <c r="AB21" s="59" t="str">
        <f t="shared" si="26"/>
        <v/>
      </c>
      <c r="AC21" s="59" t="str">
        <f t="shared" si="26"/>
        <v/>
      </c>
      <c r="AD21" s="59" t="str">
        <f t="shared" si="26"/>
        <v/>
      </c>
      <c r="AE21" s="59" t="str">
        <f t="shared" si="26"/>
        <v/>
      </c>
      <c r="AF21" s="59" t="str">
        <f t="shared" si="26"/>
        <v/>
      </c>
      <c r="AG21" s="59" t="str">
        <f t="shared" si="26"/>
        <v/>
      </c>
      <c r="AH21" s="46" t="str">
        <f t="shared" ref="AH21:AW21" si="27">IF(AH10&lt;&gt;"",5,"")</f>
        <v/>
      </c>
      <c r="AI21" s="46" t="str">
        <f t="shared" si="27"/>
        <v/>
      </c>
      <c r="AJ21" s="46" t="str">
        <f t="shared" si="27"/>
        <v/>
      </c>
      <c r="AK21" s="46">
        <f t="shared" si="27"/>
        <v>5</v>
      </c>
      <c r="AL21" s="46" t="str">
        <f t="shared" si="27"/>
        <v/>
      </c>
      <c r="AM21" s="46" t="str">
        <f t="shared" si="27"/>
        <v/>
      </c>
      <c r="AN21" s="46" t="str">
        <f t="shared" si="27"/>
        <v/>
      </c>
      <c r="AO21" s="46" t="str">
        <f t="shared" si="27"/>
        <v/>
      </c>
      <c r="AP21" s="46" t="str">
        <f t="shared" si="27"/>
        <v/>
      </c>
      <c r="AQ21" s="46" t="str">
        <f t="shared" si="27"/>
        <v/>
      </c>
      <c r="AR21" s="46" t="str">
        <f t="shared" si="27"/>
        <v/>
      </c>
      <c r="AS21" s="46" t="str">
        <f t="shared" si="27"/>
        <v/>
      </c>
      <c r="AT21" s="46" t="str">
        <f t="shared" si="27"/>
        <v/>
      </c>
      <c r="AU21" s="46" t="str">
        <f t="shared" si="27"/>
        <v/>
      </c>
      <c r="AV21" s="46" t="str">
        <f t="shared" si="27"/>
        <v/>
      </c>
      <c r="AW21" s="46" t="str">
        <f t="shared" si="27"/>
        <v/>
      </c>
      <c r="AY21" s="42">
        <f t="shared" si="2"/>
        <v>44</v>
      </c>
      <c r="AZ21" s="42" t="str">
        <f t="shared" si="0"/>
        <v>属性100107_2</v>
      </c>
      <c r="BA21" s="42" t="str">
        <f t="shared" si="3"/>
        <v>mhp;laser</v>
      </c>
      <c r="BB21" s="42" t="str">
        <f ca="1">[1]!连接单元格(E21:I21,";")</f>
        <v>40;10</v>
      </c>
      <c r="BD21" s="42" t="str">
        <f t="shared" si="4"/>
        <v>1004:5|1028:5</v>
      </c>
      <c r="BE21" s="42" t="str">
        <f t="shared" si="1"/>
        <v>&lt;color=#FFCB00FF&gt;全弹齐发+5,冲锋+5&lt;/color&gt;;&lt;color=#FFEFAEFF &gt;生命值+40,光线攻击+10&lt;/color&gt;</v>
      </c>
    </row>
    <row r="22" spans="1:57" ht="45" customHeight="1" x14ac:dyDescent="0.3">
      <c r="A22" s="49">
        <f t="shared" si="9"/>
        <v>100108</v>
      </c>
      <c r="B22" s="43">
        <v>2</v>
      </c>
      <c r="C22" s="63" t="s">
        <v>96</v>
      </c>
      <c r="D22" s="43"/>
      <c r="E22" s="58">
        <f t="shared" ref="E22:I22" si="28">IF(E11&lt;&gt;"",E11*2,"")</f>
        <v>30</v>
      </c>
      <c r="F22" s="58" t="str">
        <f t="shared" si="28"/>
        <v/>
      </c>
      <c r="G22" s="58">
        <f t="shared" si="28"/>
        <v>8</v>
      </c>
      <c r="H22" s="58" t="str">
        <f t="shared" si="28"/>
        <v/>
      </c>
      <c r="I22" s="58" t="str">
        <f t="shared" si="28"/>
        <v/>
      </c>
      <c r="J22" s="67"/>
      <c r="K22" s="59" t="str">
        <f t="shared" ref="K22:AG22" si="29">IF(K11&lt;&gt;"",5,"")</f>
        <v/>
      </c>
      <c r="L22" s="59" t="str">
        <f t="shared" si="29"/>
        <v/>
      </c>
      <c r="M22" s="59" t="str">
        <f t="shared" si="29"/>
        <v/>
      </c>
      <c r="N22" s="59" t="str">
        <f t="shared" si="29"/>
        <v/>
      </c>
      <c r="O22" s="59" t="str">
        <f t="shared" si="29"/>
        <v/>
      </c>
      <c r="P22" s="59" t="str">
        <f t="shared" si="29"/>
        <v/>
      </c>
      <c r="Q22" s="59" t="str">
        <f t="shared" si="29"/>
        <v/>
      </c>
      <c r="R22" s="59" t="str">
        <f t="shared" si="29"/>
        <v/>
      </c>
      <c r="S22" s="59" t="str">
        <f t="shared" si="29"/>
        <v/>
      </c>
      <c r="T22" s="59" t="str">
        <f t="shared" si="29"/>
        <v/>
      </c>
      <c r="U22" s="59" t="str">
        <f t="shared" si="29"/>
        <v/>
      </c>
      <c r="V22" s="59" t="str">
        <f t="shared" si="29"/>
        <v/>
      </c>
      <c r="W22" s="59" t="str">
        <f t="shared" si="29"/>
        <v/>
      </c>
      <c r="X22" s="59" t="str">
        <f t="shared" si="29"/>
        <v/>
      </c>
      <c r="Y22" s="59" t="str">
        <f t="shared" si="29"/>
        <v/>
      </c>
      <c r="Z22" s="59" t="str">
        <f t="shared" si="29"/>
        <v/>
      </c>
      <c r="AA22" s="59" t="str">
        <f t="shared" si="29"/>
        <v/>
      </c>
      <c r="AB22" s="59" t="str">
        <f t="shared" si="29"/>
        <v/>
      </c>
      <c r="AC22" s="59" t="str">
        <f t="shared" si="29"/>
        <v/>
      </c>
      <c r="AD22" s="59" t="str">
        <f t="shared" si="29"/>
        <v/>
      </c>
      <c r="AE22" s="59" t="str">
        <f t="shared" si="29"/>
        <v/>
      </c>
      <c r="AF22" s="59" t="str">
        <f t="shared" si="29"/>
        <v/>
      </c>
      <c r="AG22" s="59" t="str">
        <f t="shared" si="29"/>
        <v/>
      </c>
      <c r="AH22" s="46" t="str">
        <f t="shared" ref="AH22:AW22" si="30">IF(AH11&lt;&gt;"",5,"")</f>
        <v/>
      </c>
      <c r="AI22" s="46" t="str">
        <f t="shared" si="30"/>
        <v/>
      </c>
      <c r="AJ22" s="46" t="str">
        <f t="shared" si="30"/>
        <v/>
      </c>
      <c r="AK22" s="46">
        <f t="shared" si="30"/>
        <v>5</v>
      </c>
      <c r="AL22" s="46" t="str">
        <f t="shared" si="30"/>
        <v/>
      </c>
      <c r="AM22" s="46" t="str">
        <f t="shared" si="30"/>
        <v/>
      </c>
      <c r="AN22" s="46">
        <f t="shared" si="30"/>
        <v>5</v>
      </c>
      <c r="AO22" s="46" t="str">
        <f t="shared" si="30"/>
        <v/>
      </c>
      <c r="AP22" s="46" t="str">
        <f t="shared" si="30"/>
        <v/>
      </c>
      <c r="AQ22" s="46" t="str">
        <f t="shared" si="30"/>
        <v/>
      </c>
      <c r="AR22" s="46" t="str">
        <f t="shared" si="30"/>
        <v/>
      </c>
      <c r="AS22" s="46" t="str">
        <f t="shared" si="30"/>
        <v/>
      </c>
      <c r="AT22" s="46" t="str">
        <f t="shared" si="30"/>
        <v/>
      </c>
      <c r="AU22" s="46" t="str">
        <f t="shared" si="30"/>
        <v/>
      </c>
      <c r="AV22" s="46" t="str">
        <f t="shared" si="30"/>
        <v/>
      </c>
      <c r="AW22" s="46" t="str">
        <f t="shared" si="30"/>
        <v/>
      </c>
      <c r="AY22" s="42">
        <f t="shared" si="2"/>
        <v>44</v>
      </c>
      <c r="AZ22" s="42" t="str">
        <f t="shared" si="0"/>
        <v>属性100108_2</v>
      </c>
      <c r="BA22" s="42" t="str">
        <f t="shared" si="3"/>
        <v>mhp;attack</v>
      </c>
      <c r="BB22" s="42" t="str">
        <f ca="1">[1]!连接单元格(E22:I22,";")</f>
        <v>30;8</v>
      </c>
      <c r="BD22" s="42" t="str">
        <f t="shared" si="4"/>
        <v>1028:5|1031:5</v>
      </c>
      <c r="BE22" s="42" t="str">
        <f t="shared" si="1"/>
        <v>&lt;color=#FFCB00FF&gt;冲锋+5,斩杀+5&lt;/color&gt;;&lt;color=#FFEFAEFF &gt;生命值+30,物理攻击+8&lt;/color&gt;</v>
      </c>
    </row>
    <row r="23" spans="1:57" ht="45" customHeight="1" x14ac:dyDescent="0.3">
      <c r="A23" s="49">
        <f t="shared" si="9"/>
        <v>100109</v>
      </c>
      <c r="B23" s="43">
        <v>2</v>
      </c>
      <c r="C23" s="62" t="s">
        <v>98</v>
      </c>
      <c r="D23" s="43"/>
      <c r="E23" s="58">
        <f t="shared" ref="E23:I23" si="31">IF(E12&lt;&gt;"",E12*2,"")</f>
        <v>40</v>
      </c>
      <c r="F23" s="58" t="str">
        <f t="shared" si="31"/>
        <v/>
      </c>
      <c r="G23" s="58" t="str">
        <f t="shared" si="31"/>
        <v/>
      </c>
      <c r="H23" s="58" t="str">
        <f t="shared" si="31"/>
        <v/>
      </c>
      <c r="I23" s="58">
        <f t="shared" si="31"/>
        <v>4</v>
      </c>
      <c r="J23" s="67"/>
      <c r="K23" s="59" t="str">
        <f t="shared" ref="K23:AG23" si="32">IF(K12&lt;&gt;"",5,"")</f>
        <v/>
      </c>
      <c r="L23" s="59" t="str">
        <f t="shared" si="32"/>
        <v/>
      </c>
      <c r="M23" s="59" t="str">
        <f t="shared" si="32"/>
        <v/>
      </c>
      <c r="N23" s="59">
        <f t="shared" si="32"/>
        <v>5</v>
      </c>
      <c r="O23" s="59" t="str">
        <f t="shared" si="32"/>
        <v/>
      </c>
      <c r="P23" s="59" t="str">
        <f t="shared" si="32"/>
        <v/>
      </c>
      <c r="Q23" s="59" t="str">
        <f t="shared" si="32"/>
        <v/>
      </c>
      <c r="R23" s="59" t="str">
        <f t="shared" si="32"/>
        <v/>
      </c>
      <c r="S23" s="59" t="str">
        <f t="shared" si="32"/>
        <v/>
      </c>
      <c r="T23" s="59" t="str">
        <f t="shared" si="32"/>
        <v/>
      </c>
      <c r="U23" s="59" t="str">
        <f t="shared" si="32"/>
        <v/>
      </c>
      <c r="V23" s="59" t="str">
        <f t="shared" si="32"/>
        <v/>
      </c>
      <c r="W23" s="59" t="str">
        <f t="shared" si="32"/>
        <v/>
      </c>
      <c r="X23" s="59" t="str">
        <f t="shared" si="32"/>
        <v/>
      </c>
      <c r="Y23" s="59" t="str">
        <f t="shared" si="32"/>
        <v/>
      </c>
      <c r="Z23" s="59" t="str">
        <f t="shared" si="32"/>
        <v/>
      </c>
      <c r="AA23" s="59" t="str">
        <f t="shared" si="32"/>
        <v/>
      </c>
      <c r="AB23" s="59" t="str">
        <f t="shared" si="32"/>
        <v/>
      </c>
      <c r="AC23" s="59" t="str">
        <f t="shared" si="32"/>
        <v/>
      </c>
      <c r="AD23" s="59" t="str">
        <f t="shared" si="32"/>
        <v/>
      </c>
      <c r="AE23" s="59" t="str">
        <f t="shared" si="32"/>
        <v/>
      </c>
      <c r="AF23" s="59" t="str">
        <f t="shared" si="32"/>
        <v/>
      </c>
      <c r="AG23" s="59" t="str">
        <f t="shared" si="32"/>
        <v/>
      </c>
      <c r="AH23" s="46" t="str">
        <f t="shared" ref="AH23:AW23" si="33">IF(AH12&lt;&gt;"",5,"")</f>
        <v/>
      </c>
      <c r="AI23" s="46" t="str">
        <f t="shared" si="33"/>
        <v/>
      </c>
      <c r="AJ23" s="46" t="str">
        <f t="shared" si="33"/>
        <v/>
      </c>
      <c r="AK23" s="46">
        <f t="shared" si="33"/>
        <v>5</v>
      </c>
      <c r="AL23" s="46" t="str">
        <f t="shared" si="33"/>
        <v/>
      </c>
      <c r="AM23" s="46" t="str">
        <f t="shared" si="33"/>
        <v/>
      </c>
      <c r="AN23" s="46" t="str">
        <f t="shared" si="33"/>
        <v/>
      </c>
      <c r="AO23" s="46" t="str">
        <f t="shared" si="33"/>
        <v/>
      </c>
      <c r="AP23" s="46" t="str">
        <f t="shared" si="33"/>
        <v/>
      </c>
      <c r="AQ23" s="46" t="str">
        <f t="shared" si="33"/>
        <v/>
      </c>
      <c r="AR23" s="46" t="str">
        <f t="shared" si="33"/>
        <v/>
      </c>
      <c r="AS23" s="46" t="str">
        <f t="shared" si="33"/>
        <v/>
      </c>
      <c r="AT23" s="46" t="str">
        <f t="shared" si="33"/>
        <v/>
      </c>
      <c r="AU23" s="46" t="str">
        <f t="shared" si="33"/>
        <v/>
      </c>
      <c r="AV23" s="46" t="str">
        <f t="shared" si="33"/>
        <v/>
      </c>
      <c r="AW23" s="46" t="str">
        <f t="shared" si="33"/>
        <v/>
      </c>
      <c r="AY23" s="42">
        <f t="shared" si="2"/>
        <v>44</v>
      </c>
      <c r="AZ23" s="42" t="str">
        <f t="shared" si="0"/>
        <v>属性100109_2</v>
      </c>
      <c r="BA23" s="42" t="str">
        <f t="shared" si="3"/>
        <v>mhp;shield</v>
      </c>
      <c r="BB23" s="42" t="str">
        <f ca="1">[1]!连接单元格(E23:I23,";")</f>
        <v>40;4</v>
      </c>
      <c r="BD23" s="42" t="str">
        <f t="shared" si="4"/>
        <v>1004:5|1028:5</v>
      </c>
      <c r="BE23" s="42" t="str">
        <f t="shared" si="1"/>
        <v>&lt;color=#FFCB00FF&gt;全弹齐发+5,冲锋+5&lt;/color&gt;;&lt;color=#FFEFAEFF &gt;生命值+40,护盾+4&lt;/color&gt;</v>
      </c>
    </row>
    <row r="24" spans="1:57" ht="45" customHeight="1" x14ac:dyDescent="0.3">
      <c r="A24" s="49">
        <f t="shared" si="9"/>
        <v>100110</v>
      </c>
      <c r="B24" s="43">
        <v>2</v>
      </c>
      <c r="C24" s="63" t="s">
        <v>100</v>
      </c>
      <c r="D24" s="43"/>
      <c r="E24" s="58">
        <f t="shared" ref="E24:I24" si="34">IF(E13&lt;&gt;"",E13*2,"")</f>
        <v>40</v>
      </c>
      <c r="F24" s="58" t="str">
        <f t="shared" si="34"/>
        <v/>
      </c>
      <c r="G24" s="58">
        <f t="shared" si="34"/>
        <v>8</v>
      </c>
      <c r="H24" s="58">
        <f t="shared" si="34"/>
        <v>6</v>
      </c>
      <c r="I24" s="58">
        <f t="shared" si="34"/>
        <v>4</v>
      </c>
      <c r="J24" s="67"/>
      <c r="K24" s="59" t="str">
        <f t="shared" ref="K24:AG24" si="35">IF(K13&lt;&gt;"",5,"")</f>
        <v/>
      </c>
      <c r="L24" s="59" t="str">
        <f t="shared" si="35"/>
        <v/>
      </c>
      <c r="M24" s="59" t="str">
        <f t="shared" si="35"/>
        <v/>
      </c>
      <c r="N24" s="59" t="str">
        <f t="shared" si="35"/>
        <v/>
      </c>
      <c r="O24" s="59">
        <f t="shared" si="35"/>
        <v>5</v>
      </c>
      <c r="P24" s="59" t="str">
        <f t="shared" si="35"/>
        <v/>
      </c>
      <c r="Q24" s="59" t="str">
        <f t="shared" si="35"/>
        <v/>
      </c>
      <c r="R24" s="59" t="str">
        <f t="shared" si="35"/>
        <v/>
      </c>
      <c r="S24" s="59" t="str">
        <f t="shared" si="35"/>
        <v/>
      </c>
      <c r="T24" s="59" t="str">
        <f t="shared" si="35"/>
        <v/>
      </c>
      <c r="U24" s="59" t="str">
        <f t="shared" si="35"/>
        <v/>
      </c>
      <c r="V24" s="59" t="str">
        <f t="shared" si="35"/>
        <v/>
      </c>
      <c r="W24" s="59" t="str">
        <f t="shared" si="35"/>
        <v/>
      </c>
      <c r="X24" s="59" t="str">
        <f t="shared" si="35"/>
        <v/>
      </c>
      <c r="Y24" s="59" t="str">
        <f t="shared" si="35"/>
        <v/>
      </c>
      <c r="Z24" s="59" t="str">
        <f t="shared" si="35"/>
        <v/>
      </c>
      <c r="AA24" s="59" t="str">
        <f t="shared" si="35"/>
        <v/>
      </c>
      <c r="AB24" s="59" t="str">
        <f t="shared" si="35"/>
        <v/>
      </c>
      <c r="AC24" s="59" t="str">
        <f t="shared" si="35"/>
        <v/>
      </c>
      <c r="AD24" s="59" t="str">
        <f t="shared" si="35"/>
        <v/>
      </c>
      <c r="AE24" s="59" t="str">
        <f t="shared" si="35"/>
        <v/>
      </c>
      <c r="AF24" s="59" t="str">
        <f t="shared" si="35"/>
        <v/>
      </c>
      <c r="AG24" s="59" t="str">
        <f t="shared" si="35"/>
        <v/>
      </c>
      <c r="AH24" s="46" t="str">
        <f t="shared" ref="AH24:AW24" si="36">IF(AH13&lt;&gt;"",5,"")</f>
        <v/>
      </c>
      <c r="AI24" s="46" t="str">
        <f t="shared" si="36"/>
        <v/>
      </c>
      <c r="AJ24" s="46" t="str">
        <f t="shared" si="36"/>
        <v/>
      </c>
      <c r="AK24" s="46" t="str">
        <f t="shared" si="36"/>
        <v/>
      </c>
      <c r="AL24" s="46" t="str">
        <f t="shared" si="36"/>
        <v/>
      </c>
      <c r="AM24" s="46" t="str">
        <f t="shared" si="36"/>
        <v/>
      </c>
      <c r="AN24" s="46">
        <f t="shared" si="36"/>
        <v>5</v>
      </c>
      <c r="AO24" s="46" t="str">
        <f t="shared" si="36"/>
        <v/>
      </c>
      <c r="AP24" s="46" t="str">
        <f t="shared" si="36"/>
        <v/>
      </c>
      <c r="AQ24" s="46" t="str">
        <f t="shared" si="36"/>
        <v/>
      </c>
      <c r="AR24" s="46" t="str">
        <f t="shared" si="36"/>
        <v/>
      </c>
      <c r="AS24" s="46" t="str">
        <f t="shared" si="36"/>
        <v/>
      </c>
      <c r="AT24" s="46" t="str">
        <f t="shared" si="36"/>
        <v/>
      </c>
      <c r="AU24" s="46" t="str">
        <f t="shared" si="36"/>
        <v/>
      </c>
      <c r="AV24" s="46" t="str">
        <f t="shared" si="36"/>
        <v/>
      </c>
      <c r="AW24" s="46" t="str">
        <f t="shared" si="36"/>
        <v/>
      </c>
      <c r="AY24" s="42">
        <f t="shared" si="2"/>
        <v>44</v>
      </c>
      <c r="AZ24" s="42" t="str">
        <f t="shared" si="0"/>
        <v>属性100110_2</v>
      </c>
      <c r="BA24" s="42" t="str">
        <f t="shared" si="3"/>
        <v>mhp;attack;laser;shield</v>
      </c>
      <c r="BB24" s="42" t="str">
        <f ca="1">[1]!连接单元格(E24:I24,";")</f>
        <v>40;8;6;4</v>
      </c>
      <c r="BD24" s="42" t="str">
        <f t="shared" si="4"/>
        <v>1005:5|1031:5</v>
      </c>
      <c r="BE24" s="42" t="str">
        <f t="shared" si="1"/>
        <v>&lt;color=#FFCB00FF&gt;散射+5,斩杀+5&lt;/color&gt;;&lt;color=#FFEFAEFF &gt;生命值+40,物理攻击+8,光线攻击+6,护盾+4&lt;/color&gt;</v>
      </c>
    </row>
    <row r="25" spans="1:57" ht="45" customHeight="1" x14ac:dyDescent="0.3">
      <c r="A25" s="49">
        <f t="shared" si="9"/>
        <v>100111</v>
      </c>
      <c r="B25" s="43">
        <v>2</v>
      </c>
      <c r="C25" s="63" t="s">
        <v>102</v>
      </c>
      <c r="D25" s="43"/>
      <c r="E25" s="58">
        <f t="shared" ref="E25:I25" si="37">IF(E14&lt;&gt;"",E14*2,"")</f>
        <v>40</v>
      </c>
      <c r="F25" s="58" t="str">
        <f t="shared" si="37"/>
        <v/>
      </c>
      <c r="G25" s="58">
        <f t="shared" si="37"/>
        <v>8</v>
      </c>
      <c r="H25" s="58" t="str">
        <f t="shared" si="37"/>
        <v/>
      </c>
      <c r="I25" s="58">
        <f t="shared" si="37"/>
        <v>4</v>
      </c>
      <c r="J25" s="67"/>
      <c r="K25" s="59" t="str">
        <f t="shared" ref="K25:AG25" si="38">IF(K14&lt;&gt;"",5,"")</f>
        <v/>
      </c>
      <c r="L25" s="59" t="str">
        <f t="shared" si="38"/>
        <v/>
      </c>
      <c r="M25" s="59" t="str">
        <f t="shared" si="38"/>
        <v/>
      </c>
      <c r="N25" s="59" t="str">
        <f t="shared" si="38"/>
        <v/>
      </c>
      <c r="O25" s="59">
        <f t="shared" si="38"/>
        <v>5</v>
      </c>
      <c r="P25" s="59" t="str">
        <f t="shared" si="38"/>
        <v/>
      </c>
      <c r="Q25" s="59" t="str">
        <f t="shared" si="38"/>
        <v/>
      </c>
      <c r="R25" s="59" t="str">
        <f t="shared" si="38"/>
        <v/>
      </c>
      <c r="S25" s="59" t="str">
        <f t="shared" si="38"/>
        <v/>
      </c>
      <c r="T25" s="59" t="str">
        <f t="shared" si="38"/>
        <v/>
      </c>
      <c r="U25" s="59" t="str">
        <f t="shared" si="38"/>
        <v/>
      </c>
      <c r="V25" s="59" t="str">
        <f t="shared" si="38"/>
        <v/>
      </c>
      <c r="W25" s="59" t="str">
        <f t="shared" si="38"/>
        <v/>
      </c>
      <c r="X25" s="59" t="str">
        <f t="shared" si="38"/>
        <v/>
      </c>
      <c r="Y25" s="59" t="str">
        <f t="shared" si="38"/>
        <v/>
      </c>
      <c r="Z25" s="59" t="str">
        <f t="shared" si="38"/>
        <v/>
      </c>
      <c r="AA25" s="59" t="str">
        <f t="shared" si="38"/>
        <v/>
      </c>
      <c r="AB25" s="59" t="str">
        <f t="shared" si="38"/>
        <v/>
      </c>
      <c r="AC25" s="59" t="str">
        <f t="shared" si="38"/>
        <v/>
      </c>
      <c r="AD25" s="59" t="str">
        <f t="shared" si="38"/>
        <v/>
      </c>
      <c r="AE25" s="59" t="str">
        <f t="shared" si="38"/>
        <v/>
      </c>
      <c r="AF25" s="59" t="str">
        <f t="shared" si="38"/>
        <v/>
      </c>
      <c r="AG25" s="59" t="str">
        <f t="shared" si="38"/>
        <v/>
      </c>
      <c r="AH25" s="46" t="str">
        <f t="shared" ref="AH25:AW25" si="39">IF(AH14&lt;&gt;"",5,"")</f>
        <v/>
      </c>
      <c r="AI25" s="46" t="str">
        <f t="shared" si="39"/>
        <v/>
      </c>
      <c r="AJ25" s="46" t="str">
        <f t="shared" si="39"/>
        <v/>
      </c>
      <c r="AK25" s="46" t="str">
        <f t="shared" si="39"/>
        <v/>
      </c>
      <c r="AL25" s="46" t="str">
        <f t="shared" si="39"/>
        <v/>
      </c>
      <c r="AM25" s="46" t="str">
        <f t="shared" si="39"/>
        <v/>
      </c>
      <c r="AN25" s="46">
        <f t="shared" si="39"/>
        <v>5</v>
      </c>
      <c r="AO25" s="46" t="str">
        <f t="shared" si="39"/>
        <v/>
      </c>
      <c r="AP25" s="46" t="str">
        <f t="shared" si="39"/>
        <v/>
      </c>
      <c r="AQ25" s="46" t="str">
        <f t="shared" si="39"/>
        <v/>
      </c>
      <c r="AR25" s="46" t="str">
        <f t="shared" si="39"/>
        <v/>
      </c>
      <c r="AS25" s="46" t="str">
        <f t="shared" si="39"/>
        <v/>
      </c>
      <c r="AT25" s="46" t="str">
        <f t="shared" si="39"/>
        <v/>
      </c>
      <c r="AU25" s="46" t="str">
        <f t="shared" si="39"/>
        <v/>
      </c>
      <c r="AV25" s="46" t="str">
        <f t="shared" si="39"/>
        <v/>
      </c>
      <c r="AW25" s="46" t="str">
        <f t="shared" si="39"/>
        <v/>
      </c>
      <c r="AY25" s="42">
        <f t="shared" si="2"/>
        <v>44</v>
      </c>
      <c r="AZ25" s="42" t="str">
        <f t="shared" si="0"/>
        <v>属性100111_2</v>
      </c>
      <c r="BA25" s="42" t="str">
        <f t="shared" si="3"/>
        <v>mhp;attack;shield</v>
      </c>
      <c r="BB25" s="42" t="str">
        <f ca="1">[1]!连接单元格(E25:I25,";")</f>
        <v>40;8;4</v>
      </c>
      <c r="BD25" s="42" t="str">
        <f t="shared" si="4"/>
        <v>1005:5|1031:5</v>
      </c>
      <c r="BE25" s="42" t="str">
        <f t="shared" si="1"/>
        <v>&lt;color=#FFCB00FF&gt;散射+5,斩杀+5&lt;/color&gt;;&lt;color=#FFEFAEFF &gt;生命值+40,物理攻击+8,护盾+4&lt;/color&gt;</v>
      </c>
    </row>
    <row r="26" spans="1:57" ht="45" customHeight="1" x14ac:dyDescent="0.3">
      <c r="A26" s="49">
        <v>100082</v>
      </c>
      <c r="B26" s="43">
        <f t="shared" ref="B26:B71" si="40">B23</f>
        <v>2</v>
      </c>
      <c r="C26" s="43"/>
      <c r="D26" s="43"/>
      <c r="E26" s="44"/>
      <c r="F26" s="44"/>
      <c r="G26" s="44"/>
      <c r="H26" s="44"/>
      <c r="I26" s="44"/>
      <c r="J26" s="67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Y26" s="42">
        <f t="shared" si="2"/>
        <v>0</v>
      </c>
      <c r="AZ26" s="42" t="str">
        <f t="shared" si="0"/>
        <v>属性100082_2</v>
      </c>
      <c r="BA26" s="42" t="e">
        <f t="shared" si="3"/>
        <v>#VALUE!</v>
      </c>
      <c r="BB26" s="42" t="str">
        <f ca="1">[1]!连接单元格(E26:I26,";")</f>
        <v/>
      </c>
      <c r="BD26" s="42" t="e">
        <f t="shared" si="4"/>
        <v>#VALUE!</v>
      </c>
      <c r="BE26" s="42" t="e">
        <f t="shared" si="1"/>
        <v>#VALUE!</v>
      </c>
    </row>
    <row r="27" spans="1:57" ht="45" customHeight="1" x14ac:dyDescent="0.3">
      <c r="A27" s="49">
        <v>100083</v>
      </c>
      <c r="B27" s="43">
        <f t="shared" si="40"/>
        <v>2</v>
      </c>
      <c r="C27" s="43"/>
      <c r="D27" s="43"/>
      <c r="E27" s="44"/>
      <c r="F27" s="44"/>
      <c r="G27" s="44"/>
      <c r="H27" s="44"/>
      <c r="I27" s="44"/>
      <c r="J27" s="67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Y27" s="42">
        <f t="shared" si="2"/>
        <v>0</v>
      </c>
      <c r="AZ27" s="42" t="str">
        <f t="shared" si="0"/>
        <v>属性100083_2</v>
      </c>
      <c r="BA27" s="42" t="e">
        <f t="shared" si="3"/>
        <v>#VALUE!</v>
      </c>
      <c r="BB27" s="42" t="str">
        <f ca="1">[1]!连接单元格(E27:I27,";")</f>
        <v/>
      </c>
      <c r="BD27" s="42" t="e">
        <f t="shared" si="4"/>
        <v>#VALUE!</v>
      </c>
      <c r="BE27" s="42" t="e">
        <f t="shared" si="1"/>
        <v>#VALUE!</v>
      </c>
    </row>
    <row r="28" spans="1:57" ht="45" customHeight="1" x14ac:dyDescent="0.3">
      <c r="A28" s="53">
        <v>100091</v>
      </c>
      <c r="B28" s="43">
        <f t="shared" si="40"/>
        <v>2</v>
      </c>
      <c r="C28" s="43"/>
      <c r="D28" s="43"/>
      <c r="E28" s="44"/>
      <c r="F28" s="44"/>
      <c r="G28" s="44"/>
      <c r="H28" s="44"/>
      <c r="I28" s="44"/>
      <c r="J28" s="67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Y28" s="42">
        <f t="shared" si="2"/>
        <v>0</v>
      </c>
      <c r="AZ28" s="42" t="str">
        <f t="shared" si="0"/>
        <v>属性100091_2</v>
      </c>
      <c r="BA28" s="42" t="e">
        <f t="shared" si="3"/>
        <v>#VALUE!</v>
      </c>
      <c r="BB28" s="42" t="str">
        <f ca="1">[1]!连接单元格(E28:I28,";")</f>
        <v/>
      </c>
      <c r="BD28" s="42" t="e">
        <f t="shared" si="4"/>
        <v>#VALUE!</v>
      </c>
      <c r="BE28" s="42" t="e">
        <f t="shared" si="1"/>
        <v>#VALUE!</v>
      </c>
    </row>
    <row r="29" spans="1:57" ht="45" customHeight="1" x14ac:dyDescent="0.3">
      <c r="A29" s="49">
        <v>100092</v>
      </c>
      <c r="B29" s="43">
        <f t="shared" si="40"/>
        <v>2</v>
      </c>
      <c r="C29" s="43"/>
      <c r="D29" s="43"/>
      <c r="E29" s="44"/>
      <c r="F29" s="44"/>
      <c r="G29" s="44"/>
      <c r="H29" s="44"/>
      <c r="I29" s="44"/>
      <c r="J29" s="67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Y29" s="42">
        <f t="shared" si="2"/>
        <v>0</v>
      </c>
      <c r="AZ29" s="42" t="str">
        <f t="shared" si="0"/>
        <v>属性100092_2</v>
      </c>
      <c r="BA29" s="42" t="e">
        <f t="shared" si="3"/>
        <v>#VALUE!</v>
      </c>
      <c r="BB29" s="42" t="str">
        <f ca="1">[1]!连接单元格(E29:I29,";")</f>
        <v/>
      </c>
      <c r="BD29" s="42" t="e">
        <f t="shared" si="4"/>
        <v>#VALUE!</v>
      </c>
      <c r="BE29" s="42" t="e">
        <f t="shared" si="1"/>
        <v>#VALUE!</v>
      </c>
    </row>
    <row r="30" spans="1:57" ht="45" customHeight="1" x14ac:dyDescent="0.3">
      <c r="A30" s="49">
        <v>100093</v>
      </c>
      <c r="B30" s="43">
        <f t="shared" si="40"/>
        <v>2</v>
      </c>
      <c r="C30" s="43"/>
      <c r="D30" s="43"/>
      <c r="E30" s="44"/>
      <c r="F30" s="44"/>
      <c r="G30" s="44"/>
      <c r="H30" s="44"/>
      <c r="I30" s="44"/>
      <c r="J30" s="67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Y30" s="42">
        <f t="shared" si="2"/>
        <v>0</v>
      </c>
      <c r="AZ30" s="42" t="str">
        <f t="shared" si="0"/>
        <v>属性100093_2</v>
      </c>
      <c r="BA30" s="42" t="e">
        <f t="shared" si="3"/>
        <v>#VALUE!</v>
      </c>
      <c r="BB30" s="42" t="str">
        <f ca="1">[1]!连接单元格(E30:I30,";")</f>
        <v/>
      </c>
      <c r="BD30" s="42" t="e">
        <f t="shared" si="4"/>
        <v>#VALUE!</v>
      </c>
      <c r="BE30" s="42" t="e">
        <f t="shared" si="1"/>
        <v>#VALUE!</v>
      </c>
    </row>
    <row r="31" spans="1:57" ht="45" customHeight="1" x14ac:dyDescent="0.3">
      <c r="A31" s="49">
        <v>100101</v>
      </c>
      <c r="B31" s="43">
        <f t="shared" si="40"/>
        <v>2</v>
      </c>
      <c r="C31" s="43"/>
      <c r="D31" s="43"/>
      <c r="E31" s="44"/>
      <c r="F31" s="44"/>
      <c r="G31" s="44"/>
      <c r="H31" s="44"/>
      <c r="I31" s="44"/>
      <c r="J31" s="67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Y31" s="42">
        <f t="shared" si="2"/>
        <v>0</v>
      </c>
      <c r="AZ31" s="42" t="str">
        <f t="shared" si="0"/>
        <v>属性100101_2</v>
      </c>
      <c r="BA31" s="42" t="e">
        <f t="shared" si="3"/>
        <v>#VALUE!</v>
      </c>
      <c r="BB31" s="42" t="str">
        <f ca="1">[1]!连接单元格(E31:I31,";")</f>
        <v/>
      </c>
      <c r="BD31" s="42" t="e">
        <f t="shared" si="4"/>
        <v>#VALUE!</v>
      </c>
      <c r="BE31" s="42" t="e">
        <f t="shared" si="1"/>
        <v>#VALUE!</v>
      </c>
    </row>
    <row r="32" spans="1:57" ht="45" customHeight="1" x14ac:dyDescent="0.3">
      <c r="A32" s="49">
        <v>100102</v>
      </c>
      <c r="B32" s="43">
        <f t="shared" si="40"/>
        <v>2</v>
      </c>
      <c r="C32" s="43"/>
      <c r="D32" s="43"/>
      <c r="E32" s="44"/>
      <c r="F32" s="44"/>
      <c r="G32" s="44"/>
      <c r="H32" s="44"/>
      <c r="I32" s="44"/>
      <c r="J32" s="67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Y32" s="42">
        <f t="shared" si="2"/>
        <v>0</v>
      </c>
      <c r="AZ32" s="42" t="str">
        <f t="shared" si="0"/>
        <v>属性100102_2</v>
      </c>
      <c r="BA32" s="42" t="e">
        <f t="shared" si="3"/>
        <v>#VALUE!</v>
      </c>
      <c r="BB32" s="42" t="str">
        <f ca="1">[1]!连接单元格(E32:I32,";")</f>
        <v/>
      </c>
      <c r="BD32" s="42" t="e">
        <f t="shared" si="4"/>
        <v>#VALUE!</v>
      </c>
      <c r="BE32" s="42" t="e">
        <f t="shared" si="1"/>
        <v>#VALUE!</v>
      </c>
    </row>
    <row r="33" spans="1:57" ht="45" customHeight="1" x14ac:dyDescent="0.3">
      <c r="A33" s="49">
        <v>100103</v>
      </c>
      <c r="B33" s="43">
        <f t="shared" si="40"/>
        <v>2</v>
      </c>
      <c r="C33" s="43"/>
      <c r="D33" s="43"/>
      <c r="E33" s="44"/>
      <c r="F33" s="44"/>
      <c r="G33" s="44"/>
      <c r="H33" s="44"/>
      <c r="I33" s="44"/>
      <c r="J33" s="67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Y33" s="42">
        <f t="shared" si="2"/>
        <v>0</v>
      </c>
      <c r="AZ33" s="42" t="str">
        <f t="shared" si="0"/>
        <v>属性100103_2</v>
      </c>
      <c r="BA33" s="42" t="e">
        <f t="shared" si="3"/>
        <v>#VALUE!</v>
      </c>
      <c r="BB33" s="42" t="str">
        <f ca="1">[1]!连接单元格(E33:I33,";")</f>
        <v/>
      </c>
      <c r="BD33" s="42" t="e">
        <f t="shared" si="4"/>
        <v>#VALUE!</v>
      </c>
      <c r="BE33" s="42" t="e">
        <f t="shared" si="1"/>
        <v>#VALUE!</v>
      </c>
    </row>
    <row r="34" spans="1:57" ht="45" customHeight="1" x14ac:dyDescent="0.3">
      <c r="A34" s="51">
        <v>100111</v>
      </c>
      <c r="B34" s="43">
        <f t="shared" si="40"/>
        <v>2</v>
      </c>
      <c r="C34" s="43"/>
      <c r="D34" s="43"/>
      <c r="E34" s="44"/>
      <c r="F34" s="44"/>
      <c r="G34" s="44"/>
      <c r="H34" s="44"/>
      <c r="I34" s="44"/>
      <c r="J34" s="67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Y34" s="42">
        <f t="shared" si="2"/>
        <v>0</v>
      </c>
      <c r="AZ34" s="42" t="str">
        <f t="shared" si="0"/>
        <v>属性100111_2</v>
      </c>
      <c r="BA34" s="42" t="e">
        <f t="shared" si="3"/>
        <v>#VALUE!</v>
      </c>
      <c r="BB34" s="42" t="str">
        <f ca="1">[1]!连接单元格(E34:I34,";")</f>
        <v/>
      </c>
      <c r="BD34" s="42" t="e">
        <f t="shared" si="4"/>
        <v>#VALUE!</v>
      </c>
      <c r="BE34" s="42" t="e">
        <f t="shared" si="1"/>
        <v>#VALUE!</v>
      </c>
    </row>
    <row r="35" spans="1:57" ht="45" customHeight="1" x14ac:dyDescent="0.3">
      <c r="A35" s="49">
        <v>100112</v>
      </c>
      <c r="B35" s="43">
        <f t="shared" si="40"/>
        <v>2</v>
      </c>
      <c r="C35" s="43"/>
      <c r="D35" s="43"/>
      <c r="E35" s="44"/>
      <c r="F35" s="44"/>
      <c r="G35" s="44"/>
      <c r="H35" s="44"/>
      <c r="I35" s="44"/>
      <c r="J35" s="67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Y35" s="42">
        <f t="shared" si="2"/>
        <v>0</v>
      </c>
      <c r="AZ35" s="42" t="str">
        <f t="shared" si="0"/>
        <v>属性100112_2</v>
      </c>
      <c r="BA35" s="42" t="e">
        <f t="shared" si="3"/>
        <v>#VALUE!</v>
      </c>
      <c r="BB35" s="42" t="str">
        <f ca="1">[1]!连接单元格(E35:I35,";")</f>
        <v/>
      </c>
      <c r="BD35" s="42" t="e">
        <f t="shared" si="4"/>
        <v>#VALUE!</v>
      </c>
      <c r="BE35" s="42" t="e">
        <f t="shared" si="1"/>
        <v>#VALUE!</v>
      </c>
    </row>
    <row r="36" spans="1:57" ht="45" customHeight="1" x14ac:dyDescent="0.3">
      <c r="A36" s="49">
        <v>100113</v>
      </c>
      <c r="B36" s="43">
        <f t="shared" si="40"/>
        <v>2</v>
      </c>
      <c r="C36" s="43"/>
      <c r="D36" s="43"/>
      <c r="E36" s="44"/>
      <c r="F36" s="44"/>
      <c r="G36" s="44"/>
      <c r="H36" s="44"/>
      <c r="I36" s="44"/>
      <c r="J36" s="67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Y36" s="42">
        <f t="shared" si="2"/>
        <v>0</v>
      </c>
      <c r="AZ36" s="42" t="str">
        <f t="shared" si="0"/>
        <v>属性100113_2</v>
      </c>
      <c r="BA36" s="42" t="e">
        <f t="shared" si="3"/>
        <v>#VALUE!</v>
      </c>
      <c r="BB36" s="42" t="str">
        <f ca="1">[1]!连接单元格(E36:I36,";")</f>
        <v/>
      </c>
      <c r="BD36" s="42" t="e">
        <f t="shared" si="4"/>
        <v>#VALUE!</v>
      </c>
      <c r="BE36" s="42" t="e">
        <f t="shared" si="1"/>
        <v>#VALUE!</v>
      </c>
    </row>
    <row r="37" spans="1:57" ht="45" customHeight="1" x14ac:dyDescent="0.3">
      <c r="A37" s="52">
        <v>100121</v>
      </c>
      <c r="B37" s="43">
        <f t="shared" si="40"/>
        <v>2</v>
      </c>
      <c r="C37" s="43"/>
      <c r="D37" s="43"/>
      <c r="E37" s="44"/>
      <c r="F37" s="44"/>
      <c r="G37" s="44"/>
      <c r="H37" s="44"/>
      <c r="I37" s="44"/>
      <c r="J37" s="67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Y37" s="42">
        <f t="shared" si="2"/>
        <v>0</v>
      </c>
      <c r="AZ37" s="42" t="str">
        <f t="shared" si="0"/>
        <v>属性100121_2</v>
      </c>
      <c r="BA37" s="42" t="e">
        <f t="shared" si="3"/>
        <v>#VALUE!</v>
      </c>
      <c r="BB37" s="42" t="str">
        <f ca="1">[1]!连接单元格(E37:I37,";")</f>
        <v/>
      </c>
      <c r="BD37" s="42" t="e">
        <f t="shared" si="4"/>
        <v>#VALUE!</v>
      </c>
      <c r="BE37" s="42" t="e">
        <f t="shared" si="1"/>
        <v>#VALUE!</v>
      </c>
    </row>
    <row r="38" spans="1:57" ht="45" customHeight="1" x14ac:dyDescent="0.3">
      <c r="A38" s="49">
        <v>100122</v>
      </c>
      <c r="B38" s="43">
        <f t="shared" si="40"/>
        <v>2</v>
      </c>
      <c r="C38" s="43"/>
      <c r="D38" s="43"/>
      <c r="E38" s="44"/>
      <c r="F38" s="44"/>
      <c r="G38" s="44"/>
      <c r="H38" s="44"/>
      <c r="I38" s="44"/>
      <c r="J38" s="67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Y38" s="42">
        <f t="shared" si="2"/>
        <v>0</v>
      </c>
      <c r="AZ38" s="42" t="str">
        <f t="shared" si="0"/>
        <v>属性100122_2</v>
      </c>
      <c r="BA38" s="42" t="e">
        <f t="shared" si="3"/>
        <v>#VALUE!</v>
      </c>
      <c r="BB38" s="42" t="str">
        <f ca="1">[1]!连接单元格(E38:I38,";")</f>
        <v/>
      </c>
      <c r="BD38" s="42" t="e">
        <f t="shared" si="4"/>
        <v>#VALUE!</v>
      </c>
      <c r="BE38" s="42" t="e">
        <f t="shared" si="1"/>
        <v>#VALUE!</v>
      </c>
    </row>
    <row r="39" spans="1:57" ht="45" customHeight="1" x14ac:dyDescent="0.3">
      <c r="A39" s="49">
        <v>100123</v>
      </c>
      <c r="B39" s="43">
        <f t="shared" si="40"/>
        <v>2</v>
      </c>
      <c r="C39" s="43"/>
      <c r="D39" s="43"/>
      <c r="E39" s="44"/>
      <c r="F39" s="44"/>
      <c r="G39" s="44"/>
      <c r="H39" s="44"/>
      <c r="I39" s="44"/>
      <c r="J39" s="67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Y39" s="42">
        <f t="shared" si="2"/>
        <v>0</v>
      </c>
      <c r="AZ39" s="42" t="str">
        <f t="shared" si="0"/>
        <v>属性100123_2</v>
      </c>
      <c r="BA39" s="42" t="e">
        <f t="shared" si="3"/>
        <v>#VALUE!</v>
      </c>
      <c r="BB39" s="42" t="str">
        <f ca="1">[1]!连接单元格(E39:I39,";")</f>
        <v/>
      </c>
      <c r="BD39" s="42" t="e">
        <f t="shared" si="4"/>
        <v>#VALUE!</v>
      </c>
      <c r="BE39" s="42" t="e">
        <f t="shared" si="1"/>
        <v>#VALUE!</v>
      </c>
    </row>
    <row r="40" spans="1:57" ht="45" customHeight="1" x14ac:dyDescent="0.3">
      <c r="A40" s="52">
        <v>100131</v>
      </c>
      <c r="B40" s="43">
        <f t="shared" si="40"/>
        <v>2</v>
      </c>
      <c r="C40" s="43"/>
      <c r="D40" s="43"/>
      <c r="E40" s="44"/>
      <c r="F40" s="44"/>
      <c r="G40" s="44"/>
      <c r="H40" s="44"/>
      <c r="I40" s="44"/>
      <c r="J40" s="67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Y40" s="42">
        <f t="shared" si="2"/>
        <v>0</v>
      </c>
      <c r="AZ40" s="42" t="str">
        <f t="shared" si="0"/>
        <v>属性100131_2</v>
      </c>
      <c r="BA40" s="42" t="e">
        <f t="shared" si="3"/>
        <v>#VALUE!</v>
      </c>
      <c r="BB40" s="42" t="str">
        <f ca="1">[1]!连接单元格(E40:I40,";")</f>
        <v/>
      </c>
      <c r="BD40" s="42" t="e">
        <f t="shared" si="4"/>
        <v>#VALUE!</v>
      </c>
      <c r="BE40" s="42" t="e">
        <f t="shared" si="1"/>
        <v>#VALUE!</v>
      </c>
    </row>
    <row r="41" spans="1:57" ht="45" customHeight="1" x14ac:dyDescent="0.3">
      <c r="A41" s="49">
        <v>100132</v>
      </c>
      <c r="B41" s="43">
        <f t="shared" si="40"/>
        <v>2</v>
      </c>
      <c r="C41" s="43"/>
      <c r="D41" s="43"/>
      <c r="E41" s="44"/>
      <c r="F41" s="44"/>
      <c r="G41" s="44"/>
      <c r="H41" s="44"/>
      <c r="I41" s="44"/>
      <c r="J41" s="67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Y41" s="42">
        <f t="shared" si="2"/>
        <v>0</v>
      </c>
      <c r="AZ41" s="42" t="str">
        <f t="shared" si="0"/>
        <v>属性100132_2</v>
      </c>
      <c r="BA41" s="42" t="e">
        <f t="shared" si="3"/>
        <v>#VALUE!</v>
      </c>
      <c r="BB41" s="42" t="str">
        <f ca="1">[1]!连接单元格(E41:I41,";")</f>
        <v/>
      </c>
      <c r="BD41" s="42" t="e">
        <f t="shared" si="4"/>
        <v>#VALUE!</v>
      </c>
      <c r="BE41" s="42" t="e">
        <f t="shared" si="1"/>
        <v>#VALUE!</v>
      </c>
    </row>
    <row r="42" spans="1:57" ht="45" customHeight="1" x14ac:dyDescent="0.3">
      <c r="A42" s="49">
        <v>100133</v>
      </c>
      <c r="B42" s="43">
        <f t="shared" si="40"/>
        <v>2</v>
      </c>
      <c r="C42" s="43"/>
      <c r="D42" s="43"/>
      <c r="E42" s="44"/>
      <c r="F42" s="44"/>
      <c r="G42" s="44"/>
      <c r="H42" s="44"/>
      <c r="I42" s="44"/>
      <c r="J42" s="67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Y42" s="42">
        <f t="shared" si="2"/>
        <v>0</v>
      </c>
      <c r="AZ42" s="42" t="str">
        <f t="shared" si="0"/>
        <v>属性100133_2</v>
      </c>
      <c r="BA42" s="42" t="e">
        <f t="shared" si="3"/>
        <v>#VALUE!</v>
      </c>
      <c r="BB42" s="42" t="str">
        <f ca="1">[1]!连接单元格(E42:I42,";")</f>
        <v/>
      </c>
      <c r="BD42" s="42" t="e">
        <f t="shared" si="4"/>
        <v>#VALUE!</v>
      </c>
      <c r="BE42" s="42" t="e">
        <f t="shared" si="1"/>
        <v>#VALUE!</v>
      </c>
    </row>
    <row r="43" spans="1:57" ht="45" customHeight="1" x14ac:dyDescent="0.3">
      <c r="A43" s="52">
        <v>100141</v>
      </c>
      <c r="B43" s="43">
        <f t="shared" si="40"/>
        <v>2</v>
      </c>
      <c r="C43" s="43"/>
      <c r="D43" s="43"/>
      <c r="E43" s="44"/>
      <c r="F43" s="44"/>
      <c r="G43" s="44"/>
      <c r="H43" s="44"/>
      <c r="I43" s="44"/>
      <c r="J43" s="67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Y43" s="42">
        <f t="shared" si="2"/>
        <v>0</v>
      </c>
      <c r="AZ43" s="42" t="str">
        <f t="shared" si="0"/>
        <v>属性100141_2</v>
      </c>
      <c r="BA43" s="42" t="e">
        <f t="shared" si="3"/>
        <v>#VALUE!</v>
      </c>
      <c r="BB43" s="42" t="str">
        <f ca="1">[1]!连接单元格(E43:I43,";")</f>
        <v/>
      </c>
      <c r="BD43" s="42" t="e">
        <f t="shared" si="4"/>
        <v>#VALUE!</v>
      </c>
      <c r="BE43" s="42" t="e">
        <f t="shared" si="1"/>
        <v>#VALUE!</v>
      </c>
    </row>
    <row r="44" spans="1:57" ht="45" customHeight="1" x14ac:dyDescent="0.3">
      <c r="A44" s="49">
        <v>100142</v>
      </c>
      <c r="B44" s="43">
        <f t="shared" si="40"/>
        <v>2</v>
      </c>
      <c r="C44" s="43"/>
      <c r="D44" s="43"/>
      <c r="E44" s="44"/>
      <c r="F44" s="44"/>
      <c r="G44" s="44"/>
      <c r="H44" s="44"/>
      <c r="I44" s="44"/>
      <c r="J44" s="67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Y44" s="42">
        <f t="shared" si="2"/>
        <v>0</v>
      </c>
      <c r="AZ44" s="42" t="str">
        <f t="shared" si="0"/>
        <v>属性100142_2</v>
      </c>
      <c r="BA44" s="42" t="e">
        <f t="shared" si="3"/>
        <v>#VALUE!</v>
      </c>
      <c r="BB44" s="42" t="str">
        <f ca="1">[1]!连接单元格(E44:I44,";")</f>
        <v/>
      </c>
      <c r="BD44" s="42" t="e">
        <f t="shared" si="4"/>
        <v>#VALUE!</v>
      </c>
      <c r="BE44" s="42" t="e">
        <f t="shared" si="1"/>
        <v>#VALUE!</v>
      </c>
    </row>
    <row r="45" spans="1:57" ht="45" customHeight="1" x14ac:dyDescent="0.3">
      <c r="A45" s="49">
        <v>100143</v>
      </c>
      <c r="B45" s="43">
        <f t="shared" si="40"/>
        <v>2</v>
      </c>
      <c r="C45" s="43"/>
      <c r="D45" s="43"/>
      <c r="E45" s="44"/>
      <c r="F45" s="44"/>
      <c r="G45" s="44"/>
      <c r="H45" s="44"/>
      <c r="I45" s="44"/>
      <c r="J45" s="67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Y45" s="42">
        <f t="shared" si="2"/>
        <v>0</v>
      </c>
      <c r="AZ45" s="42" t="str">
        <f t="shared" si="0"/>
        <v>属性100143_2</v>
      </c>
      <c r="BA45" s="42" t="e">
        <f t="shared" si="3"/>
        <v>#VALUE!</v>
      </c>
      <c r="BB45" s="42" t="str">
        <f ca="1">[1]!连接单元格(E45:I45,";")</f>
        <v/>
      </c>
      <c r="BD45" s="42" t="e">
        <f t="shared" si="4"/>
        <v>#VALUE!</v>
      </c>
      <c r="BE45" s="42" t="e">
        <f t="shared" si="1"/>
        <v>#VALUE!</v>
      </c>
    </row>
    <row r="46" spans="1:57" ht="45" customHeight="1" x14ac:dyDescent="0.3">
      <c r="A46" s="52">
        <v>100151</v>
      </c>
      <c r="B46" s="43">
        <f t="shared" si="40"/>
        <v>2</v>
      </c>
      <c r="C46" s="43"/>
      <c r="D46" s="43"/>
      <c r="E46" s="44"/>
      <c r="F46" s="44"/>
      <c r="G46" s="44"/>
      <c r="H46" s="44"/>
      <c r="I46" s="44"/>
      <c r="J46" s="67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Y46" s="42">
        <f t="shared" si="2"/>
        <v>0</v>
      </c>
      <c r="AZ46" s="42" t="str">
        <f t="shared" si="0"/>
        <v>属性100151_2</v>
      </c>
      <c r="BA46" s="42" t="e">
        <f t="shared" si="3"/>
        <v>#VALUE!</v>
      </c>
      <c r="BB46" s="42" t="str">
        <f ca="1">[1]!连接单元格(E46:I46,";")</f>
        <v/>
      </c>
      <c r="BD46" s="42" t="e">
        <f t="shared" si="4"/>
        <v>#VALUE!</v>
      </c>
      <c r="BE46" s="42" t="e">
        <f t="shared" si="1"/>
        <v>#VALUE!</v>
      </c>
    </row>
    <row r="47" spans="1:57" ht="45" customHeight="1" x14ac:dyDescent="0.3">
      <c r="A47" s="49">
        <v>100152</v>
      </c>
      <c r="B47" s="43">
        <f t="shared" si="40"/>
        <v>2</v>
      </c>
      <c r="C47" s="43"/>
      <c r="D47" s="43"/>
      <c r="E47" s="44"/>
      <c r="F47" s="44"/>
      <c r="G47" s="44"/>
      <c r="H47" s="44"/>
      <c r="I47" s="44"/>
      <c r="J47" s="67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Y47" s="42">
        <f t="shared" si="2"/>
        <v>0</v>
      </c>
      <c r="AZ47" s="42" t="str">
        <f t="shared" si="0"/>
        <v>属性100152_2</v>
      </c>
      <c r="BA47" s="42" t="e">
        <f t="shared" si="3"/>
        <v>#VALUE!</v>
      </c>
      <c r="BB47" s="42" t="str">
        <f ca="1">[1]!连接单元格(E47:I47,";")</f>
        <v/>
      </c>
      <c r="BD47" s="42" t="e">
        <f t="shared" si="4"/>
        <v>#VALUE!</v>
      </c>
      <c r="BE47" s="42" t="e">
        <f t="shared" si="1"/>
        <v>#VALUE!</v>
      </c>
    </row>
    <row r="48" spans="1:57" ht="45" customHeight="1" x14ac:dyDescent="0.3">
      <c r="A48" s="49">
        <v>100153</v>
      </c>
      <c r="B48" s="43">
        <f t="shared" si="40"/>
        <v>2</v>
      </c>
      <c r="C48" s="43"/>
      <c r="D48" s="43"/>
      <c r="E48" s="44"/>
      <c r="F48" s="44"/>
      <c r="G48" s="44"/>
      <c r="H48" s="44"/>
      <c r="I48" s="44"/>
      <c r="J48" s="67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Y48" s="42">
        <f t="shared" si="2"/>
        <v>0</v>
      </c>
      <c r="AZ48" s="42" t="str">
        <f t="shared" si="0"/>
        <v>属性100153_2</v>
      </c>
      <c r="BA48" s="42" t="e">
        <f t="shared" si="3"/>
        <v>#VALUE!</v>
      </c>
      <c r="BB48" s="42" t="str">
        <f ca="1">[1]!连接单元格(E48:I48,";")</f>
        <v/>
      </c>
      <c r="BD48" s="42" t="e">
        <f t="shared" si="4"/>
        <v>#VALUE!</v>
      </c>
      <c r="BE48" s="42" t="e">
        <f t="shared" si="1"/>
        <v>#VALUE!</v>
      </c>
    </row>
    <row r="49" spans="1:57" ht="45" customHeight="1" x14ac:dyDescent="0.3">
      <c r="A49" s="51">
        <v>100161</v>
      </c>
      <c r="B49" s="43">
        <f t="shared" si="40"/>
        <v>2</v>
      </c>
      <c r="C49" s="43"/>
      <c r="D49" s="43"/>
      <c r="E49" s="44"/>
      <c r="F49" s="44"/>
      <c r="G49" s="44"/>
      <c r="H49" s="44"/>
      <c r="I49" s="44"/>
      <c r="J49" s="67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Y49" s="42">
        <f t="shared" si="2"/>
        <v>0</v>
      </c>
      <c r="AZ49" s="42" t="str">
        <f t="shared" si="0"/>
        <v>属性100161_2</v>
      </c>
      <c r="BA49" s="42" t="e">
        <f t="shared" si="3"/>
        <v>#VALUE!</v>
      </c>
      <c r="BB49" s="42" t="str">
        <f ca="1">[1]!连接单元格(E49:I49,";")</f>
        <v/>
      </c>
      <c r="BD49" s="42" t="e">
        <f t="shared" si="4"/>
        <v>#VALUE!</v>
      </c>
      <c r="BE49" s="42" t="e">
        <f t="shared" si="1"/>
        <v>#VALUE!</v>
      </c>
    </row>
    <row r="50" spans="1:57" ht="45" customHeight="1" x14ac:dyDescent="0.3">
      <c r="A50" s="49">
        <v>100162</v>
      </c>
      <c r="B50" s="43">
        <f t="shared" si="40"/>
        <v>2</v>
      </c>
      <c r="C50" s="43"/>
      <c r="D50" s="43"/>
      <c r="E50" s="44"/>
      <c r="F50" s="44"/>
      <c r="G50" s="44"/>
      <c r="H50" s="44"/>
      <c r="I50" s="44"/>
      <c r="J50" s="67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Y50" s="42">
        <f t="shared" si="2"/>
        <v>0</v>
      </c>
      <c r="AZ50" s="42" t="str">
        <f t="shared" si="0"/>
        <v>属性100162_2</v>
      </c>
      <c r="BA50" s="42" t="e">
        <f t="shared" si="3"/>
        <v>#VALUE!</v>
      </c>
      <c r="BB50" s="42" t="str">
        <f ca="1">[1]!连接单元格(E50:I50,";")</f>
        <v/>
      </c>
      <c r="BD50" s="42" t="e">
        <f t="shared" si="4"/>
        <v>#VALUE!</v>
      </c>
      <c r="BE50" s="42" t="e">
        <f t="shared" si="1"/>
        <v>#VALUE!</v>
      </c>
    </row>
    <row r="51" spans="1:57" ht="45" customHeight="1" x14ac:dyDescent="0.3">
      <c r="A51" s="49">
        <v>100163</v>
      </c>
      <c r="B51" s="43">
        <f t="shared" si="40"/>
        <v>2</v>
      </c>
      <c r="C51" s="43"/>
      <c r="D51" s="43"/>
      <c r="E51" s="44"/>
      <c r="F51" s="44"/>
      <c r="G51" s="44"/>
      <c r="H51" s="44"/>
      <c r="I51" s="44"/>
      <c r="J51" s="67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Y51" s="42">
        <f t="shared" si="2"/>
        <v>0</v>
      </c>
      <c r="AZ51" s="42" t="str">
        <f t="shared" si="0"/>
        <v>属性100163_2</v>
      </c>
      <c r="BA51" s="42" t="e">
        <f t="shared" si="3"/>
        <v>#VALUE!</v>
      </c>
      <c r="BB51" s="42" t="str">
        <f ca="1">[1]!连接单元格(E51:I51,";")</f>
        <v/>
      </c>
      <c r="BD51" s="42" t="e">
        <f t="shared" si="4"/>
        <v>#VALUE!</v>
      </c>
      <c r="BE51" s="42" t="e">
        <f t="shared" si="1"/>
        <v>#VALUE!</v>
      </c>
    </row>
    <row r="52" spans="1:57" ht="45" customHeight="1" x14ac:dyDescent="0.3">
      <c r="A52" s="49">
        <v>100171</v>
      </c>
      <c r="B52" s="43">
        <f t="shared" si="40"/>
        <v>2</v>
      </c>
      <c r="C52" s="43"/>
      <c r="D52" s="43"/>
      <c r="E52" s="44"/>
      <c r="F52" s="44"/>
      <c r="G52" s="44"/>
      <c r="H52" s="44"/>
      <c r="I52" s="44"/>
      <c r="J52" s="67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Y52" s="42">
        <f t="shared" si="2"/>
        <v>0</v>
      </c>
      <c r="AZ52" s="42" t="str">
        <f t="shared" si="0"/>
        <v>属性100171_2</v>
      </c>
      <c r="BA52" s="42" t="e">
        <f t="shared" si="3"/>
        <v>#VALUE!</v>
      </c>
      <c r="BB52" s="42" t="str">
        <f ca="1">[1]!连接单元格(E52:I52,";")</f>
        <v/>
      </c>
      <c r="BD52" s="42" t="e">
        <f t="shared" si="4"/>
        <v>#VALUE!</v>
      </c>
      <c r="BE52" s="42" t="e">
        <f t="shared" si="1"/>
        <v>#VALUE!</v>
      </c>
    </row>
    <row r="53" spans="1:57" ht="45" customHeight="1" x14ac:dyDescent="0.3">
      <c r="A53" s="49">
        <v>100172</v>
      </c>
      <c r="B53" s="43">
        <f t="shared" si="40"/>
        <v>2</v>
      </c>
      <c r="C53" s="43"/>
      <c r="D53" s="43"/>
      <c r="E53" s="44"/>
      <c r="F53" s="44"/>
      <c r="G53" s="44"/>
      <c r="H53" s="44"/>
      <c r="I53" s="44"/>
      <c r="J53" s="67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Y53" s="42">
        <f t="shared" si="2"/>
        <v>0</v>
      </c>
      <c r="AZ53" s="42" t="str">
        <f t="shared" si="0"/>
        <v>属性100172_2</v>
      </c>
      <c r="BA53" s="42" t="e">
        <f t="shared" si="3"/>
        <v>#VALUE!</v>
      </c>
      <c r="BB53" s="42" t="str">
        <f ca="1">[1]!连接单元格(E53:I53,";")</f>
        <v/>
      </c>
      <c r="BD53" s="42" t="e">
        <f t="shared" si="4"/>
        <v>#VALUE!</v>
      </c>
      <c r="BE53" s="42" t="e">
        <f t="shared" si="1"/>
        <v>#VALUE!</v>
      </c>
    </row>
    <row r="54" spans="1:57" ht="45" customHeight="1" x14ac:dyDescent="0.3">
      <c r="A54" s="49">
        <v>100173</v>
      </c>
      <c r="B54" s="43">
        <f t="shared" si="40"/>
        <v>2</v>
      </c>
      <c r="C54" s="43"/>
      <c r="D54" s="43"/>
      <c r="E54" s="44"/>
      <c r="F54" s="44"/>
      <c r="G54" s="44"/>
      <c r="H54" s="44"/>
      <c r="I54" s="44"/>
      <c r="J54" s="67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Y54" s="42">
        <f t="shared" si="2"/>
        <v>0</v>
      </c>
      <c r="AZ54" s="42" t="str">
        <f t="shared" si="0"/>
        <v>属性100173_2</v>
      </c>
      <c r="BA54" s="42" t="e">
        <f t="shared" si="3"/>
        <v>#VALUE!</v>
      </c>
      <c r="BB54" s="42" t="str">
        <f ca="1">[1]!连接单元格(E54:I54,";")</f>
        <v/>
      </c>
      <c r="BD54" s="42" t="e">
        <f t="shared" si="4"/>
        <v>#VALUE!</v>
      </c>
      <c r="BE54" s="42" t="e">
        <f t="shared" si="1"/>
        <v>#VALUE!</v>
      </c>
    </row>
    <row r="55" spans="1:57" ht="45" customHeight="1" x14ac:dyDescent="0.3">
      <c r="A55" s="53">
        <v>100181</v>
      </c>
      <c r="B55" s="43">
        <f t="shared" si="40"/>
        <v>2</v>
      </c>
      <c r="C55" s="43"/>
      <c r="D55" s="43"/>
      <c r="E55" s="44"/>
      <c r="F55" s="44"/>
      <c r="G55" s="44"/>
      <c r="H55" s="44"/>
      <c r="I55" s="44"/>
      <c r="J55" s="67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Y55" s="42">
        <f t="shared" si="2"/>
        <v>0</v>
      </c>
      <c r="AZ55" s="42" t="str">
        <f t="shared" si="0"/>
        <v>属性100181_2</v>
      </c>
      <c r="BA55" s="42" t="e">
        <f t="shared" si="3"/>
        <v>#VALUE!</v>
      </c>
      <c r="BB55" s="42" t="str">
        <f ca="1">[1]!连接单元格(E55:I55,";")</f>
        <v/>
      </c>
      <c r="BD55" s="42" t="e">
        <f t="shared" si="4"/>
        <v>#VALUE!</v>
      </c>
      <c r="BE55" s="42" t="e">
        <f t="shared" si="1"/>
        <v>#VALUE!</v>
      </c>
    </row>
    <row r="56" spans="1:57" ht="45" customHeight="1" x14ac:dyDescent="0.3">
      <c r="A56" s="49">
        <v>100182</v>
      </c>
      <c r="B56" s="43">
        <f t="shared" si="40"/>
        <v>2</v>
      </c>
      <c r="C56" s="43"/>
      <c r="D56" s="43"/>
      <c r="E56" s="44"/>
      <c r="F56" s="44"/>
      <c r="G56" s="44"/>
      <c r="H56" s="44"/>
      <c r="I56" s="44"/>
      <c r="J56" s="67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Y56" s="42">
        <f t="shared" si="2"/>
        <v>0</v>
      </c>
      <c r="AZ56" s="42" t="str">
        <f t="shared" si="0"/>
        <v>属性100182_2</v>
      </c>
      <c r="BA56" s="42" t="e">
        <f t="shared" si="3"/>
        <v>#VALUE!</v>
      </c>
      <c r="BB56" s="42" t="str">
        <f ca="1">[1]!连接单元格(E56:I56,";")</f>
        <v/>
      </c>
      <c r="BD56" s="42" t="e">
        <f t="shared" si="4"/>
        <v>#VALUE!</v>
      </c>
      <c r="BE56" s="42" t="e">
        <f t="shared" si="1"/>
        <v>#VALUE!</v>
      </c>
    </row>
    <row r="57" spans="1:57" ht="45" customHeight="1" x14ac:dyDescent="0.3">
      <c r="A57" s="49">
        <v>100183</v>
      </c>
      <c r="B57" s="43">
        <f t="shared" si="40"/>
        <v>2</v>
      </c>
      <c r="C57" s="43"/>
      <c r="D57" s="43"/>
      <c r="E57" s="44"/>
      <c r="F57" s="44"/>
      <c r="G57" s="44"/>
      <c r="H57" s="44"/>
      <c r="I57" s="44"/>
      <c r="J57" s="67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Y57" s="42">
        <f t="shared" si="2"/>
        <v>0</v>
      </c>
      <c r="AZ57" s="42" t="str">
        <f t="shared" si="0"/>
        <v>属性100183_2</v>
      </c>
      <c r="BA57" s="42" t="e">
        <f t="shared" si="3"/>
        <v>#VALUE!</v>
      </c>
      <c r="BB57" s="42" t="str">
        <f ca="1">[1]!连接单元格(E57:I57,";")</f>
        <v/>
      </c>
      <c r="BD57" s="42" t="e">
        <f t="shared" si="4"/>
        <v>#VALUE!</v>
      </c>
      <c r="BE57" s="42" t="e">
        <f t="shared" si="1"/>
        <v>#VALUE!</v>
      </c>
    </row>
    <row r="58" spans="1:57" ht="45" customHeight="1" x14ac:dyDescent="0.3">
      <c r="A58" s="52">
        <v>100191</v>
      </c>
      <c r="B58" s="43">
        <f t="shared" si="40"/>
        <v>2</v>
      </c>
      <c r="C58" s="43"/>
      <c r="D58" s="43"/>
      <c r="E58" s="44"/>
      <c r="F58" s="44"/>
      <c r="G58" s="44"/>
      <c r="H58" s="44"/>
      <c r="I58" s="44"/>
      <c r="J58" s="67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Y58" s="42">
        <f t="shared" si="2"/>
        <v>0</v>
      </c>
      <c r="AZ58" s="42" t="str">
        <f t="shared" si="0"/>
        <v>属性100191_2</v>
      </c>
      <c r="BA58" s="42" t="e">
        <f t="shared" si="3"/>
        <v>#VALUE!</v>
      </c>
      <c r="BB58" s="42" t="str">
        <f ca="1">[1]!连接单元格(E58:I58,";")</f>
        <v/>
      </c>
      <c r="BD58" s="42" t="e">
        <f t="shared" si="4"/>
        <v>#VALUE!</v>
      </c>
      <c r="BE58" s="42" t="e">
        <f t="shared" si="1"/>
        <v>#VALUE!</v>
      </c>
    </row>
    <row r="59" spans="1:57" ht="45" customHeight="1" x14ac:dyDescent="0.3">
      <c r="A59" s="49">
        <v>100192</v>
      </c>
      <c r="B59" s="43">
        <f t="shared" si="40"/>
        <v>2</v>
      </c>
      <c r="C59" s="43"/>
      <c r="D59" s="43"/>
      <c r="E59" s="44"/>
      <c r="F59" s="44"/>
      <c r="G59" s="44"/>
      <c r="H59" s="44"/>
      <c r="I59" s="44"/>
      <c r="J59" s="67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Y59" s="42">
        <f t="shared" si="2"/>
        <v>0</v>
      </c>
      <c r="AZ59" s="42" t="str">
        <f t="shared" si="0"/>
        <v>属性100192_2</v>
      </c>
      <c r="BA59" s="42" t="e">
        <f t="shared" si="3"/>
        <v>#VALUE!</v>
      </c>
      <c r="BB59" s="42" t="str">
        <f ca="1">[1]!连接单元格(E59:I59,";")</f>
        <v/>
      </c>
      <c r="BD59" s="42" t="e">
        <f t="shared" si="4"/>
        <v>#VALUE!</v>
      </c>
      <c r="BE59" s="42" t="e">
        <f t="shared" si="1"/>
        <v>#VALUE!</v>
      </c>
    </row>
    <row r="60" spans="1:57" ht="45" customHeight="1" x14ac:dyDescent="0.3">
      <c r="A60" s="49">
        <v>100193</v>
      </c>
      <c r="B60" s="43">
        <f t="shared" si="40"/>
        <v>2</v>
      </c>
      <c r="C60" s="43"/>
      <c r="D60" s="43"/>
      <c r="E60" s="44"/>
      <c r="F60" s="44"/>
      <c r="G60" s="44"/>
      <c r="H60" s="44"/>
      <c r="I60" s="44"/>
      <c r="J60" s="67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Y60" s="42">
        <f t="shared" si="2"/>
        <v>0</v>
      </c>
      <c r="AZ60" s="42" t="str">
        <f t="shared" si="0"/>
        <v>属性100193_2</v>
      </c>
      <c r="BA60" s="42" t="e">
        <f t="shared" si="3"/>
        <v>#VALUE!</v>
      </c>
      <c r="BB60" s="42" t="str">
        <f ca="1">[1]!连接单元格(E60:I60,";")</f>
        <v/>
      </c>
      <c r="BD60" s="42" t="e">
        <f t="shared" si="4"/>
        <v>#VALUE!</v>
      </c>
      <c r="BE60" s="42" t="e">
        <f t="shared" si="1"/>
        <v>#VALUE!</v>
      </c>
    </row>
    <row r="61" spans="1:57" ht="45" customHeight="1" x14ac:dyDescent="0.3">
      <c r="A61" s="52">
        <v>100201</v>
      </c>
      <c r="B61" s="43">
        <f t="shared" si="40"/>
        <v>2</v>
      </c>
      <c r="C61" s="43"/>
      <c r="D61" s="43"/>
      <c r="E61" s="44"/>
      <c r="F61" s="44"/>
      <c r="G61" s="44"/>
      <c r="H61" s="44"/>
      <c r="I61" s="44"/>
      <c r="J61" s="67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Y61" s="42">
        <f t="shared" si="2"/>
        <v>0</v>
      </c>
      <c r="AZ61" s="42" t="str">
        <f t="shared" si="0"/>
        <v>属性100201_2</v>
      </c>
      <c r="BA61" s="42" t="e">
        <f t="shared" si="3"/>
        <v>#VALUE!</v>
      </c>
      <c r="BB61" s="42" t="str">
        <f ca="1">[1]!连接单元格(E61:I61,";")</f>
        <v/>
      </c>
      <c r="BD61" s="42" t="e">
        <f t="shared" si="4"/>
        <v>#VALUE!</v>
      </c>
      <c r="BE61" s="42" t="e">
        <f t="shared" si="1"/>
        <v>#VALUE!</v>
      </c>
    </row>
    <row r="62" spans="1:57" ht="45" customHeight="1" x14ac:dyDescent="0.3">
      <c r="A62" s="49">
        <v>100202</v>
      </c>
      <c r="B62" s="43">
        <f t="shared" si="40"/>
        <v>2</v>
      </c>
      <c r="C62" s="43"/>
      <c r="D62" s="43"/>
      <c r="E62" s="44"/>
      <c r="F62" s="44"/>
      <c r="G62" s="44"/>
      <c r="H62" s="44"/>
      <c r="I62" s="44"/>
      <c r="J62" s="67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Y62" s="42">
        <f t="shared" si="2"/>
        <v>0</v>
      </c>
      <c r="AZ62" s="42" t="str">
        <f t="shared" si="0"/>
        <v>属性100202_2</v>
      </c>
      <c r="BA62" s="42" t="e">
        <f t="shared" si="3"/>
        <v>#VALUE!</v>
      </c>
      <c r="BB62" s="42" t="str">
        <f ca="1">[1]!连接单元格(E62:I62,";")</f>
        <v/>
      </c>
      <c r="BD62" s="42" t="e">
        <f t="shared" si="4"/>
        <v>#VALUE!</v>
      </c>
      <c r="BE62" s="42" t="e">
        <f t="shared" si="1"/>
        <v>#VALUE!</v>
      </c>
    </row>
    <row r="63" spans="1:57" ht="45" customHeight="1" x14ac:dyDescent="0.3">
      <c r="A63" s="49">
        <v>100203</v>
      </c>
      <c r="B63" s="43">
        <f t="shared" si="40"/>
        <v>2</v>
      </c>
      <c r="C63" s="43"/>
      <c r="D63" s="43"/>
      <c r="E63" s="44"/>
      <c r="F63" s="44"/>
      <c r="G63" s="44"/>
      <c r="H63" s="44"/>
      <c r="I63" s="44"/>
      <c r="J63" s="67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Y63" s="42">
        <f t="shared" si="2"/>
        <v>0</v>
      </c>
      <c r="AZ63" s="42" t="str">
        <f t="shared" si="0"/>
        <v>属性100203_2</v>
      </c>
      <c r="BA63" s="42" t="e">
        <f t="shared" si="3"/>
        <v>#VALUE!</v>
      </c>
      <c r="BB63" s="42" t="str">
        <f ca="1">[1]!连接单元格(E63:I63,";")</f>
        <v/>
      </c>
      <c r="BD63" s="42" t="e">
        <f t="shared" si="4"/>
        <v>#VALUE!</v>
      </c>
      <c r="BE63" s="42" t="e">
        <f t="shared" si="1"/>
        <v>#VALUE!</v>
      </c>
    </row>
    <row r="64" spans="1:57" ht="45" customHeight="1" x14ac:dyDescent="0.3">
      <c r="A64" s="52">
        <v>100211</v>
      </c>
      <c r="B64" s="43">
        <f t="shared" si="40"/>
        <v>2</v>
      </c>
      <c r="C64" s="43"/>
      <c r="D64" s="43"/>
      <c r="E64" s="44"/>
      <c r="F64" s="44"/>
      <c r="G64" s="44"/>
      <c r="H64" s="44"/>
      <c r="I64" s="44"/>
      <c r="J64" s="67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Y64" s="42">
        <f t="shared" si="2"/>
        <v>0</v>
      </c>
      <c r="AZ64" s="42" t="str">
        <f t="shared" si="0"/>
        <v>属性100211_2</v>
      </c>
      <c r="BA64" s="42" t="e">
        <f t="shared" si="3"/>
        <v>#VALUE!</v>
      </c>
      <c r="BB64" s="42" t="str">
        <f ca="1">[1]!连接单元格(E64:I64,";")</f>
        <v/>
      </c>
      <c r="BD64" s="42" t="e">
        <f t="shared" si="4"/>
        <v>#VALUE!</v>
      </c>
      <c r="BE64" s="42" t="e">
        <f t="shared" si="1"/>
        <v>#VALUE!</v>
      </c>
    </row>
    <row r="65" spans="1:57" ht="45" customHeight="1" x14ac:dyDescent="0.3">
      <c r="A65" s="49">
        <v>100212</v>
      </c>
      <c r="B65" s="43">
        <f t="shared" si="40"/>
        <v>2</v>
      </c>
      <c r="C65" s="43"/>
      <c r="D65" s="43"/>
      <c r="E65" s="44"/>
      <c r="F65" s="44"/>
      <c r="G65" s="44"/>
      <c r="H65" s="44"/>
      <c r="I65" s="44"/>
      <c r="J65" s="67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Y65" s="42">
        <f t="shared" si="2"/>
        <v>0</v>
      </c>
      <c r="AZ65" s="42" t="str">
        <f t="shared" si="0"/>
        <v>属性100212_2</v>
      </c>
      <c r="BA65" s="42" t="e">
        <f t="shared" si="3"/>
        <v>#VALUE!</v>
      </c>
      <c r="BB65" s="42" t="str">
        <f ca="1">[1]!连接单元格(E65:I65,";")</f>
        <v/>
      </c>
      <c r="BD65" s="42" t="e">
        <f t="shared" si="4"/>
        <v>#VALUE!</v>
      </c>
      <c r="BE65" s="42" t="e">
        <f t="shared" si="1"/>
        <v>#VALUE!</v>
      </c>
    </row>
    <row r="66" spans="1:57" ht="45" customHeight="1" x14ac:dyDescent="0.3">
      <c r="A66" s="49">
        <v>100213</v>
      </c>
      <c r="B66" s="43">
        <f t="shared" si="40"/>
        <v>2</v>
      </c>
      <c r="C66" s="43"/>
      <c r="D66" s="43"/>
      <c r="E66" s="44"/>
      <c r="F66" s="44"/>
      <c r="G66" s="44"/>
      <c r="H66" s="44"/>
      <c r="I66" s="44"/>
      <c r="J66" s="67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Y66" s="42">
        <f t="shared" si="2"/>
        <v>0</v>
      </c>
      <c r="AZ66" s="42" t="str">
        <f t="shared" si="0"/>
        <v>属性100213_2</v>
      </c>
      <c r="BA66" s="42" t="e">
        <f t="shared" si="3"/>
        <v>#VALUE!</v>
      </c>
      <c r="BB66" s="42" t="str">
        <f ca="1">[1]!连接单元格(E66:I66,";")</f>
        <v/>
      </c>
      <c r="BD66" s="42" t="e">
        <f t="shared" si="4"/>
        <v>#VALUE!</v>
      </c>
      <c r="BE66" s="42" t="e">
        <f t="shared" si="1"/>
        <v>#VALUE!</v>
      </c>
    </row>
    <row r="67" spans="1:57" ht="45" customHeight="1" x14ac:dyDescent="0.3">
      <c r="A67" s="49">
        <v>100221</v>
      </c>
      <c r="B67" s="43">
        <f t="shared" si="40"/>
        <v>2</v>
      </c>
      <c r="C67" s="43"/>
      <c r="D67" s="43"/>
      <c r="E67" s="44"/>
      <c r="F67" s="44"/>
      <c r="G67" s="44"/>
      <c r="H67" s="44"/>
      <c r="I67" s="44"/>
      <c r="J67" s="67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Y67" s="42">
        <f t="shared" si="2"/>
        <v>0</v>
      </c>
      <c r="AZ67" s="42" t="str">
        <f t="shared" si="0"/>
        <v>属性100221_2</v>
      </c>
      <c r="BA67" s="42" t="e">
        <f t="shared" si="3"/>
        <v>#VALUE!</v>
      </c>
      <c r="BB67" s="42" t="str">
        <f ca="1">[1]!连接单元格(E67:I67,";")</f>
        <v/>
      </c>
      <c r="BD67" s="42" t="e">
        <f t="shared" si="4"/>
        <v>#VALUE!</v>
      </c>
      <c r="BE67" s="42" t="e">
        <f t="shared" si="1"/>
        <v>#VALUE!</v>
      </c>
    </row>
    <row r="68" spans="1:57" ht="45" customHeight="1" x14ac:dyDescent="0.3">
      <c r="A68" s="49">
        <v>100222</v>
      </c>
      <c r="B68" s="43">
        <f t="shared" si="40"/>
        <v>2</v>
      </c>
      <c r="C68" s="43"/>
      <c r="D68" s="43"/>
      <c r="E68" s="44"/>
      <c r="F68" s="44"/>
      <c r="G68" s="44"/>
      <c r="H68" s="44"/>
      <c r="I68" s="44"/>
      <c r="J68" s="67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Y68" s="42">
        <f t="shared" si="2"/>
        <v>0</v>
      </c>
      <c r="AZ68" s="42" t="str">
        <f t="shared" ref="AZ68:AZ78" si="41">"属性" &amp; A68 &amp; "_" &amp;B68</f>
        <v>属性100222_2</v>
      </c>
      <c r="BA68" s="42" t="e">
        <f t="shared" si="3"/>
        <v>#VALUE!</v>
      </c>
      <c r="BB68" s="42" t="str">
        <f ca="1">[1]!连接单元格(E68:I68,";")</f>
        <v/>
      </c>
      <c r="BD68" s="42" t="e">
        <f t="shared" si="4"/>
        <v>#VALUE!</v>
      </c>
      <c r="BE68" s="42" t="e">
        <f t="shared" ref="BE68:BE78" si="42">"&lt;color=#FFCB00FF&gt;" &amp; 描述生成($K$3:$AW$3,K68:AW68)&amp;"&lt;/color&gt;;&lt;color=#FFEFAEFF &gt;"&amp; 描述生成($E$3:$I$3,E68:I68) &amp; "&lt;/color&gt;"</f>
        <v>#VALUE!</v>
      </c>
    </row>
    <row r="69" spans="1:57" ht="45" customHeight="1" x14ac:dyDescent="0.3">
      <c r="A69" s="49">
        <v>100223</v>
      </c>
      <c r="B69" s="43">
        <f t="shared" si="40"/>
        <v>2</v>
      </c>
      <c r="C69" s="43"/>
      <c r="D69" s="43"/>
      <c r="E69" s="44"/>
      <c r="F69" s="44"/>
      <c r="G69" s="44"/>
      <c r="H69" s="44"/>
      <c r="I69" s="44"/>
      <c r="J69" s="67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Y69" s="42">
        <f t="shared" ref="AY69:AY78" si="43">COUNTA(E69:AW69)</f>
        <v>0</v>
      </c>
      <c r="AZ69" s="42" t="str">
        <f t="shared" si="41"/>
        <v>属性100223_2</v>
      </c>
      <c r="BA69" s="42" t="e">
        <f t="shared" ref="BA69:BA78" si="44">属性统计($E$2:$J$2,E69:J69)</f>
        <v>#VALUE!</v>
      </c>
      <c r="BB69" s="42" t="str">
        <f ca="1">[1]!连接单元格(E69:I69,";")</f>
        <v/>
      </c>
      <c r="BD69" s="42" t="e">
        <f t="shared" ref="BD69:BD78" si="45">技能点统计($K$2:$AW$2,K69:AW69)</f>
        <v>#VALUE!</v>
      </c>
      <c r="BE69" s="42" t="e">
        <f t="shared" si="42"/>
        <v>#VALUE!</v>
      </c>
    </row>
    <row r="70" spans="1:57" ht="45" customHeight="1" x14ac:dyDescent="0.3">
      <c r="A70" s="49">
        <v>100231</v>
      </c>
      <c r="B70" s="43">
        <f t="shared" si="40"/>
        <v>2</v>
      </c>
      <c r="C70" s="43"/>
      <c r="D70" s="43"/>
      <c r="E70" s="44"/>
      <c r="F70" s="44"/>
      <c r="G70" s="44"/>
      <c r="H70" s="44"/>
      <c r="I70" s="44"/>
      <c r="J70" s="67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Y70" s="42">
        <f t="shared" si="43"/>
        <v>0</v>
      </c>
      <c r="AZ70" s="42" t="str">
        <f t="shared" si="41"/>
        <v>属性100231_2</v>
      </c>
      <c r="BA70" s="42" t="e">
        <f t="shared" si="44"/>
        <v>#VALUE!</v>
      </c>
      <c r="BB70" s="42" t="str">
        <f ca="1">[1]!连接单元格(E70:I70,";")</f>
        <v/>
      </c>
      <c r="BD70" s="42" t="e">
        <f t="shared" si="45"/>
        <v>#VALUE!</v>
      </c>
      <c r="BE70" s="42" t="e">
        <f t="shared" si="42"/>
        <v>#VALUE!</v>
      </c>
    </row>
    <row r="71" spans="1:57" ht="45" customHeight="1" x14ac:dyDescent="0.3">
      <c r="A71" s="49">
        <v>100232</v>
      </c>
      <c r="B71" s="43">
        <f t="shared" si="40"/>
        <v>2</v>
      </c>
      <c r="C71" s="43"/>
      <c r="D71" s="43"/>
      <c r="E71" s="44"/>
      <c r="F71" s="44"/>
      <c r="G71" s="44"/>
      <c r="H71" s="44"/>
      <c r="I71" s="44"/>
      <c r="J71" s="67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Y71" s="42">
        <f t="shared" si="43"/>
        <v>0</v>
      </c>
      <c r="AZ71" s="42" t="str">
        <f t="shared" si="41"/>
        <v>属性100232_2</v>
      </c>
      <c r="BA71" s="42" t="e">
        <f t="shared" si="44"/>
        <v>#VALUE!</v>
      </c>
      <c r="BB71" s="42" t="str">
        <f ca="1">[1]!连接单元格(E71:I71,";")</f>
        <v/>
      </c>
      <c r="BD71" s="42" t="e">
        <f t="shared" si="45"/>
        <v>#VALUE!</v>
      </c>
      <c r="BE71" s="42" t="e">
        <f t="shared" si="42"/>
        <v>#VALUE!</v>
      </c>
    </row>
    <row r="72" spans="1:57" ht="45" customHeight="1" x14ac:dyDescent="0.3">
      <c r="A72" s="49">
        <v>100233</v>
      </c>
      <c r="B72" s="43">
        <f t="shared" ref="B72:B78" si="46">B69</f>
        <v>2</v>
      </c>
      <c r="C72" s="43"/>
      <c r="D72" s="43"/>
      <c r="E72" s="44"/>
      <c r="F72" s="44"/>
      <c r="G72" s="44"/>
      <c r="H72" s="44"/>
      <c r="I72" s="44"/>
      <c r="J72" s="67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Y72" s="42">
        <f t="shared" si="43"/>
        <v>0</v>
      </c>
      <c r="AZ72" s="42" t="str">
        <f t="shared" si="41"/>
        <v>属性100233_2</v>
      </c>
      <c r="BA72" s="42" t="e">
        <f t="shared" si="44"/>
        <v>#VALUE!</v>
      </c>
      <c r="BB72" s="42" t="str">
        <f ca="1">[1]!连接单元格(E72:I72,";")</f>
        <v/>
      </c>
      <c r="BD72" s="42" t="e">
        <f t="shared" si="45"/>
        <v>#VALUE!</v>
      </c>
      <c r="BE72" s="42" t="e">
        <f t="shared" si="42"/>
        <v>#VALUE!</v>
      </c>
    </row>
    <row r="73" spans="1:57" ht="45" customHeight="1" x14ac:dyDescent="0.3">
      <c r="A73" s="50">
        <v>100241</v>
      </c>
      <c r="B73" s="43">
        <f t="shared" si="46"/>
        <v>2</v>
      </c>
      <c r="C73" s="43"/>
      <c r="D73" s="43"/>
      <c r="E73" s="44"/>
      <c r="F73" s="44"/>
      <c r="G73" s="44"/>
      <c r="H73" s="44"/>
      <c r="I73" s="44"/>
      <c r="J73" s="67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Y73" s="42">
        <f t="shared" si="43"/>
        <v>0</v>
      </c>
      <c r="AZ73" s="42" t="str">
        <f t="shared" si="41"/>
        <v>属性100241_2</v>
      </c>
      <c r="BA73" s="42" t="e">
        <f t="shared" si="44"/>
        <v>#VALUE!</v>
      </c>
      <c r="BB73" s="42" t="str">
        <f ca="1">[1]!连接单元格(E73:I73,";")</f>
        <v/>
      </c>
      <c r="BD73" s="42" t="e">
        <f t="shared" si="45"/>
        <v>#VALUE!</v>
      </c>
      <c r="BE73" s="42" t="e">
        <f t="shared" si="42"/>
        <v>#VALUE!</v>
      </c>
    </row>
    <row r="74" spans="1:57" ht="45" customHeight="1" x14ac:dyDescent="0.3">
      <c r="A74" s="49">
        <v>100242</v>
      </c>
      <c r="B74" s="43">
        <f t="shared" si="46"/>
        <v>2</v>
      </c>
      <c r="C74" s="43"/>
      <c r="D74" s="43"/>
      <c r="E74" s="44"/>
      <c r="F74" s="44"/>
      <c r="G74" s="44"/>
      <c r="H74" s="44"/>
      <c r="I74" s="44"/>
      <c r="J74" s="67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Y74" s="42">
        <f t="shared" si="43"/>
        <v>0</v>
      </c>
      <c r="AZ74" s="42" t="str">
        <f t="shared" si="41"/>
        <v>属性100242_2</v>
      </c>
      <c r="BA74" s="42" t="e">
        <f t="shared" si="44"/>
        <v>#VALUE!</v>
      </c>
      <c r="BB74" s="42" t="str">
        <f ca="1">[1]!连接单元格(E74:I74,";")</f>
        <v/>
      </c>
      <c r="BD74" s="42" t="e">
        <f t="shared" si="45"/>
        <v>#VALUE!</v>
      </c>
      <c r="BE74" s="42" t="e">
        <f t="shared" si="42"/>
        <v>#VALUE!</v>
      </c>
    </row>
    <row r="75" spans="1:57" ht="45" customHeight="1" x14ac:dyDescent="0.3">
      <c r="A75" s="49">
        <v>100243</v>
      </c>
      <c r="B75" s="43">
        <f t="shared" si="46"/>
        <v>2</v>
      </c>
      <c r="C75" s="43"/>
      <c r="D75" s="43"/>
      <c r="E75" s="44"/>
      <c r="F75" s="44"/>
      <c r="G75" s="44"/>
      <c r="H75" s="44"/>
      <c r="I75" s="44"/>
      <c r="J75" s="67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Y75" s="42">
        <f t="shared" si="43"/>
        <v>0</v>
      </c>
      <c r="AZ75" s="42" t="str">
        <f t="shared" si="41"/>
        <v>属性100243_2</v>
      </c>
      <c r="BA75" s="42" t="e">
        <f t="shared" si="44"/>
        <v>#VALUE!</v>
      </c>
      <c r="BB75" s="42" t="str">
        <f ca="1">[1]!连接单元格(E75:I75,";")</f>
        <v/>
      </c>
      <c r="BD75" s="42" t="e">
        <f t="shared" si="45"/>
        <v>#VALUE!</v>
      </c>
      <c r="BE75" s="42" t="e">
        <f t="shared" si="42"/>
        <v>#VALUE!</v>
      </c>
    </row>
    <row r="76" spans="1:57" ht="45" customHeight="1" x14ac:dyDescent="0.3">
      <c r="A76" s="53">
        <v>100251</v>
      </c>
      <c r="B76" s="43">
        <f t="shared" si="46"/>
        <v>2</v>
      </c>
      <c r="C76" s="43"/>
      <c r="D76" s="43"/>
      <c r="E76" s="44"/>
      <c r="F76" s="44"/>
      <c r="G76" s="44"/>
      <c r="H76" s="44"/>
      <c r="I76" s="44"/>
      <c r="J76" s="67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Y76" s="42">
        <f t="shared" si="43"/>
        <v>0</v>
      </c>
      <c r="AZ76" s="42" t="str">
        <f t="shared" si="41"/>
        <v>属性100251_2</v>
      </c>
      <c r="BA76" s="42" t="e">
        <f t="shared" si="44"/>
        <v>#VALUE!</v>
      </c>
      <c r="BB76" s="42" t="str">
        <f ca="1">[1]!连接单元格(E76:I76,";")</f>
        <v/>
      </c>
      <c r="BD76" s="42" t="e">
        <f t="shared" si="45"/>
        <v>#VALUE!</v>
      </c>
      <c r="BE76" s="42" t="e">
        <f t="shared" si="42"/>
        <v>#VALUE!</v>
      </c>
    </row>
    <row r="77" spans="1:57" ht="45" customHeight="1" x14ac:dyDescent="0.3">
      <c r="A77" s="49">
        <v>100252</v>
      </c>
      <c r="B77" s="43">
        <f t="shared" si="46"/>
        <v>2</v>
      </c>
      <c r="C77" s="43"/>
      <c r="D77" s="43"/>
      <c r="E77" s="44"/>
      <c r="F77" s="44"/>
      <c r="G77" s="44"/>
      <c r="H77" s="44"/>
      <c r="I77" s="44"/>
      <c r="J77" s="67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Y77" s="42">
        <f t="shared" si="43"/>
        <v>0</v>
      </c>
      <c r="AZ77" s="42" t="str">
        <f t="shared" si="41"/>
        <v>属性100252_2</v>
      </c>
      <c r="BA77" s="42" t="e">
        <f t="shared" si="44"/>
        <v>#VALUE!</v>
      </c>
      <c r="BB77" s="42" t="str">
        <f ca="1">[1]!连接单元格(E77:I77,";")</f>
        <v/>
      </c>
      <c r="BD77" s="42" t="e">
        <f t="shared" si="45"/>
        <v>#VALUE!</v>
      </c>
      <c r="BE77" s="42" t="e">
        <f t="shared" si="42"/>
        <v>#VALUE!</v>
      </c>
    </row>
    <row r="78" spans="1:57" ht="45" customHeight="1" x14ac:dyDescent="0.3">
      <c r="A78" s="49">
        <v>100253</v>
      </c>
      <c r="B78" s="43">
        <f t="shared" si="46"/>
        <v>2</v>
      </c>
      <c r="C78" s="43"/>
      <c r="D78" s="43"/>
      <c r="E78" s="44"/>
      <c r="F78" s="44"/>
      <c r="G78" s="44"/>
      <c r="H78" s="44"/>
      <c r="I78" s="44"/>
      <c r="J78" s="67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Y78" s="42">
        <f t="shared" si="43"/>
        <v>0</v>
      </c>
      <c r="AZ78" s="42" t="str">
        <f t="shared" si="41"/>
        <v>属性100253_2</v>
      </c>
      <c r="BA78" s="42" t="e">
        <f t="shared" si="44"/>
        <v>#VALUE!</v>
      </c>
      <c r="BB78" s="42" t="str">
        <f ca="1">[1]!连接单元格(E78:I78,";")</f>
        <v/>
      </c>
      <c r="BD78" s="42" t="e">
        <f t="shared" si="45"/>
        <v>#VALUE!</v>
      </c>
      <c r="BE78" s="42" t="e">
        <f t="shared" si="42"/>
        <v>#VALUE!</v>
      </c>
    </row>
  </sheetData>
  <mergeCells count="2">
    <mergeCell ref="E1:I1"/>
    <mergeCell ref="K1:AW1"/>
  </mergeCells>
  <phoneticPr fontId="1" type="noConversion"/>
  <conditionalFormatting sqref="A4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芯片盘</vt:lpstr>
      <vt:lpstr>芯片</vt:lpstr>
      <vt:lpstr>枚举</vt:lpstr>
      <vt:lpstr>形状描述</vt:lpstr>
      <vt:lpstr>芯片盘矩阵</vt:lpstr>
      <vt:lpstr>芯片数值计算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2017-12-29T09:48:52Z</dcterms:modified>
</cp:coreProperties>
</file>