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625" codeName="{EAAD5824-E589-9196-6FC8-2F1B51211585}"/>
  <workbookPr filterPrivacy="1" codeName="ThisWorkbook1" defaultThemeVersion="124226"/>
  <bookViews>
    <workbookView xWindow="240" yWindow="105" windowWidth="14805" windowHeight="8010"/>
  </bookViews>
  <sheets>
    <sheet name="芯片" sheetId="1" r:id="rId1"/>
    <sheet name="芯片盘" sheetId="4" r:id="rId2"/>
    <sheet name="枚举" sheetId="5" r:id="rId3"/>
    <sheet name="形状描述" sheetId="3" r:id="rId4"/>
    <sheet name="芯片盘矩阵" sheetId="6" r:id="rId5"/>
  </sheets>
  <functionGroups builtInGroupCount="19"/>
  <externalReferences>
    <externalReference r:id="rId6"/>
  </externalReferences>
  <definedNames>
    <definedName name="_xlnm._FilterDatabase" localSheetId="1" hidden="1">芯片盘!$A$3:$C$6</definedName>
    <definedName name="ChipGrid" comment="芯片盘特殊区域。在芯片盘上，它用来描述每一个芯片格子；在芯片上，用来描述它对特殊格子的需求">枚举!$A$1:$A$8</definedName>
    <definedName name="使用形状">芯片!$P:$P</definedName>
  </definedNames>
  <calcPr calcId="162913"/>
  <fileRecoveryPr autoRecover="0"/>
</workbook>
</file>

<file path=xl/calcChain.xml><?xml version="1.0" encoding="utf-8"?>
<calcChain xmlns="http://schemas.openxmlformats.org/spreadsheetml/2006/main">
  <c r="S76" i="1" l="1"/>
  <c r="S73" i="1"/>
  <c r="S70" i="1"/>
  <c r="S67" i="1"/>
  <c r="S64" i="1"/>
  <c r="S61" i="1"/>
  <c r="S58" i="1"/>
  <c r="Q57" i="1"/>
  <c r="Q60" i="1" s="1"/>
  <c r="Q56" i="1"/>
  <c r="R56" i="1" s="1"/>
  <c r="S55" i="1"/>
  <c r="Q55" i="1"/>
  <c r="Q58" i="1" s="1"/>
  <c r="R53" i="1"/>
  <c r="R54" i="1" s="1"/>
  <c r="S52" i="1"/>
  <c r="S53" i="1" s="1"/>
  <c r="S49" i="1"/>
  <c r="S46" i="1"/>
  <c r="S43" i="1"/>
  <c r="S40" i="1"/>
  <c r="S37" i="1"/>
  <c r="S34" i="1"/>
  <c r="Q33" i="1"/>
  <c r="Q36" i="1" s="1"/>
  <c r="Q32" i="1"/>
  <c r="Q35" i="1" s="1"/>
  <c r="S31" i="1"/>
  <c r="Q31" i="1"/>
  <c r="Q34" i="1" s="1"/>
  <c r="R29" i="1"/>
  <c r="R30" i="1" s="1"/>
  <c r="S28" i="1"/>
  <c r="S29" i="1" s="1"/>
  <c r="E7" i="1"/>
  <c r="E10" i="1" s="1"/>
  <c r="E13" i="1" s="1"/>
  <c r="E16" i="1" s="1"/>
  <c r="E19" i="1" s="1"/>
  <c r="E22" i="1" s="1"/>
  <c r="E25" i="1" s="1"/>
  <c r="E28" i="1" s="1"/>
  <c r="E31" i="1" s="1"/>
  <c r="E34" i="1" s="1"/>
  <c r="E37" i="1" s="1"/>
  <c r="E40" i="1" s="1"/>
  <c r="E43" i="1" s="1"/>
  <c r="E46" i="1" s="1"/>
  <c r="E49" i="1" s="1"/>
  <c r="E52" i="1" s="1"/>
  <c r="E55" i="1" s="1"/>
  <c r="E58" i="1" s="1"/>
  <c r="E61" i="1" s="1"/>
  <c r="E64" i="1" s="1"/>
  <c r="E67" i="1" s="1"/>
  <c r="E70" i="1" s="1"/>
  <c r="E73" i="1" s="1"/>
  <c r="E76" i="1" s="1"/>
  <c r="A8" i="1"/>
  <c r="A11" i="1" s="1"/>
  <c r="A14" i="1" s="1"/>
  <c r="A17" i="1" s="1"/>
  <c r="A20" i="1" s="1"/>
  <c r="A23" i="1" s="1"/>
  <c r="A26" i="1" s="1"/>
  <c r="A29" i="1" s="1"/>
  <c r="A32" i="1" s="1"/>
  <c r="A35" i="1" s="1"/>
  <c r="A38" i="1" s="1"/>
  <c r="A41" i="1" s="1"/>
  <c r="A44" i="1" s="1"/>
  <c r="A47" i="1" s="1"/>
  <c r="A50" i="1" s="1"/>
  <c r="A53" i="1" s="1"/>
  <c r="A56" i="1" s="1"/>
  <c r="A59" i="1" s="1"/>
  <c r="A62" i="1" s="1"/>
  <c r="A65" i="1" s="1"/>
  <c r="A68" i="1" s="1"/>
  <c r="A71" i="1" s="1"/>
  <c r="A74" i="1" s="1"/>
  <c r="A77" i="1" s="1"/>
  <c r="A9" i="1"/>
  <c r="A12" i="1" s="1"/>
  <c r="A15" i="1" s="1"/>
  <c r="A18" i="1" s="1"/>
  <c r="A21" i="1" s="1"/>
  <c r="A24" i="1" s="1"/>
  <c r="A27" i="1" s="1"/>
  <c r="A30" i="1" s="1"/>
  <c r="A33" i="1" s="1"/>
  <c r="A36" i="1" s="1"/>
  <c r="A39" i="1" s="1"/>
  <c r="A42" i="1" s="1"/>
  <c r="A45" i="1" s="1"/>
  <c r="A48" i="1" s="1"/>
  <c r="A51" i="1" s="1"/>
  <c r="A54" i="1" s="1"/>
  <c r="A57" i="1" s="1"/>
  <c r="A60" i="1" s="1"/>
  <c r="A63" i="1" s="1"/>
  <c r="A66" i="1" s="1"/>
  <c r="A69" i="1" s="1"/>
  <c r="A72" i="1" s="1"/>
  <c r="A75" i="1" s="1"/>
  <c r="A78" i="1" s="1"/>
  <c r="A7" i="1"/>
  <c r="A10" i="1" s="1"/>
  <c r="A13" i="1" s="1"/>
  <c r="A16" i="1" s="1"/>
  <c r="A19" i="1" s="1"/>
  <c r="A22" i="1" s="1"/>
  <c r="A25" i="1" s="1"/>
  <c r="A28" i="1" s="1"/>
  <c r="A31" i="1" s="1"/>
  <c r="A34" i="1" s="1"/>
  <c r="A37" i="1" s="1"/>
  <c r="A40" i="1" s="1"/>
  <c r="A43" i="1" s="1"/>
  <c r="A46" i="1" s="1"/>
  <c r="A49" i="1" s="1"/>
  <c r="A52" i="1" s="1"/>
  <c r="A55" i="1" s="1"/>
  <c r="A58" i="1" s="1"/>
  <c r="A61" i="1" s="1"/>
  <c r="A64" i="1" s="1"/>
  <c r="A67" i="1" s="1"/>
  <c r="A70" i="1" s="1"/>
  <c r="A73" i="1" s="1"/>
  <c r="A76" i="1" s="1"/>
  <c r="D76" i="1"/>
  <c r="D59" i="1"/>
  <c r="D65" i="1"/>
  <c r="D64" i="1"/>
  <c r="D70" i="1"/>
  <c r="D49" i="1"/>
  <c r="D44" i="1"/>
  <c r="D55" i="1"/>
  <c r="D54" i="1"/>
  <c r="D45" i="1"/>
  <c r="D27" i="1"/>
  <c r="D30" i="1"/>
  <c r="D33" i="1"/>
  <c r="D32" i="1"/>
  <c r="D62" i="1"/>
  <c r="D60" i="1"/>
  <c r="D56" i="1"/>
  <c r="D46" i="1"/>
  <c r="D23" i="1"/>
  <c r="D28" i="1"/>
  <c r="D77" i="1"/>
  <c r="D71" i="1"/>
  <c r="D73" i="1"/>
  <c r="D72" i="1"/>
  <c r="D63" i="1"/>
  <c r="D58" i="1"/>
  <c r="D52" i="1"/>
  <c r="D50" i="1"/>
  <c r="D47" i="1"/>
  <c r="D42" i="1"/>
  <c r="D35" i="1"/>
  <c r="D38" i="1"/>
  <c r="D22" i="1"/>
  <c r="D25" i="1"/>
  <c r="D24" i="1"/>
  <c r="D78" i="1"/>
  <c r="D67" i="1"/>
  <c r="D69" i="1"/>
  <c r="D68" i="1"/>
  <c r="D74" i="1"/>
  <c r="D57" i="1"/>
  <c r="D48" i="1"/>
  <c r="D41" i="1"/>
  <c r="D43" i="1"/>
  <c r="D53" i="1"/>
  <c r="D31" i="1"/>
  <c r="D34" i="1"/>
  <c r="D37" i="1"/>
  <c r="D36" i="1"/>
  <c r="D75" i="1"/>
  <c r="D61" i="1"/>
  <c r="D66" i="1"/>
  <c r="D40" i="1"/>
  <c r="D51" i="1"/>
  <c r="D39" i="1"/>
  <c r="D26" i="1"/>
  <c r="D29" i="1"/>
  <c r="R32" i="1" l="1"/>
  <c r="R33" i="1" s="1"/>
  <c r="S32" i="1"/>
  <c r="S33" i="1" s="1"/>
  <c r="T33" i="1" s="1"/>
  <c r="R57" i="1"/>
  <c r="T52" i="1"/>
  <c r="S56" i="1"/>
  <c r="S57" i="1" s="1"/>
  <c r="T57" i="1" s="1"/>
  <c r="Q63" i="1"/>
  <c r="T53" i="1"/>
  <c r="S54" i="1"/>
  <c r="T54" i="1" s="1"/>
  <c r="T58" i="1"/>
  <c r="Q61" i="1"/>
  <c r="S62" i="1" s="1"/>
  <c r="S59" i="1"/>
  <c r="T55" i="1"/>
  <c r="Q59" i="1"/>
  <c r="R35" i="1"/>
  <c r="R36" i="1" s="1"/>
  <c r="Q38" i="1"/>
  <c r="Q37" i="1"/>
  <c r="S38" i="1" s="1"/>
  <c r="T34" i="1"/>
  <c r="Q39" i="1"/>
  <c r="T29" i="1"/>
  <c r="S30" i="1"/>
  <c r="T30" i="1" s="1"/>
  <c r="S35" i="1"/>
  <c r="S36" i="1" s="1"/>
  <c r="T36" i="1" s="1"/>
  <c r="T28" i="1"/>
  <c r="T31" i="1"/>
  <c r="S39" i="1" l="1"/>
  <c r="S60" i="1"/>
  <c r="T60" i="1" s="1"/>
  <c r="T32" i="1"/>
  <c r="T56" i="1"/>
  <c r="Q62" i="1"/>
  <c r="S63" i="1" s="1"/>
  <c r="T63" i="1" s="1"/>
  <c r="R59" i="1"/>
  <c r="R60" i="1" s="1"/>
  <c r="T59" i="1"/>
  <c r="T61" i="1"/>
  <c r="Q64" i="1"/>
  <c r="Q66" i="1"/>
  <c r="T35" i="1"/>
  <c r="Q42" i="1"/>
  <c r="T39" i="1"/>
  <c r="T37" i="1"/>
  <c r="Q40" i="1"/>
  <c r="Q41" i="1"/>
  <c r="T38" i="1"/>
  <c r="R38" i="1"/>
  <c r="R39" i="1" s="1"/>
  <c r="Q69" i="1" l="1"/>
  <c r="Q67" i="1"/>
  <c r="T64" i="1"/>
  <c r="S65" i="1"/>
  <c r="Q65" i="1"/>
  <c r="T62" i="1"/>
  <c r="R62" i="1"/>
  <c r="R63" i="1" s="1"/>
  <c r="Q44" i="1"/>
  <c r="R41" i="1"/>
  <c r="R42" i="1" s="1"/>
  <c r="Q45" i="1"/>
  <c r="Q43" i="1"/>
  <c r="T40" i="1"/>
  <c r="S41" i="1"/>
  <c r="S42" i="1" s="1"/>
  <c r="T42" i="1" s="1"/>
  <c r="S66" i="1" l="1"/>
  <c r="T66" i="1" s="1"/>
  <c r="Q70" i="1"/>
  <c r="T67" i="1"/>
  <c r="S68" i="1"/>
  <c r="Q68" i="1"/>
  <c r="T65" i="1"/>
  <c r="R65" i="1"/>
  <c r="R66" i="1" s="1"/>
  <c r="Q72" i="1"/>
  <c r="Q46" i="1"/>
  <c r="T43" i="1"/>
  <c r="S44" i="1"/>
  <c r="S45" i="1" s="1"/>
  <c r="T45" i="1" s="1"/>
  <c r="T41" i="1"/>
  <c r="Q48" i="1"/>
  <c r="R44" i="1"/>
  <c r="R45" i="1" s="1"/>
  <c r="Q47" i="1"/>
  <c r="Q8" i="1"/>
  <c r="Q11" i="1" s="1"/>
  <c r="Q14" i="1" s="1"/>
  <c r="Q17" i="1" s="1"/>
  <c r="Q20" i="1" s="1"/>
  <c r="Q23" i="1" s="1"/>
  <c r="Q26" i="1" s="1"/>
  <c r="Q9" i="1"/>
  <c r="Q12" i="1" s="1"/>
  <c r="Q15" i="1" s="1"/>
  <c r="Q18" i="1" s="1"/>
  <c r="Q21" i="1" s="1"/>
  <c r="Q24" i="1" s="1"/>
  <c r="Q27" i="1" s="1"/>
  <c r="Q7" i="1"/>
  <c r="Q10" i="1" s="1"/>
  <c r="Q13" i="1" s="1"/>
  <c r="Q16" i="1" s="1"/>
  <c r="Q19" i="1" s="1"/>
  <c r="Q22" i="1" s="1"/>
  <c r="Q25" i="1" s="1"/>
  <c r="Q75" i="1" l="1"/>
  <c r="Q78" i="1" s="1"/>
  <c r="S69" i="1"/>
  <c r="T69" i="1" s="1"/>
  <c r="R68" i="1"/>
  <c r="R69" i="1" s="1"/>
  <c r="Q71" i="1"/>
  <c r="T68" i="1"/>
  <c r="Q73" i="1"/>
  <c r="Q76" i="1" s="1"/>
  <c r="T70" i="1"/>
  <c r="S71" i="1"/>
  <c r="S72" i="1" s="1"/>
  <c r="T72" i="1" s="1"/>
  <c r="R47" i="1"/>
  <c r="R48" i="1" s="1"/>
  <c r="Q50" i="1"/>
  <c r="T44" i="1"/>
  <c r="Q51" i="1"/>
  <c r="Q49" i="1"/>
  <c r="T46" i="1"/>
  <c r="S47" i="1"/>
  <c r="S48" i="1" s="1"/>
  <c r="T48" i="1" s="1"/>
  <c r="T76" i="1" l="1"/>
  <c r="S77" i="1"/>
  <c r="T73" i="1"/>
  <c r="S74" i="1"/>
  <c r="R71" i="1"/>
  <c r="R72" i="1" s="1"/>
  <c r="Q74" i="1"/>
  <c r="Q77" i="1" s="1"/>
  <c r="T71" i="1"/>
  <c r="T47" i="1"/>
  <c r="R50" i="1"/>
  <c r="R51" i="1" s="1"/>
  <c r="T49" i="1"/>
  <c r="S50" i="1"/>
  <c r="S51" i="1" s="1"/>
  <c r="T51" i="1" s="1"/>
  <c r="AB6" i="1"/>
  <c r="D8" i="1"/>
  <c r="D14" i="1"/>
  <c r="D13" i="1"/>
  <c r="D11" i="1"/>
  <c r="D10" i="1"/>
  <c r="D16" i="1"/>
  <c r="D12" i="1"/>
  <c r="D9" i="1"/>
  <c r="D21" i="1"/>
  <c r="D17" i="1"/>
  <c r="D15" i="1"/>
  <c r="D7" i="1"/>
  <c r="D18" i="1"/>
  <c r="D4" i="1"/>
  <c r="D6" i="1"/>
  <c r="D20" i="1"/>
  <c r="D19" i="1"/>
  <c r="D5" i="1"/>
  <c r="T50" i="1" l="1"/>
  <c r="S78" i="1"/>
  <c r="T78" i="1" s="1"/>
  <c r="T77" i="1"/>
  <c r="R77" i="1"/>
  <c r="R78" i="1" s="1"/>
  <c r="T74" i="1"/>
  <c r="R74" i="1"/>
  <c r="R75" i="1" s="1"/>
  <c r="S75" i="1"/>
  <c r="T75" i="1" s="1"/>
  <c r="H57" i="3"/>
  <c r="N57" i="3" s="1"/>
  <c r="T57" i="3" s="1"/>
  <c r="H51" i="3"/>
  <c r="N51" i="3" s="1"/>
  <c r="T51" i="3" s="1"/>
  <c r="T33" i="3"/>
  <c r="N33" i="3"/>
  <c r="H33" i="3"/>
  <c r="H3" i="3"/>
  <c r="N3" i="3"/>
  <c r="E5" i="1" l="1"/>
  <c r="R26" i="1"/>
  <c r="R27" i="1" s="1"/>
  <c r="S25" i="1"/>
  <c r="R23" i="1"/>
  <c r="R24" i="1" s="1"/>
  <c r="S22" i="1"/>
  <c r="R20" i="1"/>
  <c r="R21" i="1" s="1"/>
  <c r="S19" i="1"/>
  <c r="R17" i="1"/>
  <c r="R18" i="1" s="1"/>
  <c r="S16" i="1"/>
  <c r="R14" i="1"/>
  <c r="R15" i="1" s="1"/>
  <c r="S13" i="1"/>
  <c r="R11" i="1"/>
  <c r="R12" i="1" s="1"/>
  <c r="S10" i="1"/>
  <c r="R8" i="1"/>
  <c r="R9" i="1" s="1"/>
  <c r="S7" i="1"/>
  <c r="E6" i="1" l="1"/>
  <c r="F5" i="1" s="1"/>
  <c r="E8" i="1"/>
  <c r="S11" i="1"/>
  <c r="S17" i="1"/>
  <c r="S23" i="1"/>
  <c r="H40" i="1"/>
  <c r="H50" i="1"/>
  <c r="H60" i="1"/>
  <c r="H70" i="1"/>
  <c r="S8" i="1"/>
  <c r="S14" i="1"/>
  <c r="S20" i="1"/>
  <c r="S26" i="1"/>
  <c r="H45" i="1"/>
  <c r="H55" i="1"/>
  <c r="H65" i="1"/>
  <c r="H75" i="1"/>
  <c r="AX6" i="6"/>
  <c r="AX3" i="6"/>
  <c r="AX4" i="6"/>
  <c r="AX5" i="6"/>
  <c r="AX7" i="6"/>
  <c r="E11" i="1" l="1"/>
  <c r="F7" i="1"/>
  <c r="F6" i="1"/>
  <c r="E9" i="1"/>
  <c r="F8" i="1" s="1"/>
  <c r="H46" i="1"/>
  <c r="S27" i="1"/>
  <c r="S15" i="1"/>
  <c r="H71" i="1"/>
  <c r="H56" i="1"/>
  <c r="H41" i="1"/>
  <c r="S24" i="1"/>
  <c r="S12" i="1"/>
  <c r="H66" i="1"/>
  <c r="S21" i="1"/>
  <c r="S9" i="1"/>
  <c r="H51" i="1"/>
  <c r="H76" i="1"/>
  <c r="H61" i="1"/>
  <c r="S18" i="1"/>
  <c r="E12" i="1" l="1"/>
  <c r="F9" i="1"/>
  <c r="E14" i="1"/>
  <c r="F10" i="1"/>
  <c r="F11" i="1"/>
  <c r="H77" i="1"/>
  <c r="H72" i="1"/>
  <c r="H47" i="1"/>
  <c r="H57" i="1"/>
  <c r="H52" i="1"/>
  <c r="H42" i="1"/>
  <c r="H62" i="1"/>
  <c r="H67" i="1"/>
  <c r="E17" i="1" l="1"/>
  <c r="F13" i="1"/>
  <c r="E15" i="1"/>
  <c r="F14" i="1" s="1"/>
  <c r="F12" i="1"/>
  <c r="H58" i="1"/>
  <c r="H78" i="1"/>
  <c r="H53" i="1"/>
  <c r="H73" i="1"/>
  <c r="H63" i="1"/>
  <c r="H68" i="1"/>
  <c r="H43" i="1"/>
  <c r="H48" i="1"/>
  <c r="F4" i="1"/>
  <c r="E18" i="1" l="1"/>
  <c r="F17" i="1" s="1"/>
  <c r="F15" i="1"/>
  <c r="E20" i="1"/>
  <c r="F16" i="1"/>
  <c r="H59" i="1"/>
  <c r="H49" i="1"/>
  <c r="H44" i="1"/>
  <c r="H74" i="1"/>
  <c r="H54" i="1"/>
  <c r="H69" i="1"/>
  <c r="H64" i="1"/>
  <c r="T27" i="3"/>
  <c r="N27" i="3"/>
  <c r="H27" i="3"/>
  <c r="T21" i="3"/>
  <c r="N21" i="3"/>
  <c r="H21" i="3"/>
  <c r="Z15" i="3"/>
  <c r="T15" i="3"/>
  <c r="N15" i="3"/>
  <c r="H15" i="3"/>
  <c r="T9" i="3"/>
  <c r="N9" i="3"/>
  <c r="H9" i="3"/>
  <c r="Z3" i="3"/>
  <c r="T3" i="3"/>
  <c r="E23" i="1" l="1"/>
  <c r="F19" i="1"/>
  <c r="E21" i="1"/>
  <c r="F20" i="1" s="1"/>
  <c r="F18" i="1"/>
  <c r="T10" i="1"/>
  <c r="H10" i="1" s="1"/>
  <c r="S4" i="1"/>
  <c r="R5" i="1"/>
  <c r="R6" i="1" s="1"/>
  <c r="E24" i="1" l="1"/>
  <c r="F21" i="1"/>
  <c r="E26" i="1"/>
  <c r="F22" i="1"/>
  <c r="F23" i="1"/>
  <c r="T11" i="1"/>
  <c r="H11" i="1" s="1"/>
  <c r="T4" i="1"/>
  <c r="H4" i="1" s="1"/>
  <c r="S5" i="1"/>
  <c r="H31" i="1"/>
  <c r="H30" i="1"/>
  <c r="T23" i="1"/>
  <c r="H23" i="1" s="1"/>
  <c r="T22" i="1"/>
  <c r="H22" i="1" s="1"/>
  <c r="T17" i="1"/>
  <c r="H17" i="1" s="1"/>
  <c r="T16" i="1"/>
  <c r="H16" i="1" s="1"/>
  <c r="E29" i="1" l="1"/>
  <c r="F25" i="1"/>
  <c r="E27" i="1"/>
  <c r="F26" i="1" s="1"/>
  <c r="F24" i="1"/>
  <c r="S6" i="1"/>
  <c r="T5" i="1"/>
  <c r="H5" i="1" s="1"/>
  <c r="H32" i="1"/>
  <c r="T24" i="1"/>
  <c r="H24" i="1" s="1"/>
  <c r="T18" i="1"/>
  <c r="H18" i="1" s="1"/>
  <c r="E30" i="1" l="1"/>
  <c r="F29" i="1" s="1"/>
  <c r="F27" i="1"/>
  <c r="E32" i="1"/>
  <c r="F28" i="1"/>
  <c r="T12" i="1"/>
  <c r="H12" i="1" s="1"/>
  <c r="T6" i="1"/>
  <c r="H6" i="1" s="1"/>
  <c r="H33" i="1"/>
  <c r="E35" i="1" l="1"/>
  <c r="F31" i="1"/>
  <c r="E33" i="1"/>
  <c r="F32" i="1" s="1"/>
  <c r="F30" i="1"/>
  <c r="H34" i="1"/>
  <c r="E36" i="1" l="1"/>
  <c r="F33" i="1"/>
  <c r="E38" i="1"/>
  <c r="F34" i="1"/>
  <c r="F35" i="1"/>
  <c r="H35" i="1"/>
  <c r="T25" i="1"/>
  <c r="H25" i="1" s="1"/>
  <c r="T19" i="1"/>
  <c r="H19" i="1" s="1"/>
  <c r="T13" i="1"/>
  <c r="H13" i="1" s="1"/>
  <c r="E41" i="1" l="1"/>
  <c r="F37" i="1"/>
  <c r="E39" i="1"/>
  <c r="F38" i="1" s="1"/>
  <c r="F36" i="1"/>
  <c r="T7" i="1"/>
  <c r="H7" i="1" s="1"/>
  <c r="H36" i="1"/>
  <c r="T26" i="1"/>
  <c r="H26" i="1" s="1"/>
  <c r="T20" i="1"/>
  <c r="H20" i="1" s="1"/>
  <c r="T14" i="1"/>
  <c r="H14" i="1" s="1"/>
  <c r="E42" i="1" l="1"/>
  <c r="F41" i="1" s="1"/>
  <c r="F39" i="1"/>
  <c r="E44" i="1"/>
  <c r="F40" i="1"/>
  <c r="T8" i="1"/>
  <c r="H8" i="1" s="1"/>
  <c r="H37" i="1"/>
  <c r="T27" i="1"/>
  <c r="H27" i="1" s="1"/>
  <c r="T21" i="1"/>
  <c r="H21" i="1" s="1"/>
  <c r="T15" i="1"/>
  <c r="H15" i="1" s="1"/>
  <c r="E47" i="1" l="1"/>
  <c r="F43" i="1"/>
  <c r="E45" i="1"/>
  <c r="F44" i="1" s="1"/>
  <c r="F42" i="1"/>
  <c r="T9" i="1"/>
  <c r="H9" i="1" s="1"/>
  <c r="H39" i="1"/>
  <c r="H38" i="1"/>
  <c r="H29" i="1"/>
  <c r="H28" i="1"/>
  <c r="E48" i="1" l="1"/>
  <c r="F45" i="1"/>
  <c r="E50" i="1"/>
  <c r="F46" i="1"/>
  <c r="F47" i="1"/>
  <c r="E53" i="1" l="1"/>
  <c r="F49" i="1"/>
  <c r="E51" i="1"/>
  <c r="F50" i="1" s="1"/>
  <c r="F48" i="1"/>
  <c r="E54" i="1" l="1"/>
  <c r="F53" i="1" s="1"/>
  <c r="F51" i="1"/>
  <c r="E56" i="1"/>
  <c r="F52" i="1"/>
  <c r="E59" i="1" l="1"/>
  <c r="F55" i="1"/>
  <c r="E57" i="1"/>
  <c r="F56" i="1" s="1"/>
  <c r="F54" i="1"/>
  <c r="E60" i="1" l="1"/>
  <c r="F57" i="1"/>
  <c r="E62" i="1"/>
  <c r="F58" i="1"/>
  <c r="F59" i="1"/>
  <c r="E65" i="1" l="1"/>
  <c r="F61" i="1"/>
  <c r="E63" i="1"/>
  <c r="F62" i="1" s="1"/>
  <c r="F60" i="1"/>
  <c r="E66" i="1" l="1"/>
  <c r="F65" i="1" s="1"/>
  <c r="F63" i="1"/>
  <c r="E68" i="1"/>
  <c r="F64" i="1"/>
  <c r="E71" i="1" l="1"/>
  <c r="F67" i="1"/>
  <c r="E69" i="1"/>
  <c r="F68" i="1" s="1"/>
  <c r="F66" i="1"/>
  <c r="E72" i="1" l="1"/>
  <c r="F71" i="1" s="1"/>
  <c r="F69" i="1"/>
  <c r="E74" i="1"/>
  <c r="F70" i="1"/>
  <c r="E77" i="1" l="1"/>
  <c r="F73" i="1"/>
  <c r="E75" i="1"/>
  <c r="F74" i="1" s="1"/>
  <c r="F72" i="1"/>
  <c r="E78" i="1" l="1"/>
  <c r="F78" i="1" s="1"/>
  <c r="F75" i="1"/>
  <c r="F76" i="1"/>
  <c r="F77" i="1" l="1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芯片盘特殊区域。在芯片盘上，它用来描述每一个芯片格子；在芯片上，用来描述它对特殊格子的需求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在芯片盘上，表示该位置为空（为空就不能放任何东西）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在芯片盘上，表示一个普通的格子；在芯片上，表示这个芯片没有特殊区域需求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在芯片盘上，表示一个蓝色特殊格子；在芯片上，表示这个芯片必须在蓝色格子上才能激活技能点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在芯片盘上，表示一个红色特殊格子；在芯片上，表示这个芯片必须在红色格子上才能激活技能点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在芯片盘上，表示一个黄色特殊格子；在芯片上，表示这个芯片必须在黄色格子上才能激活技能点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在芯片盘上，表示是一个电源</t>
        </r>
      </text>
    </comment>
  </commentList>
</comments>
</file>

<file path=xl/sharedStrings.xml><?xml version="1.0" encoding="utf-8"?>
<sst xmlns="http://schemas.openxmlformats.org/spreadsheetml/2006/main" count="697" uniqueCount="386">
  <si>
    <t>id</t>
    <phoneticPr fontId="1" type="noConversion"/>
  </si>
  <si>
    <t>string</t>
    <phoneticPr fontId="1" type="noConversion"/>
  </si>
  <si>
    <t>name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</si>
  <si>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</si>
  <si>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</si>
  <si>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</si>
  <si>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</si>
  <si>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</si>
  <si>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</si>
  <si>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</si>
  <si>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</si>
  <si>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</si>
  <si>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</si>
  <si>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</si>
  <si>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</si>
  <si>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string</t>
    <phoneticPr fontId="1" type="noConversion"/>
  </si>
  <si>
    <t>color</t>
    <phoneticPr fontId="1" type="noConversion"/>
  </si>
  <si>
    <t>ulong</t>
    <phoneticPr fontId="1" type="noConversion"/>
  </si>
  <si>
    <t>upgradeId</t>
    <phoneticPr fontId="1" type="noConversion"/>
  </si>
  <si>
    <t>名字</t>
    <phoneticPr fontId="1" type="noConversion"/>
  </si>
  <si>
    <t>skillPoint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</si>
  <si>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</si>
  <si>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</si>
  <si>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</si>
  <si>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</si>
  <si>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</si>
  <si>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</si>
  <si>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</si>
  <si>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</si>
  <si>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</si>
  <si>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</si>
  <si>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</si>
  <si>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</si>
  <si>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</si>
  <si>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</si>
  <si>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</si>
  <si>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</si>
  <si>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</si>
  <si>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</si>
  <si>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</si>
  <si>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</si>
  <si>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</si>
  <si>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</si>
  <si>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</si>
  <si>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</si>
  <si>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</si>
  <si>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颜色</t>
    <phoneticPr fontId="1" type="noConversion"/>
  </si>
  <si>
    <t>int[~]</t>
    <phoneticPr fontId="1" type="noConversion"/>
  </si>
  <si>
    <t>id</t>
    <phoneticPr fontId="1" type="noConversion"/>
  </si>
  <si>
    <t>None</t>
  </si>
  <si>
    <t>None</t>
    <phoneticPr fontId="1" type="noConversion"/>
  </si>
  <si>
    <t>Normal</t>
  </si>
  <si>
    <t>Normal</t>
    <phoneticPr fontId="1" type="noConversion"/>
  </si>
  <si>
    <t>Blue</t>
  </si>
  <si>
    <t>Blue</t>
    <phoneticPr fontId="1" type="noConversion"/>
  </si>
  <si>
    <t>Red</t>
  </si>
  <si>
    <t>Red</t>
    <phoneticPr fontId="1" type="noConversion"/>
  </si>
  <si>
    <t>Yellow</t>
  </si>
  <si>
    <t>Yellow</t>
    <phoneticPr fontId="1" type="noConversion"/>
  </si>
  <si>
    <t>ChipGrid</t>
    <phoneticPr fontId="1" type="noConversion"/>
  </si>
  <si>
    <t>chipGridReqire</t>
    <phoneticPr fontId="1" type="noConversion"/>
  </si>
  <si>
    <t>ChipGrid</t>
    <phoneticPr fontId="1" type="noConversion"/>
  </si>
  <si>
    <t>Power</t>
    <phoneticPr fontId="1" type="noConversion"/>
  </si>
  <si>
    <t>int[;]</t>
    <phoneticPr fontId="1" type="noConversion"/>
  </si>
  <si>
    <t>ChipGrid[|;]</t>
    <phoneticPr fontId="1" type="noConversion"/>
  </si>
  <si>
    <t>chipGridMatrix</t>
    <phoneticPr fontId="1" type="noConversion"/>
  </si>
  <si>
    <t>power</t>
    <phoneticPr fontId="1" type="noConversion"/>
  </si>
  <si>
    <t>descrip</t>
    <phoneticPr fontId="1" type="noConversion"/>
  </si>
  <si>
    <t>mark</t>
    <phoneticPr fontId="1" type="noConversion"/>
  </si>
  <si>
    <t>图例</t>
    <phoneticPr fontId="1" type="noConversion"/>
  </si>
  <si>
    <t>row col</t>
    <phoneticPr fontId="1" type="noConversion"/>
  </si>
  <si>
    <t>Power</t>
    <phoneticPr fontId="1" type="noConversion"/>
  </si>
  <si>
    <t>不同角色，使用不同的芯片盘</t>
    <phoneticPr fontId="1" type="noConversion"/>
  </si>
  <si>
    <t>power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</si>
  <si>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芯片盘特殊区域。在芯片盘上，它用来描述每一个芯片格子；在芯片上，用来描述它对特殊格子的需求</t>
    </r>
    <phoneticPr fontId="1" type="noConversion"/>
  </si>
  <si>
    <r>
      <t>[1维]</t>
    </r>
    <r>
      <rPr>
        <sz val="11"/>
        <rFont val="微软雅黑"/>
        <family val="2"/>
        <charset val="134"/>
      </rPr>
      <t>在芯片盘上各电源的电量，它的count与芯片盘中电源的数量应该一致，否则请抛出异常</t>
    </r>
    <phoneticPr fontId="1" type="noConversion"/>
  </si>
  <si>
    <t>int[|:]</t>
    <phoneticPr fontId="1" type="noConversion"/>
  </si>
  <si>
    <t>♂枚举</t>
  </si>
  <si>
    <t>15;12;10;12</t>
    <phoneticPr fontId="1" type="noConversion"/>
  </si>
  <si>
    <t>Normal;Normal;Normal;Normal;Normal;Normal;Normal;Normal;Normal;Normal;Normal|Normal;Normal;Normal;Normal;Normal;Normal;Normal;Red;Red;Red;Normal|Normal;Normal;None;Normal;Power;Normal;Normal;Red;Red;Red;Normal|Normal;Normal;Normal;Normal;Normal;Normal;Normal;Normal;Normal;Normal;Normal|Red;Red;Red;Blue;Blue;Blue;Blue;Blue;Normal;Normal;Normal|Red;Red;Red;Blue;Blue;Blue;Blue;Blue;Normal;None;Normal|Red;Red;Red;Blue;None;Blue;Blue;Blue;Normal;None;Normal|Normal;Normal;Normal;Blue;Blue;Blue;Blue;Blue;Normal;Normal;Normal|Normal;Normal;Normal;Normal;Normal;Normal;Normal;Normal;Normal;Normal;Normal|Normal;Normal;Normal;Normal;Normal;Normal;Normal;Normal;Power;Normal;Normal|Normal;Normal;Normal;Normal;Normal;Normal;Normal;Normal;Normal;Normal;Normal|Normal;Normal;Power;Normal;Normal;Normal;Normal;Normal;Normal;Normal;Normal|Normal;Normal;Normal;Normal;Normal;Normal;Normal;Normal;Normal;Normal;Normal|Red;Red;Red;Normal;Normal;Normal;Normal;Normal;Normal;Normal;Normal|Red;Red;Red;Normal;Normal;Normal;Normal;Normal;Normal;Normal;Normal|Red;Red;Red;Normal;Normal;Normal;Normal;Normal;Normal;Normal;Normal|Red;Red;Red;Normal;Normal;Normal;Blue;Blue;Blue;Blue;Normal|Normal;Normal;Normal;Normal;None;Normal;Blue;Blue;Power;Blue;Normal|Normal;Normal;Normal;Blue;Blue;Blue;Blue;Blue;Blue;Blue;Normal|Normal;Normal;Normal;Blue;Blue;Blue;Blue;Blue;Blue;Blue;Normal|Normal;None;None;Normal;Blue;Blue;Blue;Blue;Blue;Blue;Normal|Normal;Normal;Normal;Normal;Blue;Blue;Blue;Blue;Blue;Blue;Normal|Normal;Normal;Normal;Normal;Normal;Normal;Normal;Normal;Normal;Normal;Normal</t>
    <phoneticPr fontId="1" type="noConversion"/>
  </si>
  <si>
    <t>propertyAddition</t>
    <phoneticPr fontId="1" type="noConversion"/>
  </si>
  <si>
    <t>名称</t>
    <phoneticPr fontId="1" type="noConversion"/>
  </si>
  <si>
    <t>芯片获得技能点特殊区域需求。当芯片该项不为Normal时，表示芯片必须放置在合适的地方，它被激活后才会增加技能点，增加属性（propertyAddition）不受此项影响。
芯片必须全部置于该类型的特殊区域才可以激活技能点。注意，如果是Normal，那么不论放置在任何位置（即便把它放在特殊区域），都是可以激活技能点的。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</si>
  <si>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形状描述。每个芯片一个3*3的表示形式，其中0代表空，1代表占位，2表示入口，3表示出口（芯片不一定有出口）</t>
    </r>
    <phoneticPr fontId="1" type="noConversion"/>
  </si>
  <si>
    <t>PropertyGainArg</t>
    <phoneticPr fontId="1" type="noConversion"/>
  </si>
  <si>
    <t>StuffCostArg</t>
  </si>
  <si>
    <t>stuffCost</t>
    <phoneticPr fontId="1" type="noConversion"/>
  </si>
  <si>
    <t>芯片ID</t>
    <phoneticPr fontId="1" type="noConversion"/>
  </si>
  <si>
    <t>等级</t>
    <phoneticPr fontId="1" type="noConversion"/>
  </si>
  <si>
    <t>升级后对应ID：两个ID相同的芯片可以进行合成以升级。这是升级后对应下一级芯片ID，如果为0，就表示不能升级了。升级后的芯片随机继承两个合成芯片的形状（随机选一个），升级得到的芯片能耗并不是从power里随机得到，而是：两芯片能耗平均+两芯片power差之和/4</t>
    <phoneticPr fontId="1" type="noConversion"/>
  </si>
  <si>
    <t>升级需要消耗的物资，为空表示不消耗。这是一个参数类</t>
    <phoneticPr fontId="1" type="noConversion"/>
  </si>
  <si>
    <t>属性加成：并不是所有芯片都有属性加成，它可以只提供技能点。这是一个表示属性表示类型，其增加的属性值可以为负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</si>
  <si>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能耗：芯片在产出的时候，随机一个能耗。2个元素，分别是下限与上限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</si>
  <si>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获得技能点：并不是所有芯片都会有技能点，多少芯片只加属性。每维度前一个元素是技能id，后一个是增加的技能点数（可以为负）</t>
    </r>
    <phoneticPr fontId="1" type="noConversion"/>
  </si>
  <si>
    <t>Normal;Normal;Normal;Normal;Normal;Normal;Normal;Yellow;Yellow;Yellow;Yellow|Normal;None;Normal;Normal;Normal;Normal;Normal;Yellow;Yellow;Yellow;Yellow|Normal;Normal;Normal;Normal;Normal;Normal;Normal;Yellow;Yellow;Yellow;Yellow|Normal;Normal;Power;Normal;Normal;None;Normal;Yellow;Yellow;Yellow;Yellow|Normal;Normal;Normal;Normal;Normal;Normal;Normal;Yellow;Yellow;Yellow;Yellow|Normal;Normal;Yellow;Yellow;Yellow;Yellow;Normal;Normal;Normal;Normal;Normal|Normal;Normal;Yellow;Yellow;Yellow;Yellow;Normal;Normal;Normal;Normal;Normal|Normal;Normal;Yellow;Yellow;Yellow;Yellow;Normal;Blue;Power;Blue;Blue|Normal;Normal;Normal;Normal;Normal;Normal;Normal;Blue;Blue;Blue;Blue|Normal;None;Normal;Normal;Normal;Normal;Normal;Blue;Blue;Blue;Blue|Normal;None;Normal;Normal;Normal;Normal;Normal;Blue;Blue;Blue;Blue|Normal;Normal;Normal;Power;Normal;Normal;Normal;Normal;Normal;Normal;Normal|Normal;Normal;Normal;Normal;Normal;Normal;Normal;Normal;Normal;Normal;Normal|Normal;Normal;Normal;Normal;Normal;Normal;Normal;Normal;Normal;Normal;Normal|Normal;Normal;Normal;Normal;Normal;Normal;Normal;None;Normal;Normal;Normal|Power;Normal;Normal;Normal;Normal;Normal;Normal;Normal;None;Normal;Normal|Normal;Normal;Normal;Normal;Normal;Normal;Normal;Normal;Normal;Normal;Normal|Normal;Normal;Normal;Yellow;Yellow;Yellow;Yellow;Yellow;Blue;Blue;Blue|Normal;Normal;Normal;Yellow;Yellow;Yellow;Yellow;Yellow;Blue;Blue;Blue|Normal;None;Normal;Yellow;Yellow;Yellow;Yellow;Yellow;Blue;Blue;Blue|Normal;Normal;Normal;Yellow;Yellow;Yellow;Yellow;Yellow;Normal;Normal;Normal|Normal;Normal;Normal;Normal;Normal;Normal;Normal;Normal;Normal;Normal;Normal|Normal;Normal;Normal;Normal;Normal;Normal;Normal;Normal;Normal;Normal;Normal</t>
    <phoneticPr fontId="1" type="noConversion"/>
  </si>
  <si>
    <t>Normal;Normal;Normal;Normal;Normal;Normal;Normal;Yellow;Yellow;Yellow;Yellow|Normal;Normal;None;Normal;Normal;Normal;Normal;Yellow;Yellow;Yellow;Yellow|Normal;Normal;Normal;Normal;Normal;Normal;Normal;Yellow;Yellow;Yellow;Yellow|Normal;Normal;Power;Normal;Normal;Normal;Normal;Yellow;Yellow;Yellow;Yellow|Normal;Red;Red;Red;Normal;None;Normal;Yellow;Yellow;Yellow;Yellow|Normal;Red;Red;Red;Normal;Normal;Normal;Normal;Normal;Normal;Normal|Normal;Red;Red;Red;Normal;Normal;Normal;Normal;Power;Normal;Normal|Normal;Red;Red;Red;Normal;Normal;Normal;Normal;None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Power;Normal;Normal;Normal;Normal;Normal|Normal;Normal;Normal;Normal;Normal;Normal;Normal;Red;Red;Red;Normal|Normal;Normal;Normal;Normal;Normal;Normal;Normal;Red;Red;Red;Normal|Normal;Normal;Red;Red;Red;Red;Red;Red;Red;Red;Normal|Normal;Normal;Red;Red;Red;Red;Red;Red;Red;Red;Normal|Normal;Normal;Red;Red;Red;Red;Red;Normal;None;Normal;Normal|Normal;Normal;Red;Red;Red;Power;Red;Normal;None;Normal;Normal|Normal;Normal;Normal;Normal;Normal;Normal;Normal;Normal;Normal;Normal;Normal|Normal;Normal;None;Normal;Normal;Normal;Normal;Normal;Normal;Normal;Normal|Normal;Normal;Normal;Normal;Normal;Normal;Normal;Normal;Normal;Normal;Normal</t>
    <phoneticPr fontId="1" type="noConversion"/>
  </si>
  <si>
    <t>15;8;8;15</t>
    <phoneticPr fontId="1" type="noConversion"/>
  </si>
  <si>
    <t>20;12;10;10</t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</si>
  <si>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</si>
  <si>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</si>
  <si>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</si>
  <si>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</si>
  <si>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</si>
  <si>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</si>
  <si>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</si>
  <si>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</si>
  <si>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</si>
  <si>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</si>
  <si>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</si>
  <si>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</si>
  <si>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</si>
  <si>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</si>
  <si>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</si>
  <si>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2;0;0;1;1;0;3;0;1|1;0;0;1;2;0;3;0;2|2;1;0;1;0;1;3;0;0|0;2;0;1;1;0;3;0;0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</si>
  <si>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</si>
  <si>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</si>
  <si>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</si>
  <si>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</si>
  <si>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</si>
  <si>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</si>
  <si>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</si>
  <si>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</si>
  <si>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</si>
  <si>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</si>
  <si>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</si>
  <si>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</si>
  <si>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</si>
  <si>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</si>
  <si>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</si>
  <si>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</si>
  <si>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</si>
  <si>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</si>
  <si>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ulong</t>
    <phoneticPr fontId="1" type="noConversion"/>
  </si>
  <si>
    <t>物资消费1</t>
  </si>
  <si>
    <t>string[;]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</si>
  <si>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描述：描述它增加的技能点与属性，这部分内容交由配置表来控制，不需要在游戏中去索引芯片关联的技能名字（不然还有点麻烦，中间要经过一次技能点配置表才能到技能），但是要支持富文本</t>
    </r>
    <phoneticPr fontId="1" type="noConversion"/>
  </si>
  <si>
    <t>属性1_1</t>
  </si>
  <si>
    <t>属性1_2</t>
  </si>
  <si>
    <t>属性1_3</t>
  </si>
  <si>
    <t>属性2_1</t>
  </si>
  <si>
    <t>属性2_2</t>
  </si>
  <si>
    <t>属性2_3</t>
  </si>
  <si>
    <t>属性3_1</t>
  </si>
  <si>
    <t>属性3_2</t>
  </si>
  <si>
    <t>属性3_3</t>
  </si>
  <si>
    <t>属性4_1</t>
  </si>
  <si>
    <t>属性4_2</t>
  </si>
  <si>
    <t>属性4_3</t>
  </si>
  <si>
    <t>属性5_1</t>
  </si>
  <si>
    <t>属性5_2</t>
  </si>
  <si>
    <t>属性5_3</t>
  </si>
  <si>
    <t>属性6_1</t>
  </si>
  <si>
    <t>属性6_2</t>
  </si>
  <si>
    <t>属性6_3</t>
  </si>
  <si>
    <t>属性7_1</t>
  </si>
  <si>
    <t>属性7_2</t>
  </si>
  <si>
    <t>属性7_3</t>
  </si>
  <si>
    <t>属性8_1</t>
  </si>
  <si>
    <t>属性8_2</t>
  </si>
  <si>
    <t>属性8_3</t>
  </si>
  <si>
    <t>属性9_1</t>
  </si>
  <si>
    <t>属性9_2</t>
  </si>
  <si>
    <t>属性9_3</t>
  </si>
  <si>
    <t>属性10_1</t>
  </si>
  <si>
    <t>属性10_2</t>
  </si>
  <si>
    <t>属性10_3</t>
  </si>
  <si>
    <t>属性11_1</t>
  </si>
  <si>
    <t>属性11_2</t>
  </si>
  <si>
    <t>属性11_3</t>
  </si>
  <si>
    <t>属性12_1</t>
  </si>
  <si>
    <t>属性12_2</t>
  </si>
  <si>
    <t>属性12_3</t>
  </si>
  <si>
    <t>属性13_1</t>
  </si>
  <si>
    <t>属性13_2</t>
  </si>
  <si>
    <t>属性13_3</t>
  </si>
  <si>
    <t>属性14_1</t>
  </si>
  <si>
    <t>属性14_2</t>
  </si>
  <si>
    <t>属性14_3</t>
  </si>
  <si>
    <t>属性15_1</t>
  </si>
  <si>
    <t>属性15_2</t>
  </si>
  <si>
    <t>属性15_3</t>
  </si>
  <si>
    <t>属性16_1</t>
  </si>
  <si>
    <t>属性16_2</t>
  </si>
  <si>
    <t>属性16_3</t>
  </si>
  <si>
    <t>属性17_1</t>
  </si>
  <si>
    <t>属性17_2</t>
  </si>
  <si>
    <t>属性17_3</t>
  </si>
  <si>
    <t>属性18_1</t>
  </si>
  <si>
    <t>属性18_2</t>
  </si>
  <si>
    <t>属性18_3</t>
  </si>
  <si>
    <t>属性19_1</t>
  </si>
  <si>
    <t>属性19_2</t>
  </si>
  <si>
    <t>属性19_3</t>
  </si>
  <si>
    <t>属性20_1</t>
  </si>
  <si>
    <t>属性20_2</t>
  </si>
  <si>
    <t>属性20_3</t>
  </si>
  <si>
    <t>属性21_1</t>
  </si>
  <si>
    <t>属性21_2</t>
  </si>
  <si>
    <t>属性21_3</t>
  </si>
  <si>
    <t>属性22_1</t>
  </si>
  <si>
    <t>属性22_2</t>
  </si>
  <si>
    <t>属性22_3</t>
  </si>
  <si>
    <t>属性23_1</t>
  </si>
  <si>
    <t>属性23_2</t>
  </si>
  <si>
    <t>属性23_3</t>
  </si>
  <si>
    <t>属性24_1</t>
  </si>
  <si>
    <t>属性24_2</t>
  </si>
  <si>
    <t>属性24_3</t>
  </si>
  <si>
    <t>属性25_1</t>
  </si>
  <si>
    <t>属性25_2</t>
  </si>
  <si>
    <t>属性25_3</t>
  </si>
  <si>
    <t>1001:5|1023:3|1026:3|1035:2</t>
  </si>
  <si>
    <t>1002:5|1022:3|1027:3|1036:2</t>
  </si>
  <si>
    <t>1006:5|1015:3|1025:3|1037:2</t>
  </si>
  <si>
    <t>1004:5|1022:3|1029:3|1038:2</t>
  </si>
  <si>
    <t>1007:5|1023:3|1032:3|1039:2</t>
  </si>
  <si>
    <t>1003:5|1020:2|1028:3|1040:2</t>
  </si>
  <si>
    <t>1014:5|1031:3|1036:2</t>
  </si>
  <si>
    <t>1016:4|1018:2|1029:2|1033:3</t>
  </si>
  <si>
    <t>1005:5|1012:3|1034:3|1038:2</t>
  </si>
  <si>
    <t>1009:3|1035:3|1039:2|1040:2</t>
  </si>
  <si>
    <t>1001:5|1008:3|1015:3|1036:2|1038:3</t>
  </si>
  <si>
    <t>1003:4|1007:4|1019:2|1037:2|1040:5</t>
  </si>
  <si>
    <t>1010:3|1018:2|1025:2|1031:2|1039:3</t>
  </si>
  <si>
    <t>1004:5|1013:2|1028:3|1032:2</t>
  </si>
  <si>
    <t>1002:5|1008:2|1017:2|1034:2|1037:3</t>
  </si>
  <si>
    <t>1005:4|1011:3|1018:2|1039:3|1040:2</t>
  </si>
  <si>
    <t>1006:5|1019:2|1031:3|1036:2|1038:2</t>
  </si>
  <si>
    <t>1008:3|1012:3|1020:2|1027:2|1028:3|1035:2</t>
  </si>
  <si>
    <t>1004:3|1005:3|1021:2|1029:2|1032:3</t>
  </si>
  <si>
    <t>1006:3|1007:5|1014:2|1035:3|1037:2</t>
  </si>
  <si>
    <t>1003:5|1020:3|1025:3|1026:3|1033:2</t>
  </si>
  <si>
    <t>1002:5|1017:3|1028:2|1030:3</t>
  </si>
  <si>
    <t>1004:3|1021:3|1030:3|1035:2</t>
  </si>
  <si>
    <t>1010:3|1011:5|1023:3|1031:3|1040:2</t>
  </si>
  <si>
    <t>1012:3|1013:3|1022:3|1036:2|1039:3</t>
  </si>
  <si>
    <t>芯片1_1</t>
  </si>
  <si>
    <t>芯片1_2</t>
  </si>
  <si>
    <t>芯片1_3</t>
  </si>
  <si>
    <t>芯片2_1</t>
  </si>
  <si>
    <t>芯片2_2</t>
  </si>
  <si>
    <t>芯片2_3</t>
  </si>
  <si>
    <t>芯片3_1</t>
  </si>
  <si>
    <t>芯片3_2</t>
  </si>
  <si>
    <t>芯片3_3</t>
  </si>
  <si>
    <t>芯片4_1</t>
  </si>
  <si>
    <t>芯片4_2</t>
  </si>
  <si>
    <t>芯片4_3</t>
  </si>
  <si>
    <t>芯片5_1</t>
  </si>
  <si>
    <t>芯片5_2</t>
  </si>
  <si>
    <t>芯片5_3</t>
  </si>
  <si>
    <t>芯片6_1</t>
  </si>
  <si>
    <t>芯片6_2</t>
  </si>
  <si>
    <t>芯片6_3</t>
  </si>
  <si>
    <t>芯片7_1</t>
  </si>
  <si>
    <t>芯片7_2</t>
  </si>
  <si>
    <t>芯片7_3</t>
  </si>
  <si>
    <t>芯片8_1</t>
  </si>
  <si>
    <t>芯片8_2</t>
  </si>
  <si>
    <t>芯片8_3</t>
  </si>
  <si>
    <t>芯片9_1</t>
  </si>
  <si>
    <t>芯片9_2</t>
  </si>
  <si>
    <t>芯片9_3</t>
  </si>
  <si>
    <t>芯片10_1</t>
  </si>
  <si>
    <t>芯片10_2</t>
  </si>
  <si>
    <t>芯片10_3</t>
  </si>
  <si>
    <t>芯片11_1</t>
  </si>
  <si>
    <t>芯片11_2</t>
  </si>
  <si>
    <t>芯片11_3</t>
  </si>
  <si>
    <t>芯片12_1</t>
  </si>
  <si>
    <t>芯片12_2</t>
  </si>
  <si>
    <t>芯片12_3</t>
  </si>
  <si>
    <t>芯片13_1</t>
  </si>
  <si>
    <t>芯片13_2</t>
  </si>
  <si>
    <t>芯片13_3</t>
  </si>
  <si>
    <t>芯片14_1</t>
  </si>
  <si>
    <t>芯片14_2</t>
  </si>
  <si>
    <t>芯片14_3</t>
  </si>
  <si>
    <t>芯片15_1</t>
  </si>
  <si>
    <t>芯片15_2</t>
  </si>
  <si>
    <t>芯片15_3</t>
  </si>
  <si>
    <t>芯片16_1</t>
  </si>
  <si>
    <t>芯片16_2</t>
  </si>
  <si>
    <t>芯片16_3</t>
  </si>
  <si>
    <t>芯片17_1</t>
  </si>
  <si>
    <t>芯片17_2</t>
  </si>
  <si>
    <t>芯片17_3</t>
  </si>
  <si>
    <t>芯片18_1</t>
  </si>
  <si>
    <t>芯片18_2</t>
  </si>
  <si>
    <t>芯片18_3</t>
  </si>
  <si>
    <t>芯片19_1</t>
  </si>
  <si>
    <t>芯片19_2</t>
  </si>
  <si>
    <t>芯片19_3</t>
  </si>
  <si>
    <t>芯片20_1</t>
  </si>
  <si>
    <t>芯片20_2</t>
  </si>
  <si>
    <t>芯片20_3</t>
  </si>
  <si>
    <t>芯片21_1</t>
  </si>
  <si>
    <t>芯片21_2</t>
  </si>
  <si>
    <t>芯片21_3</t>
  </si>
  <si>
    <t>芯片22_1</t>
  </si>
  <si>
    <t>芯片22_2</t>
  </si>
  <si>
    <t>芯片22_3</t>
  </si>
  <si>
    <t>芯片23_1</t>
  </si>
  <si>
    <t>芯片23_2</t>
  </si>
  <si>
    <t>芯片23_3</t>
  </si>
  <si>
    <t>芯片24_1</t>
  </si>
  <si>
    <t>芯片24_2</t>
  </si>
  <si>
    <t>芯片24_3</t>
  </si>
  <si>
    <t>芯片25_1</t>
  </si>
  <si>
    <t>芯片25_2</t>
  </si>
  <si>
    <t>芯片25_3</t>
  </si>
  <si>
    <t>南瓜+5,急速填装+3,反应装甲+3,生命工程+2;攻击力+10,填装速度+5</t>
  </si>
  <si>
    <t>南瓜+5,急速填装+3,反应装甲+3,生命工程+2;攻击力+20,填装速度+10</t>
  </si>
  <si>
    <t>南瓜+5,急速填装+3,反应装甲+3,生命工程+2;攻击力+30,填装速度+15</t>
  </si>
  <si>
    <t>榴弹+5,伤痛记忆+3,纳米涂层+3,热力追踪+2;攻击力+10,填装速度+5</t>
  </si>
  <si>
    <t>榴弹+5,伤痛记忆+3,纳米涂层+3,热力追踪+2;攻击力+20,填装速度+10</t>
  </si>
  <si>
    <t>榴弹+5,伤痛记忆+3,纳米涂层+3,热力追踪+2;攻击力+30,填装速度+15</t>
  </si>
  <si>
    <t>汽油弹+5,中子弹+3,先发制人+3,没有雾霾+2;生命值+20,先攻+2</t>
  </si>
  <si>
    <t>汽油弹+5,中子弹+3,先发制人+3,没有雾霾+2;生命值+40,先攻+4</t>
  </si>
  <si>
    <t>汽油弹+5,中子弹+3,先发制人+3,没有雾霾+2;生命值+60,先攻+5</t>
  </si>
  <si>
    <t>全弹齐发+5,伤痛记忆+3,实弹增强+3,纳米修复+2;生命值+10,攻击力+5,填装速度+5</t>
  </si>
  <si>
    <t>全弹齐发+5,伤痛记忆+3,实弹增强+3,纳米修复+2;生命值+20,攻击力+10,填装速度+10</t>
  </si>
  <si>
    <t>全弹齐发+5,伤痛记忆+3,实弹增强+3,纳米修复+2;生命值+30,攻击力+15,填装速度+15</t>
  </si>
  <si>
    <t>炫光射线+5,急速填装+3,强击光线+3,灵魂修复+2;生命值+5,先攻+2,机动+5</t>
  </si>
  <si>
    <t>炫光射线+5,急速填装+3,强击光线+3,灵魂修复+2;生命值+10,先攻+2,机动+10</t>
  </si>
  <si>
    <t>炫光射线+5,急速填装+3,强击光线+3,灵魂修复+2;生命值+15,先攻+4,机动+15</t>
  </si>
  <si>
    <t>贯通射线+5,虫洞+2,冲锋+3,晕眩攻击+2;生命值+10,攻击力+10</t>
  </si>
  <si>
    <t>贯通射线+5,虫洞+2,冲锋+3,晕眩攻击+2;生命值+20,攻击力+20</t>
  </si>
  <si>
    <t>贯通射线+5,虫洞+2,冲锋+3,晕眩攻击+2;生命值+30,攻击力+30</t>
  </si>
  <si>
    <t>生命抽取+5,斩杀+3,热力追踪+2;填装速度+7,机动+5</t>
  </si>
  <si>
    <t>生命抽取+5,斩杀+3,热力追踪+2;填装速度+15,机动+10</t>
  </si>
  <si>
    <t>生命抽取+5,斩杀+3,热力追踪+2;填装速度+20,机动+15</t>
  </si>
  <si>
    <t>干扰弹+4,时空转移+2,实弹增强+2,燃料引爆+3;生命值+5,攻击力+7,先攻+2</t>
  </si>
  <si>
    <t>干扰弹+4,时空转移+2,实弹增强+2,燃料引爆+3;生命值+10,攻击力+15,先攻+4</t>
  </si>
  <si>
    <t>干扰弹+4,时空转移+2,实弹增强+2,燃料引爆+3;生命值+15,攻击力+20,先攻+5</t>
  </si>
  <si>
    <t>散射+5,沉默+3,机械工程+3,纳米修复+2;生命值+10,攻击力+7,机动+5</t>
  </si>
  <si>
    <t>散射+5,沉默+3,机械工程+3,纳米修复+2;生命值+20,攻击力+15,机动+10</t>
  </si>
  <si>
    <t>散射+5,沉默+3,机械工程+3,纳米修复+2;生命值+30,攻击力+20,机动+15</t>
  </si>
  <si>
    <t>变形+3,生命工程+3,灵魂修复+2,晕眩攻击+2;攻击力+5,先攻+3</t>
  </si>
  <si>
    <t>变形+3,生命工程+3,灵魂修复+2,晕眩攻击+2;攻击力+10,先攻+6</t>
  </si>
  <si>
    <t>变形+3,生命工程+3,灵魂修复+2,晕眩攻击+2;攻击力+15,先攻+9</t>
  </si>
  <si>
    <t>南瓜+5,精神错乱+3,中子弹+3,热力追踪+2,纳米修复+3;生命值+5,填装速度+7,机动+5</t>
  </si>
  <si>
    <t>南瓜+5,精神错乱+3,中子弹+3,热力追踪+2,纳米修复+3;生命值+10,填装速度+15,机动+10</t>
  </si>
  <si>
    <t>南瓜+5,精神错乱+3,中子弹+3,热力追踪+2,纳米修复+3;生命值+15,填装速度+20,机动+15</t>
  </si>
  <si>
    <t>贯通射线+4,炫光射线+4,死亡标记+2,没有雾霾+2,晕眩攻击+5;生命值+5,先攻+2,机动+5</t>
  </si>
  <si>
    <t>贯通射线+4,炫光射线+4,死亡标记+2,没有雾霾+2,晕眩攻击+5;生命值+10,先攻+4,机动+10</t>
  </si>
  <si>
    <t>贯通射线+4,炫光射线+4,死亡标记+2,没有雾霾+2,晕眩攻击+5;生命值+15,先攻+5,机动+15</t>
  </si>
  <si>
    <t>奴役+3,时空转移+2,先发制人+2,斩杀+2,灵魂修复+3;生命值+10,攻击力+10</t>
  </si>
  <si>
    <t>奴役+3,时空转移+2,先发制人+2,斩杀+2,灵魂修复+3;生命值+20,攻击力+20</t>
  </si>
  <si>
    <t>奴役+3,时空转移+2,先发制人+2,斩杀+2,灵魂修复+3;生命值+30,攻击力+30</t>
  </si>
  <si>
    <t>全弹齐发+5,镜花水月+2,冲锋+3,强击光线+2;攻击力+10,先攻+2</t>
  </si>
  <si>
    <t>全弹齐发+5,镜花水月+2,冲锋+3,强击光线+2;攻击力+20,先攻+4</t>
  </si>
  <si>
    <t>全弹齐发+5,镜花水月+2,冲锋+3,强击光线+2;攻击力+30,先攻+5</t>
  </si>
  <si>
    <t>榴弹+5,精神错乱+2,神威+2,机械工程+2,没有雾霾+3;生命值+5,填装速度+7,机动+5</t>
  </si>
  <si>
    <t>榴弹+5,精神错乱+2,神威+2,机械工程+2,没有雾霾+3;生命值+10,填装速度+15,机动+10</t>
  </si>
  <si>
    <t>榴弹+5,精神错乱+2,神威+2,机械工程+2,没有雾霾+3;生命值+15,填装速度+20,机动+15</t>
  </si>
  <si>
    <t>散射+4,催眠+3,时空转移+2,灵魂修复+3,晕眩攻击+2;生命值+5,攻击力+7,机动+5</t>
  </si>
  <si>
    <t>散射+4,催眠+3,时空转移+2,灵魂修复+3,晕眩攻击+2;生命值+10,攻击力+15,机动+10</t>
  </si>
  <si>
    <t>散射+4,催眠+3,时空转移+2,灵魂修复+3,晕眩攻击+2;生命值+15,攻击力+20,机动+15</t>
  </si>
  <si>
    <t>汽油弹+5,死亡标记+2,斩杀+3,热力追踪+2,纳米修复+2;攻击力+7,填装速度+5,机动+5</t>
  </si>
  <si>
    <t>汽油弹+5,死亡标记+2,斩杀+3,热力追踪+2,纳米修复+2;攻击力+15,填装速度+10,机动+10</t>
  </si>
  <si>
    <t>汽油弹+5,死亡标记+2,斩杀+3,热力追踪+2,纳米修复+2;攻击力+20,填装速度+15,机动+15</t>
  </si>
  <si>
    <t>精神错乱+3,沉默+3,虫洞+2,纳米涂层+2,冲锋+3,生命工程+2;生命值+20,先攻+2</t>
  </si>
  <si>
    <t>精神错乱+3,沉默+3,虫洞+2,纳米涂层+2,冲锋+3,生命工程+2;生命值+40,先攻+4</t>
  </si>
  <si>
    <t>精神错乱+3,沉默+3,虫洞+2,纳米涂层+2,冲锋+3,生命工程+2;生命值+60,先攻+5</t>
  </si>
  <si>
    <t>全弹齐发+3,散射+3,偏转涂层+2,实弹增强+2,强击光线+3;攻击力+7,先攻+2,机动+5</t>
  </si>
  <si>
    <t>全弹齐发+3,散射+3,偏转涂层+2,实弹增强+2,强击光线+3;攻击力+15,先攻+4,机动+10</t>
  </si>
  <si>
    <t>全弹齐发+3,散射+3,偏转涂层+2,实弹增强+2,强击光线+3;攻击力+20,先攻+5,机动+15</t>
  </si>
  <si>
    <t>汽油弹+3,炫光射线+5,生命抽取+2,生命工程+3,没有雾霾+2;生命值+5,攻击力+7,填装速度+5</t>
  </si>
  <si>
    <t>汽油弹+3,炫光射线+5,生命抽取+2,生命工程+3,没有雾霾+2;生命值+10,攻击力+15,填装速度+10</t>
  </si>
  <si>
    <t>汽油弹+3,炫光射线+5,生命抽取+2,生命工程+3,没有雾霾+2;生命值+15,攻击力+20,填装速度+15</t>
  </si>
  <si>
    <t>贯通射线+5,虫洞+3,先发制人+3,反应装甲+3,燃料引爆+2;生命值+20,机动+5</t>
  </si>
  <si>
    <t>贯通射线+5,虫洞+3,先发制人+3,反应装甲+3,燃料引爆+2;生命值+40,机动+10</t>
  </si>
  <si>
    <t>贯通射线+5,虫洞+3,先发制人+3,反应装甲+3,燃料引爆+2;生命值+60,机动+15</t>
  </si>
  <si>
    <t>榴弹+5,神威+3,冲锋+2,光线增强+3;攻击力+10,先攻+2</t>
  </si>
  <si>
    <t>榴弹+5,神威+3,冲锋+2,光线增强+3;攻击力+20,先攻+4</t>
  </si>
  <si>
    <t>榴弹+5,神威+3,冲锋+2,光线增强+3;攻击力+30,先攻+5</t>
  </si>
  <si>
    <t>全弹齐发+3,偏转涂层+3,光线增强+3,生命工程+2;生命值+5,填装速度+5,机动+5</t>
  </si>
  <si>
    <t>全弹齐发+3,偏转涂层+3,光线增强+3,生命工程+2;生命值+10,填装速度+10,机动+10</t>
  </si>
  <si>
    <t>全弹齐发+3,偏转涂层+3,光线增强+3,生命工程+2;生命值+15,填装速度+15,机动+15</t>
  </si>
  <si>
    <t>奴役+3,催眠+5,急速填装+3,斩杀+3,晕眩攻击+2;生命值+5,攻击力+7,机动+5</t>
  </si>
  <si>
    <t>奴役+3,催眠+5,急速填装+3,斩杀+3,晕眩攻击+2;生命值+10,攻击力+15,机动+10</t>
  </si>
  <si>
    <t>奴役+3,催眠+5,急速填装+3,斩杀+3,晕眩攻击+2;生命值+15,攻击力+20,机动+15</t>
  </si>
  <si>
    <t>沉默+3,镜花水月+3,伤痛记忆+3,热力追踪+2,灵魂修复+3;生命值+5,攻击力+7,填装速度+5</t>
  </si>
  <si>
    <t>沉默+3,镜花水月+3,伤痛记忆+3,热力追踪+2,灵魂修复+3;生命值+10,攻击力+15,填装速度+10</t>
  </si>
  <si>
    <t>沉默+3,镜花水月+3,伤痛记忆+3,热力追踪+2,灵魂修复+3;生命值+15,攻击力+20,填装速度+15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</si>
</sst>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9"/>
      <color indexed="81"/>
      <name val="宋体"/>
      <family val="3"/>
      <charset val="134"/>
    </font>
    <font>
      <u/>
      <sz val="11"/>
      <color theme="10"/>
      <name val="宋体"/>
      <family val="2"/>
      <scheme val="minor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微软雅黑"/>
      <family val="2"/>
      <charset val="134"/>
    </font>
    <font>
      <sz val="8"/>
      <color theme="1"/>
      <name val="宋体"/>
      <family val="2"/>
      <scheme val="minor"/>
    </font>
    <font>
      <i/>
      <sz val="11"/>
      <color theme="1"/>
      <name val="微软雅黑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B54F4F"/>
        <bgColor indexed="64"/>
      </patternFill>
    </fill>
    <fill>
      <patternFill patternType="solid">
        <fgColor rgb="FFC3D559"/>
        <bgColor indexed="64"/>
      </patternFill>
    </fill>
    <fill>
      <patternFill patternType="solid">
        <fgColor rgb="FF5D98AB"/>
        <bgColor indexed="64"/>
      </patternFill>
    </fill>
    <fill>
      <patternFill patternType="solid">
        <fgColor rgb="FF58D6CA"/>
        <bgColor indexed="64"/>
      </patternFill>
    </fill>
    <fill>
      <patternFill patternType="solid">
        <fgColor rgb="FFB54FA2"/>
        <bgColor indexed="64"/>
      </patternFill>
    </fill>
    <fill>
      <patternFill patternType="solid">
        <fgColor rgb="FFBA7A24"/>
        <bgColor indexed="64"/>
      </patternFill>
    </fill>
  </fills>
  <borders count="15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9">
    <xf numFmtId="0" fontId="0" fillId="0" borderId="0" xfId="0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2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5" fillId="0" borderId="6" xfId="0" applyNumberFormat="1" applyFont="1" applyBorder="1" applyAlignment="1">
      <alignment horizontal="left" vertical="center"/>
    </xf>
    <xf numFmtId="0" fontId="2" fillId="0" borderId="6" xfId="0" applyNumberFormat="1" applyFont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left" vertical="center"/>
    </xf>
    <xf numFmtId="0" fontId="11" fillId="4" borderId="6" xfId="1" applyFont="1" applyFill="1" applyBorder="1" applyAlignment="1">
      <alignment horizontal="left" vertical="center"/>
    </xf>
    <xf numFmtId="0" fontId="0" fillId="3" borderId="8" xfId="0" applyFill="1" applyBorder="1"/>
    <xf numFmtId="0" fontId="0" fillId="0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0" fillId="6" borderId="8" xfId="0" applyFill="1" applyBorder="1"/>
    <xf numFmtId="0" fontId="0" fillId="8" borderId="8" xfId="0" applyFill="1" applyBorder="1"/>
    <xf numFmtId="0" fontId="0" fillId="5" borderId="8" xfId="0" applyFill="1" applyBorder="1"/>
    <xf numFmtId="0" fontId="0" fillId="7" borderId="8" xfId="0" applyFill="1" applyBorder="1"/>
    <xf numFmtId="0" fontId="0" fillId="0" borderId="0" xfId="0" applyAlignment="1">
      <alignment vertical="top"/>
    </xf>
    <xf numFmtId="0" fontId="0" fillId="0" borderId="8" xfId="0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4" fillId="0" borderId="0" xfId="0" applyFont="1"/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9" borderId="6" xfId="0" applyFont="1" applyFill="1" applyBorder="1" applyAlignment="1">
      <alignment horizontal="left" vertical="center"/>
    </xf>
    <xf numFmtId="0" fontId="15" fillId="13" borderId="6" xfId="0" applyFont="1" applyFill="1" applyBorder="1" applyAlignment="1">
      <alignment horizontal="left" vertical="center"/>
    </xf>
    <xf numFmtId="0" fontId="15" fillId="10" borderId="6" xfId="0" applyFont="1" applyFill="1" applyBorder="1" applyAlignment="1">
      <alignment horizontal="left" vertical="center"/>
    </xf>
    <xf numFmtId="0" fontId="15" fillId="12" borderId="6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5" fillId="14" borderId="6" xfId="0" applyFont="1" applyFill="1" applyBorder="1" applyAlignment="1">
      <alignment horizontal="left" vertical="center"/>
    </xf>
    <xf numFmtId="0" fontId="15" fillId="0" borderId="0" xfId="0" applyFont="1"/>
    <xf numFmtId="0" fontId="13" fillId="0" borderId="6" xfId="0" applyFont="1" applyBorder="1" applyAlignment="1">
      <alignment horizontal="left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2" fillId="0" borderId="0" xfId="0" applyFont="1"/>
  </cellXfs>
  <cellStyles count="2">
    <cellStyle name="常规" xfId="0" builtinId="0"/>
    <cellStyle name="超链接" xfId="1" builtinId="8"/>
  </cellStyles>
  <dxfs count="180"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colors>
    <mruColors>
      <color rgb="FFBA7A24"/>
      <color rgb="FF3FB22C"/>
      <color rgb="FFB54FA2"/>
      <color rgb="FFC2C242"/>
      <color rgb="FF58D6CA"/>
      <color rgb="FF5D98AB"/>
      <color rgb="FFC3D559"/>
      <color rgb="FFB54F4F"/>
      <color rgb="FF3EA0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409574</xdr:colOff>
      <xdr:row>6</xdr:row>
      <xdr:rowOff>28576</xdr:rowOff>
    </xdr:from>
    <xdr:to>
      <xdr:col>29</xdr:col>
      <xdr:colOff>685799</xdr:colOff>
      <xdr:row>9</xdr:row>
      <xdr:rowOff>0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上下限差之和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/4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9525</xdr:rowOff>
        </xdr:from>
        <xdr:to>
          <xdr:col>2</xdr:col>
          <xdr:colOff>38100</xdr:colOff>
          <xdr:row>1</xdr:row>
          <xdr:rowOff>38100</xdr:rowOff>
        </xdr:to>
        <xdr:sp macro="" textlink="">
          <xdr:nvSpPr>
            <xdr:cNvPr id="6155" name="CommandButto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颜色转换成内嵌函数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L78" totalsRowShown="0" headerRowDxfId="177" dataDxfId="176">
  <autoFilter ref="A3:L78"/>
  <tableColumns count="12">
    <tableColumn id="1" name="id" dataDxfId="175"/>
    <tableColumn id="2" name="name" dataDxfId="174">
      <calculatedColumnFormula>O4</calculatedColumnFormula>
    </tableColumn>
    <tableColumn id="3" name="descrip" dataDxfId="1"/>
    <tableColumn id="9" name="color" dataDxfId="173">
      <calculatedColumnFormula>[1]!颜色转换成内嵌函数()</calculatedColumnFormula>
    </tableColumn>
    <tableColumn id="4" name="level" dataDxfId="172"/>
    <tableColumn id="10" name="upgradeId" dataDxfId="171">
      <calculatedColumnFormula>IF(表1[[#This Row],[level]]+1=E5,A5,"")</calculatedColumnFormula>
    </tableColumn>
    <tableColumn id="7" name="stuffCost" dataDxfId="170"/>
    <tableColumn id="6" name="power" dataDxfId="169">
      <calculatedColumnFormula>ROUND(S4,0)&amp; "~" &amp; ROUND(T4,0)</calculatedColumnFormula>
    </tableColumn>
    <tableColumn id="5" name="skillPoint" dataDxfId="168"/>
    <tableColumn id="11" name="chipGridReqire" dataDxfId="167"/>
    <tableColumn id="12" name="propertyAddition" dataDxfId="166"/>
    <tableColumn id="8" name="model" dataDxfId="165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102"/>
  <sheetViews>
    <sheetView showGridLines="0" tabSelected="1" workbookViewId="0">
      <pane xSplit="3" ySplit="3" topLeftCell="G4" activePane="bottomRight" state="frozen"/>
      <selection pane="topRight" activeCell="D1" sqref="D1"/>
      <selection pane="bottomLeft" activeCell="A4" sqref="A4"/>
      <selection pane="bottomRight" activeCell="C10" sqref="C10"/>
    </sheetView>
  </sheetViews>
  <sheetFormatPr defaultRowHeight="16.5" x14ac:dyDescent="0.3"/>
  <cols>
    <col min="1" max="1" width="8.5" style="1" bestFit="1" customWidth="1"/>
    <col min="2" max="2" width="11.125" style="1" bestFit="1" customWidth="1"/>
    <col min="3" max="3" width="39.125" style="1" customWidth="1"/>
    <col min="4" max="4" width="21.75" style="1" bestFit="1" customWidth="1"/>
    <col min="5" max="5" width="8.125" style="1" bestFit="1" customWidth="1"/>
    <col min="6" max="7" width="47.75" style="1" customWidth="1"/>
    <col min="8" max="8" width="16.375" style="1" bestFit="1" customWidth="1"/>
    <col min="9" max="9" width="44.375" style="11" bestFit="1" customWidth="1"/>
    <col min="10" max="10" width="37.375" style="11" customWidth="1"/>
    <col min="11" max="11" width="28.625" style="1" bestFit="1" customWidth="1"/>
    <col min="12" max="12" width="255.625" style="1" bestFit="1" customWidth="1"/>
    <col min="13" max="14" width="9.75" style="1" customWidth="1"/>
    <col min="15" max="15" width="11.125" style="2" bestFit="1" customWidth="1"/>
    <col min="16" max="16" width="9.75" style="2" customWidth="1"/>
    <col min="17" max="17" width="9.25" style="2" bestFit="1" customWidth="1"/>
    <col min="18" max="18" width="17.5" style="2" bestFit="1" customWidth="1"/>
    <col min="19" max="19" width="21.625" style="2" bestFit="1" customWidth="1"/>
    <col min="20" max="20" width="9.25" style="2" bestFit="1" customWidth="1"/>
    <col min="21" max="24" width="9" style="1"/>
    <col min="25" max="25" width="5.5" style="1" bestFit="1" customWidth="1"/>
    <col min="26" max="27" width="4" style="1" bestFit="1" customWidth="1"/>
    <col min="28" max="28" width="6.25" style="1" bestFit="1" customWidth="1"/>
    <col min="29" max="16384" width="9" style="1"/>
  </cols>
  <sheetData>
    <row r="1" spans="1:28" ht="148.5" x14ac:dyDescent="0.3">
      <c r="A1" s="51" t="s">
        <v>87</v>
      </c>
      <c r="B1" s="51" t="s">
        <v>81</v>
      </c>
      <c r="C1" s="14" t="s">
        <v>135</v>
      </c>
      <c r="D1" s="51" t="s">
        <v>46</v>
      </c>
      <c r="E1" s="51" t="s">
        <v>88</v>
      </c>
      <c r="F1" s="51" t="s">
        <v>89</v>
      </c>
      <c r="G1" s="51" t="s">
        <v>90</v>
      </c>
      <c r="H1" s="14" t="s">
        <v>92</v>
      </c>
      <c r="I1" s="14" t="s">
        <v>93</v>
      </c>
      <c r="J1" s="51" t="s">
        <v>82</v>
      </c>
      <c r="K1" s="51" t="s">
        <v>91</v>
      </c>
      <c r="L1" s="14" t="s">
        <v>83</v>
      </c>
      <c r="M1" s="6"/>
      <c r="N1" s="6"/>
      <c r="O1" s="52" t="s">
        <v>19</v>
      </c>
      <c r="P1" s="52" t="s">
        <v>21</v>
      </c>
      <c r="Q1" s="52" t="s">
        <v>5</v>
      </c>
      <c r="R1" s="52" t="s">
        <v>11</v>
      </c>
      <c r="S1" s="52" t="s">
        <v>12</v>
      </c>
      <c r="T1" s="52" t="s">
        <v>13</v>
      </c>
      <c r="U1" s="7"/>
      <c r="V1" s="7"/>
      <c r="W1" s="7"/>
      <c r="X1" s="7"/>
      <c r="Y1" s="7"/>
      <c r="Z1" s="7"/>
      <c r="AA1" s="7"/>
      <c r="AB1" s="7"/>
    </row>
    <row r="2" spans="1:28" x14ac:dyDescent="0.3">
      <c r="A2" s="16" t="s">
        <v>132</v>
      </c>
      <c r="B2" s="16" t="s">
        <v>1</v>
      </c>
      <c r="C2" s="16" t="s">
        <v>134</v>
      </c>
      <c r="D2" s="16" t="s">
        <v>15</v>
      </c>
      <c r="E2" s="16" t="s">
        <v>3</v>
      </c>
      <c r="F2" s="16" t="s">
        <v>17</v>
      </c>
      <c r="G2" s="16" t="s">
        <v>85</v>
      </c>
      <c r="H2" s="16" t="s">
        <v>47</v>
      </c>
      <c r="I2" s="16" t="s">
        <v>76</v>
      </c>
      <c r="J2" s="22" t="s">
        <v>59</v>
      </c>
      <c r="K2" s="16" t="s">
        <v>84</v>
      </c>
      <c r="L2" s="16" t="s">
        <v>14</v>
      </c>
      <c r="M2" s="6"/>
      <c r="N2" s="6"/>
      <c r="O2" s="53"/>
      <c r="P2" s="53"/>
      <c r="Q2" s="53"/>
      <c r="R2" s="53"/>
      <c r="S2" s="53"/>
      <c r="T2" s="53"/>
      <c r="U2" s="7"/>
      <c r="V2" s="7"/>
      <c r="W2" s="7"/>
      <c r="X2" s="7"/>
      <c r="Y2" s="7"/>
      <c r="Z2" s="7"/>
      <c r="AA2" s="7"/>
      <c r="AB2" s="7"/>
    </row>
    <row r="3" spans="1:28" x14ac:dyDescent="0.3">
      <c r="A3" s="17" t="s">
        <v>0</v>
      </c>
      <c r="B3" s="17" t="s">
        <v>2</v>
      </c>
      <c r="C3" s="17" t="s">
        <v>67</v>
      </c>
      <c r="D3" s="17" t="s">
        <v>16</v>
      </c>
      <c r="E3" s="17" t="s">
        <v>4</v>
      </c>
      <c r="F3" s="17" t="s">
        <v>18</v>
      </c>
      <c r="G3" s="17" t="s">
        <v>86</v>
      </c>
      <c r="H3" s="17" t="s">
        <v>66</v>
      </c>
      <c r="I3" s="17" t="s">
        <v>20</v>
      </c>
      <c r="J3" s="23" t="s">
        <v>60</v>
      </c>
      <c r="K3" s="17" t="s">
        <v>80</v>
      </c>
      <c r="L3" s="17" t="s">
        <v>10</v>
      </c>
      <c r="M3" s="7"/>
      <c r="N3" s="7"/>
      <c r="O3" s="54"/>
      <c r="P3" s="54"/>
      <c r="Q3" s="54"/>
      <c r="R3" s="54"/>
      <c r="S3" s="54"/>
      <c r="T3" s="54"/>
      <c r="U3" s="7"/>
      <c r="V3" s="7"/>
      <c r="W3" s="7"/>
      <c r="X3" s="7"/>
      <c r="Y3" s="7"/>
      <c r="Z3" s="7"/>
      <c r="AA3" s="7"/>
      <c r="AB3" s="7"/>
    </row>
    <row r="4" spans="1:28" x14ac:dyDescent="0.3">
      <c r="A4" s="15">
        <v>100011</v>
      </c>
      <c r="B4" s="15" t="s">
        <v>236</v>
      </c>
      <c r="C4" s="58" t="s">
        <v>311</v>
      </c>
      <c r="D4" s="44" t="str">
        <f>[1]!颜色转换成内嵌函数()</f>
        <v>※color(181,79,79)[]</v>
      </c>
      <c r="E4" s="15">
        <v>1</v>
      </c>
      <c r="F4" s="15">
        <f>IF(表1[[#This Row],[level]]+1=E5,A5,"")</f>
        <v>100012</v>
      </c>
      <c r="G4" s="15" t="s">
        <v>133</v>
      </c>
      <c r="H4" s="15" t="str">
        <f t="shared" ref="H4:H53" si="0">ROUND(S4,0)&amp; "~" &amp; ROUND(T4,0)</f>
        <v>5~8</v>
      </c>
      <c r="I4" s="16" t="s">
        <v>211</v>
      </c>
      <c r="J4" s="16" t="s">
        <v>51</v>
      </c>
      <c r="K4" s="15" t="s">
        <v>136</v>
      </c>
      <c r="L4" s="15" t="s">
        <v>98</v>
      </c>
      <c r="M4" s="7"/>
      <c r="N4" s="7"/>
      <c r="O4" s="8"/>
      <c r="P4" s="8" t="s">
        <v>32</v>
      </c>
      <c r="Q4" s="8">
        <v>3</v>
      </c>
      <c r="R4" s="9">
        <v>5</v>
      </c>
      <c r="S4" s="8">
        <f>R4</f>
        <v>5</v>
      </c>
      <c r="T4" s="8">
        <f>Q4+S4</f>
        <v>8</v>
      </c>
      <c r="U4" s="7"/>
      <c r="V4" s="7"/>
      <c r="W4" s="7"/>
      <c r="X4" s="7"/>
      <c r="Y4" s="7"/>
      <c r="Z4" s="7"/>
      <c r="AA4" s="7"/>
      <c r="AB4" s="7"/>
    </row>
    <row r="5" spans="1:28" x14ac:dyDescent="0.3">
      <c r="A5" s="15">
        <v>100012</v>
      </c>
      <c r="B5" s="15" t="s">
        <v>237</v>
      </c>
      <c r="C5" s="58" t="s">
        <v>312</v>
      </c>
      <c r="D5" s="44" t="str">
        <f>[1]!颜色转换成内嵌函数()</f>
        <v>※color(181,79,79)[]</v>
      </c>
      <c r="E5" s="15">
        <f t="shared" ref="E5:E6" si="1">IF(O5=O4,E4+1,1)</f>
        <v>2</v>
      </c>
      <c r="F5" s="15">
        <f>IF(表1[[#This Row],[level]]+1=E6,A6,"")</f>
        <v>100013</v>
      </c>
      <c r="G5" s="15" t="s">
        <v>133</v>
      </c>
      <c r="H5" s="15" t="str">
        <f t="shared" si="0"/>
        <v>8~12</v>
      </c>
      <c r="I5" s="16" t="s">
        <v>211</v>
      </c>
      <c r="J5" s="16" t="s">
        <v>51</v>
      </c>
      <c r="K5" s="15" t="s">
        <v>137</v>
      </c>
      <c r="L5" s="15" t="s">
        <v>98</v>
      </c>
      <c r="M5" s="7"/>
      <c r="N5" s="7"/>
      <c r="O5" s="8"/>
      <c r="P5" s="8" t="s">
        <v>32</v>
      </c>
      <c r="Q5" s="8">
        <v>4</v>
      </c>
      <c r="R5" s="8">
        <f>R4+Q5/2</f>
        <v>7</v>
      </c>
      <c r="S5" s="8">
        <f>S4+Q4/2+1</f>
        <v>7.5</v>
      </c>
      <c r="T5" s="8">
        <f t="shared" ref="T5:T9" si="2">Q5+S5</f>
        <v>11.5</v>
      </c>
      <c r="U5" s="7"/>
      <c r="V5" s="7"/>
      <c r="W5" s="7"/>
      <c r="X5" s="7" t="s">
        <v>6</v>
      </c>
      <c r="Y5" s="7" t="s">
        <v>6</v>
      </c>
      <c r="Z5" s="7" t="s">
        <v>7</v>
      </c>
      <c r="AA5" s="7" t="s">
        <v>8</v>
      </c>
      <c r="AB5" s="7" t="s">
        <v>9</v>
      </c>
    </row>
    <row r="6" spans="1:28" x14ac:dyDescent="0.3">
      <c r="A6" s="15">
        <v>100013</v>
      </c>
      <c r="B6" s="15" t="s">
        <v>238</v>
      </c>
      <c r="C6" s="58" t="s">
        <v>313</v>
      </c>
      <c r="D6" s="44" t="str">
        <f>[1]!颜色转换成内嵌函数()</f>
        <v>※color(181,79,79)[]</v>
      </c>
      <c r="E6" s="15">
        <f t="shared" si="1"/>
        <v>3</v>
      </c>
      <c r="F6" s="15" t="str">
        <f>IF(表1[[#This Row],[level]]+1=E7,A7,"")</f>
        <v/>
      </c>
      <c r="G6" s="15" t="s">
        <v>133</v>
      </c>
      <c r="H6" s="15" t="str">
        <f t="shared" si="0"/>
        <v>11~16</v>
      </c>
      <c r="I6" s="16" t="s">
        <v>211</v>
      </c>
      <c r="J6" s="16" t="s">
        <v>51</v>
      </c>
      <c r="K6" s="15" t="s">
        <v>138</v>
      </c>
      <c r="L6" s="15" t="s">
        <v>98</v>
      </c>
      <c r="M6" s="7"/>
      <c r="N6" s="7"/>
      <c r="O6" s="8"/>
      <c r="P6" s="8" t="s">
        <v>32</v>
      </c>
      <c r="Q6" s="8">
        <v>5</v>
      </c>
      <c r="R6" s="8">
        <f t="shared" ref="R6" si="3">R5+Q6/2</f>
        <v>9.5</v>
      </c>
      <c r="S6" s="8">
        <f t="shared" ref="S6" si="4">S5+Q5/2+1</f>
        <v>10.5</v>
      </c>
      <c r="T6" s="8">
        <f t="shared" si="2"/>
        <v>15.5</v>
      </c>
      <c r="U6" s="7"/>
      <c r="V6" s="7"/>
      <c r="W6" s="7"/>
      <c r="X6" s="7">
        <v>7</v>
      </c>
      <c r="Y6" s="7">
        <v>7</v>
      </c>
      <c r="Z6" s="7">
        <v>5</v>
      </c>
      <c r="AA6" s="7">
        <v>5</v>
      </c>
      <c r="AB6" s="7">
        <f>AVERAGE(Z6:AA6)+(Y6+X6)/4</f>
        <v>8.5</v>
      </c>
    </row>
    <row r="7" spans="1:28" x14ac:dyDescent="0.3">
      <c r="A7" s="15">
        <f>A4+10</f>
        <v>100021</v>
      </c>
      <c r="B7" s="15" t="s">
        <v>239</v>
      </c>
      <c r="C7" s="58" t="s">
        <v>314</v>
      </c>
      <c r="D7" s="45" t="str">
        <f>[1]!颜色转换成内嵌函数()</f>
        <v>※color(181,79,162)[]</v>
      </c>
      <c r="E7" s="15">
        <f>E4</f>
        <v>1</v>
      </c>
      <c r="F7" s="15">
        <f>IF(表1[[#This Row],[level]]+1=E8,A8,"")</f>
        <v>100022</v>
      </c>
      <c r="G7" s="15" t="s">
        <v>133</v>
      </c>
      <c r="H7" s="15" t="str">
        <f t="shared" si="0"/>
        <v>5~8</v>
      </c>
      <c r="I7" s="16" t="s">
        <v>212</v>
      </c>
      <c r="J7" s="16" t="s">
        <v>51</v>
      </c>
      <c r="K7" s="15" t="s">
        <v>139</v>
      </c>
      <c r="L7" s="15" t="s">
        <v>100</v>
      </c>
      <c r="M7" s="7"/>
      <c r="N7" s="7"/>
      <c r="O7" s="8"/>
      <c r="P7" s="8" t="s">
        <v>33</v>
      </c>
      <c r="Q7" s="8">
        <f t="shared" ref="Q7:Q27" si="5">Q4</f>
        <v>3</v>
      </c>
      <c r="R7" s="9">
        <v>5</v>
      </c>
      <c r="S7" s="8">
        <f>R7</f>
        <v>5</v>
      </c>
      <c r="T7" s="8">
        <f t="shared" si="2"/>
        <v>8</v>
      </c>
      <c r="U7" s="7"/>
      <c r="V7" s="7"/>
      <c r="W7" s="7"/>
      <c r="X7" s="7"/>
      <c r="Y7" s="7"/>
      <c r="Z7" s="7"/>
      <c r="AA7" s="7"/>
      <c r="AB7" s="7"/>
    </row>
    <row r="8" spans="1:28" x14ac:dyDescent="0.3">
      <c r="A8" s="15">
        <f t="shared" ref="A8:A71" si="6">A5+10</f>
        <v>100022</v>
      </c>
      <c r="B8" s="15" t="s">
        <v>240</v>
      </c>
      <c r="C8" s="58" t="s">
        <v>315</v>
      </c>
      <c r="D8" s="45" t="str">
        <f>[1]!颜色转换成内嵌函数()</f>
        <v>※color(181,79,162)[]</v>
      </c>
      <c r="E8" s="15">
        <f t="shared" ref="E8:E71" si="7">E5</f>
        <v>2</v>
      </c>
      <c r="F8" s="15">
        <f>IF(表1[[#This Row],[level]]+1=E9,A9,"")</f>
        <v>100023</v>
      </c>
      <c r="G8" s="15" t="s">
        <v>133</v>
      </c>
      <c r="H8" s="15" t="str">
        <f t="shared" si="0"/>
        <v>8~12</v>
      </c>
      <c r="I8" s="16" t="s">
        <v>212</v>
      </c>
      <c r="J8" s="16" t="s">
        <v>51</v>
      </c>
      <c r="K8" s="15" t="s">
        <v>140</v>
      </c>
      <c r="L8" s="15" t="s">
        <v>101</v>
      </c>
      <c r="M8" s="7"/>
      <c r="N8" s="7"/>
      <c r="O8" s="8"/>
      <c r="P8" s="8" t="s">
        <v>33</v>
      </c>
      <c r="Q8" s="8">
        <f t="shared" si="5"/>
        <v>4</v>
      </c>
      <c r="R8" s="8">
        <f>R7+Q8/2</f>
        <v>7</v>
      </c>
      <c r="S8" s="8">
        <f>S7+Q7/2+1</f>
        <v>7.5</v>
      </c>
      <c r="T8" s="8">
        <f t="shared" si="2"/>
        <v>11.5</v>
      </c>
      <c r="U8" s="7"/>
      <c r="V8" s="7"/>
      <c r="W8" s="7"/>
      <c r="X8" s="7"/>
      <c r="Y8" s="7"/>
      <c r="Z8" s="7"/>
      <c r="AA8" s="7"/>
      <c r="AB8" s="7"/>
    </row>
    <row r="9" spans="1:28" x14ac:dyDescent="0.3">
      <c r="A9" s="15">
        <f t="shared" si="6"/>
        <v>100023</v>
      </c>
      <c r="B9" s="15" t="s">
        <v>241</v>
      </c>
      <c r="C9" s="58" t="s">
        <v>316</v>
      </c>
      <c r="D9" s="45" t="str">
        <f>[1]!颜色转换成内嵌函数()</f>
        <v>※color(181,79,162)[]</v>
      </c>
      <c r="E9" s="15">
        <f t="shared" si="7"/>
        <v>3</v>
      </c>
      <c r="F9" s="15" t="str">
        <f>IF(表1[[#This Row],[level]]+1=E10,A10,"")</f>
        <v/>
      </c>
      <c r="G9" s="15" t="s">
        <v>133</v>
      </c>
      <c r="H9" s="15" t="str">
        <f t="shared" si="0"/>
        <v>11~16</v>
      </c>
      <c r="I9" s="16" t="s">
        <v>212</v>
      </c>
      <c r="J9" s="16" t="s">
        <v>51</v>
      </c>
      <c r="K9" s="15" t="s">
        <v>141</v>
      </c>
      <c r="L9" s="15" t="s">
        <v>101</v>
      </c>
      <c r="M9" s="7"/>
      <c r="N9" s="7"/>
      <c r="O9" s="8"/>
      <c r="P9" s="8" t="s">
        <v>33</v>
      </c>
      <c r="Q9" s="8">
        <f t="shared" si="5"/>
        <v>5</v>
      </c>
      <c r="R9" s="8">
        <f t="shared" ref="R9" si="8">R8+Q9/2</f>
        <v>9.5</v>
      </c>
      <c r="S9" s="8">
        <f t="shared" ref="S9" si="9">S8+Q8/2+1</f>
        <v>10.5</v>
      </c>
      <c r="T9" s="8">
        <f t="shared" si="2"/>
        <v>15.5</v>
      </c>
      <c r="U9" s="7"/>
      <c r="V9" s="7"/>
      <c r="W9" s="7"/>
      <c r="X9" s="7"/>
      <c r="Y9" s="7"/>
      <c r="Z9" s="7"/>
      <c r="AA9" s="7"/>
      <c r="AB9" s="7"/>
    </row>
    <row r="10" spans="1:28" x14ac:dyDescent="0.3">
      <c r="A10" s="15">
        <f t="shared" si="6"/>
        <v>100031</v>
      </c>
      <c r="B10" s="15" t="s">
        <v>242</v>
      </c>
      <c r="C10" s="58" t="s">
        <v>317</v>
      </c>
      <c r="D10" s="46" t="str">
        <f>[1]!颜色转换成内嵌函数()</f>
        <v>※color(195,213,89)[]</v>
      </c>
      <c r="E10" s="15">
        <f t="shared" si="7"/>
        <v>1</v>
      </c>
      <c r="F10" s="15">
        <f>IF(表1[[#This Row],[level]]+1=E11,A11,"")</f>
        <v>100032</v>
      </c>
      <c r="G10" s="15" t="s">
        <v>133</v>
      </c>
      <c r="H10" s="15" t="str">
        <f t="shared" si="0"/>
        <v>5~8</v>
      </c>
      <c r="I10" s="16" t="s">
        <v>213</v>
      </c>
      <c r="J10" s="16" t="s">
        <v>51</v>
      </c>
      <c r="K10" s="15" t="s">
        <v>142</v>
      </c>
      <c r="L10" s="15" t="s">
        <v>103</v>
      </c>
      <c r="M10" s="7"/>
      <c r="N10" s="7"/>
      <c r="O10" s="8"/>
      <c r="P10" s="8" t="s">
        <v>34</v>
      </c>
      <c r="Q10" s="8">
        <f t="shared" si="5"/>
        <v>3</v>
      </c>
      <c r="R10" s="9">
        <v>5</v>
      </c>
      <c r="S10" s="8">
        <f>R10</f>
        <v>5</v>
      </c>
      <c r="T10" s="8">
        <f>Q10+S10</f>
        <v>8</v>
      </c>
      <c r="U10" s="7"/>
      <c r="V10" s="7"/>
      <c r="W10" s="7"/>
      <c r="X10" s="7"/>
      <c r="Y10" s="7"/>
      <c r="Z10" s="7"/>
      <c r="AA10" s="7"/>
      <c r="AB10" s="7"/>
    </row>
    <row r="11" spans="1:28" x14ac:dyDescent="0.3">
      <c r="A11" s="15">
        <f t="shared" si="6"/>
        <v>100032</v>
      </c>
      <c r="B11" s="15" t="s">
        <v>243</v>
      </c>
      <c r="C11" s="58" t="s">
        <v>318</v>
      </c>
      <c r="D11" s="46" t="str">
        <f>[1]!颜色转换成内嵌函数()</f>
        <v>※color(195,213,89)[]</v>
      </c>
      <c r="E11" s="15">
        <f t="shared" si="7"/>
        <v>2</v>
      </c>
      <c r="F11" s="15">
        <f>IF(表1[[#This Row],[level]]+1=E12,A12,"")</f>
        <v>100033</v>
      </c>
      <c r="G11" s="15" t="s">
        <v>133</v>
      </c>
      <c r="H11" s="15" t="str">
        <f t="shared" si="0"/>
        <v>8~12</v>
      </c>
      <c r="I11" s="16" t="s">
        <v>213</v>
      </c>
      <c r="J11" s="16" t="s">
        <v>51</v>
      </c>
      <c r="K11" s="15" t="s">
        <v>143</v>
      </c>
      <c r="L11" s="15" t="s">
        <v>103</v>
      </c>
      <c r="M11" s="7"/>
      <c r="N11" s="7"/>
      <c r="O11" s="8"/>
      <c r="P11" s="8" t="s">
        <v>34</v>
      </c>
      <c r="Q11" s="8">
        <f t="shared" si="5"/>
        <v>4</v>
      </c>
      <c r="R11" s="8">
        <f>R10+Q11/2</f>
        <v>7</v>
      </c>
      <c r="S11" s="8">
        <f>S10+Q10/2+1</f>
        <v>7.5</v>
      </c>
      <c r="T11" s="8">
        <f t="shared" ref="T11:T15" si="10">Q11+S11</f>
        <v>11.5</v>
      </c>
      <c r="U11" s="7"/>
      <c r="V11" s="7"/>
      <c r="W11" s="7"/>
      <c r="X11" s="7"/>
      <c r="Y11" s="7"/>
      <c r="Z11" s="7"/>
      <c r="AA11" s="7"/>
      <c r="AB11" s="7"/>
    </row>
    <row r="12" spans="1:28" x14ac:dyDescent="0.3">
      <c r="A12" s="15">
        <f t="shared" si="6"/>
        <v>100033</v>
      </c>
      <c r="B12" s="15" t="s">
        <v>244</v>
      </c>
      <c r="C12" s="58" t="s">
        <v>319</v>
      </c>
      <c r="D12" s="46" t="str">
        <f>[1]!颜色转换成内嵌函数()</f>
        <v>※color(195,213,89)[]</v>
      </c>
      <c r="E12" s="15">
        <f t="shared" si="7"/>
        <v>3</v>
      </c>
      <c r="F12" s="15" t="str">
        <f>IF(表1[[#This Row],[level]]+1=E13,A13,"")</f>
        <v/>
      </c>
      <c r="G12" s="15" t="s">
        <v>133</v>
      </c>
      <c r="H12" s="15" t="str">
        <f t="shared" si="0"/>
        <v>11~16</v>
      </c>
      <c r="I12" s="16" t="s">
        <v>213</v>
      </c>
      <c r="J12" s="16" t="s">
        <v>51</v>
      </c>
      <c r="K12" s="15" t="s">
        <v>144</v>
      </c>
      <c r="L12" s="15" t="s">
        <v>104</v>
      </c>
      <c r="M12" s="7"/>
      <c r="N12" s="7"/>
      <c r="O12" s="8"/>
      <c r="P12" s="8" t="s">
        <v>34</v>
      </c>
      <c r="Q12" s="8">
        <f t="shared" si="5"/>
        <v>5</v>
      </c>
      <c r="R12" s="8">
        <f t="shared" ref="R12" si="11">R11+Q12/2</f>
        <v>9.5</v>
      </c>
      <c r="S12" s="8">
        <f t="shared" ref="S12" si="12">S11+Q11/2+1</f>
        <v>10.5</v>
      </c>
      <c r="T12" s="8">
        <f t="shared" si="10"/>
        <v>15.5</v>
      </c>
      <c r="U12" s="7"/>
      <c r="V12" s="7"/>
      <c r="W12" s="7"/>
      <c r="X12" s="7"/>
      <c r="Y12" s="7"/>
      <c r="Z12" s="7"/>
      <c r="AA12" s="7"/>
      <c r="AB12" s="7"/>
    </row>
    <row r="13" spans="1:28" x14ac:dyDescent="0.3">
      <c r="A13" s="15">
        <f t="shared" si="6"/>
        <v>100041</v>
      </c>
      <c r="B13" s="15" t="s">
        <v>245</v>
      </c>
      <c r="C13" s="58" t="s">
        <v>320</v>
      </c>
      <c r="D13" s="47" t="str">
        <f>[1]!颜色转换成内嵌函数()</f>
        <v>※color(88,214,202)[]</v>
      </c>
      <c r="E13" s="15">
        <f t="shared" si="7"/>
        <v>1</v>
      </c>
      <c r="F13" s="15">
        <f>IF(表1[[#This Row],[level]]+1=E14,A14,"")</f>
        <v>100042</v>
      </c>
      <c r="G13" s="15" t="s">
        <v>133</v>
      </c>
      <c r="H13" s="15" t="str">
        <f t="shared" si="0"/>
        <v>5~8</v>
      </c>
      <c r="I13" s="16" t="s">
        <v>214</v>
      </c>
      <c r="J13" s="16" t="s">
        <v>51</v>
      </c>
      <c r="K13" s="15" t="s">
        <v>145</v>
      </c>
      <c r="L13" s="15" t="s">
        <v>105</v>
      </c>
      <c r="M13" s="7"/>
      <c r="N13" s="7"/>
      <c r="O13" s="8"/>
      <c r="P13" s="8" t="s">
        <v>35</v>
      </c>
      <c r="Q13" s="8">
        <f t="shared" si="5"/>
        <v>3</v>
      </c>
      <c r="R13" s="9">
        <v>5</v>
      </c>
      <c r="S13" s="8">
        <f>R13</f>
        <v>5</v>
      </c>
      <c r="T13" s="8">
        <f t="shared" si="10"/>
        <v>8</v>
      </c>
      <c r="U13" s="7"/>
      <c r="V13" s="7"/>
      <c r="W13" s="7"/>
      <c r="X13" s="7"/>
      <c r="Y13" s="7"/>
      <c r="Z13" s="7"/>
      <c r="AA13" s="7"/>
      <c r="AB13" s="7"/>
    </row>
    <row r="14" spans="1:28" x14ac:dyDescent="0.3">
      <c r="A14" s="15">
        <f t="shared" si="6"/>
        <v>100042</v>
      </c>
      <c r="B14" s="15" t="s">
        <v>246</v>
      </c>
      <c r="C14" s="58" t="s">
        <v>321</v>
      </c>
      <c r="D14" s="47" t="str">
        <f>[1]!颜色转换成内嵌函数()</f>
        <v>※color(88,214,202)[]</v>
      </c>
      <c r="E14" s="15">
        <f t="shared" si="7"/>
        <v>2</v>
      </c>
      <c r="F14" s="15">
        <f>IF(表1[[#This Row],[level]]+1=E15,A15,"")</f>
        <v>100043</v>
      </c>
      <c r="G14" s="15" t="s">
        <v>133</v>
      </c>
      <c r="H14" s="15" t="str">
        <f t="shared" si="0"/>
        <v>8~12</v>
      </c>
      <c r="I14" s="16" t="s">
        <v>214</v>
      </c>
      <c r="J14" s="16" t="s">
        <v>51</v>
      </c>
      <c r="K14" s="15" t="s">
        <v>146</v>
      </c>
      <c r="L14" s="15" t="s">
        <v>105</v>
      </c>
      <c r="M14" s="7"/>
      <c r="N14" s="7"/>
      <c r="O14" s="8"/>
      <c r="P14" s="8" t="s">
        <v>35</v>
      </c>
      <c r="Q14" s="8">
        <f t="shared" si="5"/>
        <v>4</v>
      </c>
      <c r="R14" s="8">
        <f>R13+Q14/2</f>
        <v>7</v>
      </c>
      <c r="S14" s="8">
        <f>S13+Q13/2+1</f>
        <v>7.5</v>
      </c>
      <c r="T14" s="8">
        <f t="shared" si="10"/>
        <v>11.5</v>
      </c>
      <c r="U14" s="7"/>
      <c r="V14" s="7"/>
      <c r="W14" s="7"/>
      <c r="X14" s="7"/>
      <c r="Y14" s="7"/>
      <c r="Z14" s="7"/>
      <c r="AA14" s="7"/>
      <c r="AB14" s="7"/>
    </row>
    <row r="15" spans="1:28" x14ac:dyDescent="0.3">
      <c r="A15" s="15">
        <f t="shared" si="6"/>
        <v>100043</v>
      </c>
      <c r="B15" s="15" t="s">
        <v>247</v>
      </c>
      <c r="C15" s="58" t="s">
        <v>322</v>
      </c>
      <c r="D15" s="47" t="str">
        <f>[1]!颜色转换成内嵌函数()</f>
        <v>※color(88,214,202)[]</v>
      </c>
      <c r="E15" s="15">
        <f t="shared" si="7"/>
        <v>3</v>
      </c>
      <c r="F15" s="15" t="str">
        <f>IF(表1[[#This Row],[level]]+1=E16,A16,"")</f>
        <v/>
      </c>
      <c r="G15" s="15" t="s">
        <v>133</v>
      </c>
      <c r="H15" s="15" t="str">
        <f t="shared" si="0"/>
        <v>11~16</v>
      </c>
      <c r="I15" s="16" t="s">
        <v>214</v>
      </c>
      <c r="J15" s="16" t="s">
        <v>51</v>
      </c>
      <c r="K15" s="15" t="s">
        <v>147</v>
      </c>
      <c r="L15" s="15" t="s">
        <v>106</v>
      </c>
      <c r="M15" s="7"/>
      <c r="N15" s="7"/>
      <c r="O15" s="8"/>
      <c r="P15" s="8" t="s">
        <v>36</v>
      </c>
      <c r="Q15" s="8">
        <f t="shared" si="5"/>
        <v>5</v>
      </c>
      <c r="R15" s="8">
        <f t="shared" ref="R15" si="13">R14+Q15/2</f>
        <v>9.5</v>
      </c>
      <c r="S15" s="8">
        <f t="shared" ref="S15" si="14">S14+Q14/2+1</f>
        <v>10.5</v>
      </c>
      <c r="T15" s="8">
        <f t="shared" si="10"/>
        <v>15.5</v>
      </c>
      <c r="U15" s="7"/>
      <c r="V15" s="7"/>
      <c r="W15" s="7"/>
      <c r="X15" s="7"/>
      <c r="Y15" s="7"/>
      <c r="Z15" s="7"/>
      <c r="AA15" s="7"/>
      <c r="AB15" s="7"/>
    </row>
    <row r="16" spans="1:28" x14ac:dyDescent="0.3">
      <c r="A16" s="15">
        <f t="shared" si="6"/>
        <v>100051</v>
      </c>
      <c r="B16" s="15" t="s">
        <v>248</v>
      </c>
      <c r="C16" s="58" t="s">
        <v>323</v>
      </c>
      <c r="D16" s="48" t="str">
        <f>[1]!颜色转换成内嵌函数()</f>
        <v>※color(93,152,171)[]</v>
      </c>
      <c r="E16" s="15">
        <f t="shared" si="7"/>
        <v>1</v>
      </c>
      <c r="F16" s="15">
        <f>IF(表1[[#This Row],[level]]+1=E17,A17,"")</f>
        <v>100052</v>
      </c>
      <c r="G16" s="15" t="s">
        <v>133</v>
      </c>
      <c r="H16" s="15" t="str">
        <f t="shared" si="0"/>
        <v>5~8</v>
      </c>
      <c r="I16" s="16" t="s">
        <v>215</v>
      </c>
      <c r="J16" s="16" t="s">
        <v>51</v>
      </c>
      <c r="K16" s="15" t="s">
        <v>148</v>
      </c>
      <c r="L16" s="15" t="s">
        <v>107</v>
      </c>
      <c r="M16" s="7"/>
      <c r="N16" s="7"/>
      <c r="O16" s="8"/>
      <c r="P16" s="8" t="s">
        <v>37</v>
      </c>
      <c r="Q16" s="8">
        <f t="shared" si="5"/>
        <v>3</v>
      </c>
      <c r="R16" s="9">
        <v>5</v>
      </c>
      <c r="S16" s="8">
        <f>R16</f>
        <v>5</v>
      </c>
      <c r="T16" s="8">
        <f>Q16+S16</f>
        <v>8</v>
      </c>
      <c r="U16" s="7"/>
      <c r="V16" s="7"/>
      <c r="W16" s="7"/>
      <c r="X16" s="7"/>
      <c r="Y16" s="7"/>
      <c r="Z16" s="7"/>
      <c r="AA16" s="7"/>
      <c r="AB16" s="7"/>
    </row>
    <row r="17" spans="1:28" x14ac:dyDescent="0.3">
      <c r="A17" s="15">
        <f t="shared" si="6"/>
        <v>100052</v>
      </c>
      <c r="B17" s="15" t="s">
        <v>249</v>
      </c>
      <c r="C17" s="58" t="s">
        <v>324</v>
      </c>
      <c r="D17" s="48" t="str">
        <f>[1]!颜色转换成内嵌函数()</f>
        <v>※color(93,152,171)[]</v>
      </c>
      <c r="E17" s="15">
        <f t="shared" si="7"/>
        <v>2</v>
      </c>
      <c r="F17" s="15">
        <f>IF(表1[[#This Row],[level]]+1=E18,A18,"")</f>
        <v>100053</v>
      </c>
      <c r="G17" s="15" t="s">
        <v>133</v>
      </c>
      <c r="H17" s="15" t="str">
        <f t="shared" si="0"/>
        <v>8~12</v>
      </c>
      <c r="I17" s="16" t="s">
        <v>215</v>
      </c>
      <c r="J17" s="16" t="s">
        <v>51</v>
      </c>
      <c r="K17" s="15" t="s">
        <v>149</v>
      </c>
      <c r="L17" s="15" t="s">
        <v>107</v>
      </c>
      <c r="M17" s="7"/>
      <c r="N17" s="7"/>
      <c r="O17" s="8"/>
      <c r="P17" s="8" t="s">
        <v>38</v>
      </c>
      <c r="Q17" s="8">
        <f t="shared" si="5"/>
        <v>4</v>
      </c>
      <c r="R17" s="8">
        <f>R16+Q17/2</f>
        <v>7</v>
      </c>
      <c r="S17" s="8">
        <f>S16+Q16/2+1</f>
        <v>7.5</v>
      </c>
      <c r="T17" s="8">
        <f t="shared" ref="T17:T21" si="15">Q17+S17</f>
        <v>11.5</v>
      </c>
      <c r="U17" s="7"/>
      <c r="V17" s="7"/>
      <c r="W17" s="7"/>
      <c r="X17" s="7"/>
      <c r="Y17" s="7"/>
      <c r="Z17" s="7"/>
      <c r="AA17" s="7"/>
      <c r="AB17" s="7"/>
    </row>
    <row r="18" spans="1:28" x14ac:dyDescent="0.3">
      <c r="A18" s="15">
        <f t="shared" si="6"/>
        <v>100053</v>
      </c>
      <c r="B18" s="15" t="s">
        <v>250</v>
      </c>
      <c r="C18" s="58" t="s">
        <v>325</v>
      </c>
      <c r="D18" s="48" t="str">
        <f>[1]!颜色转换成内嵌函数()</f>
        <v>※color(93,152,171)[]</v>
      </c>
      <c r="E18" s="15">
        <f t="shared" si="7"/>
        <v>3</v>
      </c>
      <c r="F18" s="15" t="str">
        <f>IF(表1[[#This Row],[level]]+1=E19,A19,"")</f>
        <v/>
      </c>
      <c r="G18" s="15" t="s">
        <v>133</v>
      </c>
      <c r="H18" s="15" t="str">
        <f t="shared" si="0"/>
        <v>11~16</v>
      </c>
      <c r="I18" s="16" t="s">
        <v>215</v>
      </c>
      <c r="J18" s="16" t="s">
        <v>51</v>
      </c>
      <c r="K18" s="15" t="s">
        <v>150</v>
      </c>
      <c r="L18" s="15" t="s">
        <v>107</v>
      </c>
      <c r="M18" s="7"/>
      <c r="N18" s="7"/>
      <c r="O18" s="8"/>
      <c r="P18" s="8" t="s">
        <v>37</v>
      </c>
      <c r="Q18" s="8">
        <f t="shared" si="5"/>
        <v>5</v>
      </c>
      <c r="R18" s="8">
        <f t="shared" ref="R18" si="16">R17+Q18/2</f>
        <v>9.5</v>
      </c>
      <c r="S18" s="8">
        <f t="shared" ref="S18" si="17">S17+Q17/2+1</f>
        <v>10.5</v>
      </c>
      <c r="T18" s="8">
        <f t="shared" si="15"/>
        <v>15.5</v>
      </c>
      <c r="U18" s="7"/>
      <c r="V18" s="7"/>
      <c r="W18" s="7"/>
      <c r="X18" s="7"/>
      <c r="Y18" s="7"/>
      <c r="Z18" s="7"/>
      <c r="AA18" s="7"/>
      <c r="AB18" s="7"/>
    </row>
    <row r="19" spans="1:28" x14ac:dyDescent="0.3">
      <c r="A19" s="15">
        <f t="shared" si="6"/>
        <v>100061</v>
      </c>
      <c r="B19" s="15" t="s">
        <v>251</v>
      </c>
      <c r="C19" s="58" t="s">
        <v>326</v>
      </c>
      <c r="D19" s="49" t="str">
        <f>[1]!颜色转换成内嵌函数()</f>
        <v>※color(186,122,36)[]</v>
      </c>
      <c r="E19" s="15">
        <f t="shared" si="7"/>
        <v>1</v>
      </c>
      <c r="F19" s="15">
        <f>IF(表1[[#This Row],[level]]+1=E20,A20,"")</f>
        <v>100062</v>
      </c>
      <c r="G19" s="15" t="s">
        <v>133</v>
      </c>
      <c r="H19" s="15" t="str">
        <f t="shared" si="0"/>
        <v>5~8</v>
      </c>
      <c r="I19" s="16" t="s">
        <v>216</v>
      </c>
      <c r="J19" s="16" t="s">
        <v>51</v>
      </c>
      <c r="K19" s="15" t="s">
        <v>151</v>
      </c>
      <c r="L19" s="15" t="s">
        <v>108</v>
      </c>
      <c r="M19" s="7"/>
      <c r="N19" s="7"/>
      <c r="O19" s="8"/>
      <c r="P19" s="8" t="s">
        <v>39</v>
      </c>
      <c r="Q19" s="8">
        <f t="shared" si="5"/>
        <v>3</v>
      </c>
      <c r="R19" s="9">
        <v>5</v>
      </c>
      <c r="S19" s="8">
        <f>R19</f>
        <v>5</v>
      </c>
      <c r="T19" s="8">
        <f t="shared" si="15"/>
        <v>8</v>
      </c>
      <c r="U19" s="7"/>
      <c r="V19" s="7"/>
      <c r="W19" s="7"/>
      <c r="X19" s="7"/>
      <c r="Y19" s="7"/>
      <c r="Z19" s="7"/>
      <c r="AA19" s="7"/>
      <c r="AB19" s="7"/>
    </row>
    <row r="20" spans="1:28" x14ac:dyDescent="0.3">
      <c r="A20" s="15">
        <f t="shared" si="6"/>
        <v>100062</v>
      </c>
      <c r="B20" s="15" t="s">
        <v>252</v>
      </c>
      <c r="C20" s="58" t="s">
        <v>327</v>
      </c>
      <c r="D20" s="49" t="str">
        <f>[1]!颜色转换成内嵌函数()</f>
        <v>※color(186,122,36)[]</v>
      </c>
      <c r="E20" s="15">
        <f t="shared" si="7"/>
        <v>2</v>
      </c>
      <c r="F20" s="15">
        <f>IF(表1[[#This Row],[level]]+1=E21,A21,"")</f>
        <v>100063</v>
      </c>
      <c r="G20" s="15" t="s">
        <v>133</v>
      </c>
      <c r="H20" s="15" t="str">
        <f t="shared" si="0"/>
        <v>8~12</v>
      </c>
      <c r="I20" s="16" t="s">
        <v>216</v>
      </c>
      <c r="J20" s="16" t="s">
        <v>51</v>
      </c>
      <c r="K20" s="15" t="s">
        <v>152</v>
      </c>
      <c r="L20" s="15" t="s">
        <v>108</v>
      </c>
      <c r="M20" s="7"/>
      <c r="N20" s="7"/>
      <c r="O20" s="8"/>
      <c r="P20" s="8" t="s">
        <v>40</v>
      </c>
      <c r="Q20" s="8">
        <f t="shared" si="5"/>
        <v>4</v>
      </c>
      <c r="R20" s="8">
        <f>R19+Q20/2</f>
        <v>7</v>
      </c>
      <c r="S20" s="8">
        <f>S19+Q19/2+1</f>
        <v>7.5</v>
      </c>
      <c r="T20" s="8">
        <f t="shared" si="15"/>
        <v>11.5</v>
      </c>
      <c r="U20" s="7"/>
      <c r="V20" s="7"/>
      <c r="W20" s="7"/>
      <c r="X20" s="7"/>
      <c r="Y20" s="7"/>
      <c r="Z20" s="7"/>
      <c r="AA20" s="7"/>
      <c r="AB20" s="7"/>
    </row>
    <row r="21" spans="1:28" x14ac:dyDescent="0.3">
      <c r="A21" s="15">
        <f t="shared" si="6"/>
        <v>100063</v>
      </c>
      <c r="B21" s="15" t="s">
        <v>253</v>
      </c>
      <c r="C21" s="58" t="s">
        <v>328</v>
      </c>
      <c r="D21" s="49" t="str">
        <f>[1]!颜色转换成内嵌函数()</f>
        <v>※color(186,122,36)[]</v>
      </c>
      <c r="E21" s="15">
        <f t="shared" si="7"/>
        <v>3</v>
      </c>
      <c r="F21" s="15" t="str">
        <f>IF(表1[[#This Row],[level]]+1=E22,A22,"")</f>
        <v/>
      </c>
      <c r="G21" s="15" t="s">
        <v>133</v>
      </c>
      <c r="H21" s="15" t="str">
        <f t="shared" si="0"/>
        <v>11~16</v>
      </c>
      <c r="I21" s="16" t="s">
        <v>216</v>
      </c>
      <c r="J21" s="16" t="s">
        <v>51</v>
      </c>
      <c r="K21" s="15" t="s">
        <v>153</v>
      </c>
      <c r="L21" s="15" t="s">
        <v>108</v>
      </c>
      <c r="M21" s="7"/>
      <c r="N21" s="7"/>
      <c r="O21" s="8"/>
      <c r="P21" s="8" t="s">
        <v>41</v>
      </c>
      <c r="Q21" s="8">
        <f t="shared" si="5"/>
        <v>5</v>
      </c>
      <c r="R21" s="8">
        <f t="shared" ref="R21" si="18">R20+Q21/2</f>
        <v>9.5</v>
      </c>
      <c r="S21" s="8">
        <f t="shared" ref="S21" si="19">S20+Q20/2+1</f>
        <v>10.5</v>
      </c>
      <c r="T21" s="8">
        <f t="shared" si="15"/>
        <v>15.5</v>
      </c>
      <c r="U21" s="7"/>
      <c r="V21" s="7"/>
      <c r="W21" s="7"/>
      <c r="X21" s="7"/>
      <c r="Y21" s="7"/>
      <c r="Z21" s="7"/>
      <c r="AA21" s="7"/>
      <c r="AB21" s="7"/>
    </row>
    <row r="22" spans="1:28" x14ac:dyDescent="0.3">
      <c r="A22" s="15">
        <f t="shared" si="6"/>
        <v>100071</v>
      </c>
      <c r="B22" s="15" t="s">
        <v>254</v>
      </c>
      <c r="C22" s="58" t="s">
        <v>329</v>
      </c>
      <c r="D22" s="44" t="str">
        <f>[1]!颜色转换成内嵌函数()</f>
        <v>※color(181,79,79)[]</v>
      </c>
      <c r="E22" s="15">
        <f t="shared" si="7"/>
        <v>1</v>
      </c>
      <c r="F22" s="15">
        <f>IF(表1[[#This Row],[level]]+1=E23,A23,"")</f>
        <v>100072</v>
      </c>
      <c r="G22" s="15" t="s">
        <v>133</v>
      </c>
      <c r="H22" s="15" t="str">
        <f t="shared" si="0"/>
        <v>5~8</v>
      </c>
      <c r="I22" s="16" t="s">
        <v>217</v>
      </c>
      <c r="J22" s="16" t="s">
        <v>51</v>
      </c>
      <c r="K22" s="15" t="s">
        <v>154</v>
      </c>
      <c r="L22" s="15" t="s">
        <v>110</v>
      </c>
      <c r="M22" s="7"/>
      <c r="N22" s="7"/>
      <c r="O22" s="8"/>
      <c r="P22" s="8" t="s">
        <v>42</v>
      </c>
      <c r="Q22" s="8">
        <f t="shared" si="5"/>
        <v>3</v>
      </c>
      <c r="R22" s="9">
        <v>5</v>
      </c>
      <c r="S22" s="8">
        <f>R22</f>
        <v>5</v>
      </c>
      <c r="T22" s="8">
        <f>Q22+S22</f>
        <v>8</v>
      </c>
      <c r="U22" s="7"/>
      <c r="V22" s="7"/>
      <c r="W22" s="7"/>
      <c r="X22" s="7"/>
      <c r="Y22" s="7"/>
      <c r="Z22" s="7"/>
      <c r="AA22" s="7"/>
      <c r="AB22" s="7"/>
    </row>
    <row r="23" spans="1:28" x14ac:dyDescent="0.3">
      <c r="A23" s="15">
        <f t="shared" si="6"/>
        <v>100072</v>
      </c>
      <c r="B23" s="15" t="s">
        <v>255</v>
      </c>
      <c r="C23" s="58" t="s">
        <v>330</v>
      </c>
      <c r="D23" s="44" t="str">
        <f>[1]!颜色转换成内嵌函数()</f>
        <v>※color(181,79,79)[]</v>
      </c>
      <c r="E23" s="15">
        <f t="shared" si="7"/>
        <v>2</v>
      </c>
      <c r="F23" s="15">
        <f>IF(表1[[#This Row],[level]]+1=E24,A24,"")</f>
        <v>100073</v>
      </c>
      <c r="G23" s="15" t="s">
        <v>133</v>
      </c>
      <c r="H23" s="15" t="str">
        <f t="shared" si="0"/>
        <v>8~12</v>
      </c>
      <c r="I23" s="16" t="s">
        <v>217</v>
      </c>
      <c r="J23" s="16" t="s">
        <v>51</v>
      </c>
      <c r="K23" s="15" t="s">
        <v>155</v>
      </c>
      <c r="L23" s="15" t="s">
        <v>110</v>
      </c>
      <c r="M23" s="7"/>
      <c r="N23" s="7"/>
      <c r="O23" s="8"/>
      <c r="P23" s="8" t="s">
        <v>43</v>
      </c>
      <c r="Q23" s="8">
        <f t="shared" si="5"/>
        <v>4</v>
      </c>
      <c r="R23" s="8">
        <f>R22+Q23/2</f>
        <v>7</v>
      </c>
      <c r="S23" s="8">
        <f>S22+Q22/2+1</f>
        <v>7.5</v>
      </c>
      <c r="T23" s="8">
        <f t="shared" ref="T23:T27" si="20">Q23+S23</f>
        <v>11.5</v>
      </c>
      <c r="U23" s="7"/>
      <c r="V23" s="7"/>
      <c r="W23" s="7"/>
      <c r="X23" s="7"/>
      <c r="Y23" s="7"/>
      <c r="Z23" s="7"/>
      <c r="AA23" s="7"/>
      <c r="AB23" s="7"/>
    </row>
    <row r="24" spans="1:28" x14ac:dyDescent="0.3">
      <c r="A24" s="15">
        <f t="shared" si="6"/>
        <v>100073</v>
      </c>
      <c r="B24" s="15" t="s">
        <v>256</v>
      </c>
      <c r="C24" s="58" t="s">
        <v>331</v>
      </c>
      <c r="D24" s="44" t="str">
        <f>[1]!颜色转换成内嵌函数()</f>
        <v>※color(181,79,79)[]</v>
      </c>
      <c r="E24" s="15">
        <f t="shared" si="7"/>
        <v>3</v>
      </c>
      <c r="F24" s="15" t="str">
        <f>IF(表1[[#This Row],[level]]+1=E25,A25,"")</f>
        <v/>
      </c>
      <c r="G24" s="15" t="s">
        <v>133</v>
      </c>
      <c r="H24" s="15" t="str">
        <f t="shared" si="0"/>
        <v>11~16</v>
      </c>
      <c r="I24" s="16" t="s">
        <v>217</v>
      </c>
      <c r="J24" s="16" t="s">
        <v>51</v>
      </c>
      <c r="K24" s="15" t="s">
        <v>156</v>
      </c>
      <c r="L24" s="15" t="s">
        <v>111</v>
      </c>
      <c r="M24" s="7"/>
      <c r="N24" s="7"/>
      <c r="O24" s="8"/>
      <c r="P24" s="8" t="s">
        <v>44</v>
      </c>
      <c r="Q24" s="8">
        <f t="shared" si="5"/>
        <v>5</v>
      </c>
      <c r="R24" s="8">
        <f t="shared" ref="R24" si="21">R23+Q24/2</f>
        <v>9.5</v>
      </c>
      <c r="S24" s="8">
        <f t="shared" ref="S24" si="22">S23+Q23/2+1</f>
        <v>10.5</v>
      </c>
      <c r="T24" s="8">
        <f t="shared" si="20"/>
        <v>15.5</v>
      </c>
      <c r="U24" s="7"/>
      <c r="V24" s="7"/>
      <c r="W24" s="7"/>
      <c r="X24" s="7"/>
      <c r="Y24" s="7"/>
      <c r="Z24" s="7"/>
      <c r="AA24" s="7"/>
      <c r="AB24" s="7"/>
    </row>
    <row r="25" spans="1:28" x14ac:dyDescent="0.3">
      <c r="A25" s="15">
        <f t="shared" si="6"/>
        <v>100081</v>
      </c>
      <c r="B25" s="15" t="s">
        <v>257</v>
      </c>
      <c r="C25" s="58" t="s">
        <v>332</v>
      </c>
      <c r="D25" s="45" t="str">
        <f>[1]!颜色转换成内嵌函数()</f>
        <v>※color(181,79,162)[]</v>
      </c>
      <c r="E25" s="15">
        <f t="shared" si="7"/>
        <v>1</v>
      </c>
      <c r="F25" s="15">
        <f>IF(表1[[#This Row],[level]]+1=E26,A26,"")</f>
        <v>100082</v>
      </c>
      <c r="G25" s="15" t="s">
        <v>133</v>
      </c>
      <c r="H25" s="15" t="str">
        <f t="shared" si="0"/>
        <v>5~8</v>
      </c>
      <c r="I25" s="16" t="s">
        <v>218</v>
      </c>
      <c r="J25" s="16" t="s">
        <v>51</v>
      </c>
      <c r="K25" s="15" t="s">
        <v>157</v>
      </c>
      <c r="L25" s="15" t="s">
        <v>112</v>
      </c>
      <c r="M25" s="7"/>
      <c r="N25" s="7"/>
      <c r="O25" s="8"/>
      <c r="P25" s="8" t="s">
        <v>45</v>
      </c>
      <c r="Q25" s="8">
        <f t="shared" si="5"/>
        <v>3</v>
      </c>
      <c r="R25" s="9">
        <v>5</v>
      </c>
      <c r="S25" s="8">
        <f>R25</f>
        <v>5</v>
      </c>
      <c r="T25" s="8">
        <f t="shared" si="20"/>
        <v>8</v>
      </c>
      <c r="U25" s="7"/>
      <c r="V25" s="7"/>
      <c r="W25" s="7"/>
      <c r="X25" s="7"/>
      <c r="Y25" s="7"/>
      <c r="Z25" s="7"/>
      <c r="AA25" s="7"/>
      <c r="AB25" s="7"/>
    </row>
    <row r="26" spans="1:28" x14ac:dyDescent="0.3">
      <c r="A26" s="15">
        <f t="shared" si="6"/>
        <v>100082</v>
      </c>
      <c r="B26" s="15" t="s">
        <v>258</v>
      </c>
      <c r="C26" s="58" t="s">
        <v>333</v>
      </c>
      <c r="D26" s="45" t="str">
        <f>[1]!颜色转换成内嵌函数()</f>
        <v>※color(181,79,162)[]</v>
      </c>
      <c r="E26" s="15">
        <f t="shared" si="7"/>
        <v>2</v>
      </c>
      <c r="F26" s="15">
        <f>IF(表1[[#This Row],[level]]+1=E27,A27,"")</f>
        <v>100083</v>
      </c>
      <c r="G26" s="15" t="s">
        <v>133</v>
      </c>
      <c r="H26" s="15" t="str">
        <f t="shared" si="0"/>
        <v>8~12</v>
      </c>
      <c r="I26" s="16" t="s">
        <v>218</v>
      </c>
      <c r="J26" s="16" t="s">
        <v>51</v>
      </c>
      <c r="K26" s="15" t="s">
        <v>158</v>
      </c>
      <c r="L26" s="15" t="s">
        <v>113</v>
      </c>
      <c r="M26" s="7"/>
      <c r="N26" s="7"/>
      <c r="O26" s="8"/>
      <c r="P26" s="8" t="s">
        <v>45</v>
      </c>
      <c r="Q26" s="8">
        <f t="shared" si="5"/>
        <v>4</v>
      </c>
      <c r="R26" s="8">
        <f>R25+Q26/2</f>
        <v>7</v>
      </c>
      <c r="S26" s="8">
        <f>S25+Q25/2+1</f>
        <v>7.5</v>
      </c>
      <c r="T26" s="8">
        <f t="shared" si="20"/>
        <v>11.5</v>
      </c>
      <c r="U26" s="7"/>
      <c r="V26" s="7"/>
      <c r="W26" s="7"/>
      <c r="X26" s="7"/>
      <c r="Y26" s="7"/>
      <c r="Z26" s="7"/>
      <c r="AA26" s="7"/>
      <c r="AB26" s="7"/>
    </row>
    <row r="27" spans="1:28" x14ac:dyDescent="0.3">
      <c r="A27" s="15">
        <f t="shared" si="6"/>
        <v>100083</v>
      </c>
      <c r="B27" s="15" t="s">
        <v>259</v>
      </c>
      <c r="C27" s="58" t="s">
        <v>334</v>
      </c>
      <c r="D27" s="45" t="str">
        <f>[1]!颜色转换成内嵌函数()</f>
        <v>※color(181,79,162)[]</v>
      </c>
      <c r="E27" s="15">
        <f t="shared" si="7"/>
        <v>3</v>
      </c>
      <c r="F27" s="15" t="str">
        <f>IF(表1[[#This Row],[level]]+1=E28,A28,"")</f>
        <v/>
      </c>
      <c r="G27" s="15" t="s">
        <v>133</v>
      </c>
      <c r="H27" s="15" t="str">
        <f t="shared" si="0"/>
        <v>11~16</v>
      </c>
      <c r="I27" s="16" t="s">
        <v>218</v>
      </c>
      <c r="J27" s="16" t="s">
        <v>51</v>
      </c>
      <c r="K27" s="15" t="s">
        <v>159</v>
      </c>
      <c r="L27" s="15" t="s">
        <v>112</v>
      </c>
      <c r="M27" s="7"/>
      <c r="N27" s="7"/>
      <c r="O27" s="8"/>
      <c r="P27" s="8" t="s">
        <v>45</v>
      </c>
      <c r="Q27" s="8">
        <f t="shared" si="5"/>
        <v>5</v>
      </c>
      <c r="R27" s="8">
        <f t="shared" ref="R27" si="23">R26+Q27/2</f>
        <v>9.5</v>
      </c>
      <c r="S27" s="8">
        <f t="shared" ref="S27" si="24">S26+Q26/2+1</f>
        <v>10.5</v>
      </c>
      <c r="T27" s="8">
        <f t="shared" si="20"/>
        <v>15.5</v>
      </c>
      <c r="U27" s="7"/>
      <c r="V27" s="7"/>
      <c r="W27" s="7"/>
      <c r="X27" s="7"/>
      <c r="Y27" s="7"/>
      <c r="Z27" s="7"/>
      <c r="AA27" s="7"/>
      <c r="AB27" s="7"/>
    </row>
    <row r="28" spans="1:28" x14ac:dyDescent="0.3">
      <c r="A28" s="15">
        <f t="shared" si="6"/>
        <v>100091</v>
      </c>
      <c r="B28" s="15" t="s">
        <v>260</v>
      </c>
      <c r="C28" s="58" t="s">
        <v>335</v>
      </c>
      <c r="D28" s="46" t="str">
        <f>[1]!颜色转换成内嵌函数()</f>
        <v>※color(195,213,89)[]</v>
      </c>
      <c r="E28" s="15">
        <f t="shared" si="7"/>
        <v>1</v>
      </c>
      <c r="F28" s="15">
        <f>IF(表1[[#This Row],[level]]+1=E29,A29,"")</f>
        <v>100092</v>
      </c>
      <c r="G28" s="15" t="s">
        <v>133</v>
      </c>
      <c r="H28" s="15" t="str">
        <f t="shared" si="0"/>
        <v>5~8</v>
      </c>
      <c r="I28" s="16" t="s">
        <v>219</v>
      </c>
      <c r="J28" s="16" t="s">
        <v>51</v>
      </c>
      <c r="K28" s="15" t="s">
        <v>160</v>
      </c>
      <c r="L28" s="15" t="s">
        <v>112</v>
      </c>
      <c r="M28" s="7"/>
      <c r="N28" s="7"/>
      <c r="O28" s="8"/>
      <c r="P28" s="8" t="s">
        <v>29</v>
      </c>
      <c r="Q28" s="8">
        <v>3</v>
      </c>
      <c r="R28" s="9">
        <v>5</v>
      </c>
      <c r="S28" s="8">
        <f>R28</f>
        <v>5</v>
      </c>
      <c r="T28" s="8">
        <f>Q28+S28</f>
        <v>8</v>
      </c>
      <c r="U28" s="7"/>
      <c r="V28" s="7"/>
      <c r="W28" s="7"/>
      <c r="X28" s="7"/>
      <c r="Y28" s="7"/>
      <c r="Z28" s="7"/>
      <c r="AA28" s="7"/>
      <c r="AB28" s="7"/>
    </row>
    <row r="29" spans="1:28" x14ac:dyDescent="0.3">
      <c r="A29" s="15">
        <f t="shared" si="6"/>
        <v>100092</v>
      </c>
      <c r="B29" s="15" t="s">
        <v>261</v>
      </c>
      <c r="C29" s="58" t="s">
        <v>336</v>
      </c>
      <c r="D29" s="46" t="str">
        <f>[1]!颜色转换成内嵌函数()</f>
        <v>※color(195,213,89)[]</v>
      </c>
      <c r="E29" s="15">
        <f t="shared" si="7"/>
        <v>2</v>
      </c>
      <c r="F29" s="15">
        <f>IF(表1[[#This Row],[level]]+1=E30,A30,"")</f>
        <v>100093</v>
      </c>
      <c r="G29" s="15" t="s">
        <v>133</v>
      </c>
      <c r="H29" s="15" t="str">
        <f t="shared" si="0"/>
        <v>8~12</v>
      </c>
      <c r="I29" s="16" t="s">
        <v>219</v>
      </c>
      <c r="J29" s="16" t="s">
        <v>51</v>
      </c>
      <c r="K29" s="15" t="s">
        <v>161</v>
      </c>
      <c r="L29" s="15" t="s">
        <v>114</v>
      </c>
      <c r="M29" s="7"/>
      <c r="N29" s="7"/>
      <c r="O29" s="8"/>
      <c r="P29" s="8" t="s">
        <v>29</v>
      </c>
      <c r="Q29" s="8">
        <v>4</v>
      </c>
      <c r="R29" s="8">
        <f>R28+Q29/2</f>
        <v>7</v>
      </c>
      <c r="S29" s="8">
        <f>S28+Q28/2+1</f>
        <v>7.5</v>
      </c>
      <c r="T29" s="8">
        <f t="shared" ref="T29:T33" si="25">Q29+S29</f>
        <v>11.5</v>
      </c>
      <c r="U29" s="7"/>
      <c r="V29" s="7"/>
      <c r="W29" s="7"/>
      <c r="X29" s="7"/>
      <c r="Y29" s="7"/>
      <c r="Z29" s="7"/>
      <c r="AA29" s="7"/>
      <c r="AB29" s="7"/>
    </row>
    <row r="30" spans="1:28" x14ac:dyDescent="0.3">
      <c r="A30" s="15">
        <f t="shared" si="6"/>
        <v>100093</v>
      </c>
      <c r="B30" s="15" t="s">
        <v>262</v>
      </c>
      <c r="C30" s="58" t="s">
        <v>337</v>
      </c>
      <c r="D30" s="46" t="str">
        <f>[1]!颜色转换成内嵌函数()</f>
        <v>※color(195,213,89)[]</v>
      </c>
      <c r="E30" s="15">
        <f t="shared" si="7"/>
        <v>3</v>
      </c>
      <c r="F30" s="15" t="str">
        <f>IF(表1[[#This Row],[level]]+1=E31,A31,"")</f>
        <v/>
      </c>
      <c r="G30" s="15" t="s">
        <v>133</v>
      </c>
      <c r="H30" s="15" t="str">
        <f t="shared" si="0"/>
        <v>11~16</v>
      </c>
      <c r="I30" s="16" t="s">
        <v>219</v>
      </c>
      <c r="J30" s="16" t="s">
        <v>51</v>
      </c>
      <c r="K30" s="15" t="s">
        <v>162</v>
      </c>
      <c r="L30" s="15" t="s">
        <v>115</v>
      </c>
      <c r="M30" s="7"/>
      <c r="N30" s="7"/>
      <c r="O30" s="8"/>
      <c r="P30" s="8" t="s">
        <v>29</v>
      </c>
      <c r="Q30" s="8">
        <v>5</v>
      </c>
      <c r="R30" s="8">
        <f t="shared" ref="R30" si="26">R29+Q30/2</f>
        <v>9.5</v>
      </c>
      <c r="S30" s="8">
        <f t="shared" ref="S30" si="27">S29+Q29/2+1</f>
        <v>10.5</v>
      </c>
      <c r="T30" s="8">
        <f t="shared" si="25"/>
        <v>15.5</v>
      </c>
      <c r="U30" s="7"/>
      <c r="V30" s="7"/>
      <c r="W30" s="7"/>
      <c r="X30" s="7"/>
      <c r="Y30" s="7"/>
      <c r="Z30" s="7"/>
      <c r="AA30" s="7"/>
      <c r="AB30" s="7"/>
    </row>
    <row r="31" spans="1:28" x14ac:dyDescent="0.3">
      <c r="A31" s="15">
        <f t="shared" si="6"/>
        <v>100101</v>
      </c>
      <c r="B31" s="15" t="s">
        <v>263</v>
      </c>
      <c r="C31" s="58" t="s">
        <v>338</v>
      </c>
      <c r="D31" s="47" t="str">
        <f>[1]!颜色转换成内嵌函数()</f>
        <v>※color(88,214,202)[]</v>
      </c>
      <c r="E31" s="15">
        <f t="shared" si="7"/>
        <v>1</v>
      </c>
      <c r="F31" s="15">
        <f>IF(表1[[#This Row],[level]]+1=E32,A32,"")</f>
        <v>100102</v>
      </c>
      <c r="G31" s="15" t="s">
        <v>133</v>
      </c>
      <c r="H31" s="15" t="str">
        <f t="shared" si="0"/>
        <v>5~8</v>
      </c>
      <c r="I31" s="16" t="s">
        <v>220</v>
      </c>
      <c r="J31" s="16" t="s">
        <v>51</v>
      </c>
      <c r="K31" s="15" t="s">
        <v>163</v>
      </c>
      <c r="L31" s="15" t="s">
        <v>115</v>
      </c>
      <c r="M31" s="7"/>
      <c r="N31" s="7"/>
      <c r="O31" s="8"/>
      <c r="P31" s="8" t="s">
        <v>22</v>
      </c>
      <c r="Q31" s="8">
        <f t="shared" ref="Q31:Q51" si="28">Q28</f>
        <v>3</v>
      </c>
      <c r="R31" s="9">
        <v>5</v>
      </c>
      <c r="S31" s="8">
        <f>R31</f>
        <v>5</v>
      </c>
      <c r="T31" s="8">
        <f t="shared" si="25"/>
        <v>8</v>
      </c>
      <c r="U31" s="7"/>
      <c r="V31" s="7"/>
      <c r="W31" s="7"/>
      <c r="X31" s="7"/>
      <c r="Y31" s="7"/>
      <c r="Z31" s="7"/>
      <c r="AA31" s="7"/>
      <c r="AB31" s="7"/>
    </row>
    <row r="32" spans="1:28" x14ac:dyDescent="0.3">
      <c r="A32" s="15">
        <f t="shared" si="6"/>
        <v>100102</v>
      </c>
      <c r="B32" s="15" t="s">
        <v>264</v>
      </c>
      <c r="C32" s="58" t="s">
        <v>339</v>
      </c>
      <c r="D32" s="47" t="str">
        <f>[1]!颜色转换成内嵌函数()</f>
        <v>※color(88,214,202)[]</v>
      </c>
      <c r="E32" s="15">
        <f t="shared" si="7"/>
        <v>2</v>
      </c>
      <c r="F32" s="15">
        <f>IF(表1[[#This Row],[level]]+1=E33,A33,"")</f>
        <v>100103</v>
      </c>
      <c r="G32" s="15" t="s">
        <v>133</v>
      </c>
      <c r="H32" s="15" t="str">
        <f t="shared" si="0"/>
        <v>8~12</v>
      </c>
      <c r="I32" s="16" t="s">
        <v>220</v>
      </c>
      <c r="J32" s="16" t="s">
        <v>51</v>
      </c>
      <c r="K32" s="15" t="s">
        <v>164</v>
      </c>
      <c r="L32" s="15" t="s">
        <v>115</v>
      </c>
      <c r="M32" s="7"/>
      <c r="N32" s="7"/>
      <c r="O32" s="8"/>
      <c r="P32" s="8" t="s">
        <v>22</v>
      </c>
      <c r="Q32" s="8">
        <f t="shared" si="28"/>
        <v>4</v>
      </c>
      <c r="R32" s="8">
        <f>R31+Q32/2</f>
        <v>7</v>
      </c>
      <c r="S32" s="8">
        <f>S31+Q31/2+1</f>
        <v>7.5</v>
      </c>
      <c r="T32" s="8">
        <f t="shared" si="25"/>
        <v>11.5</v>
      </c>
      <c r="U32" s="7"/>
      <c r="V32" s="7"/>
      <c r="W32" s="7"/>
      <c r="X32" s="7"/>
      <c r="Y32" s="7"/>
      <c r="Z32" s="7"/>
      <c r="AA32" s="7"/>
      <c r="AB32" s="7"/>
    </row>
    <row r="33" spans="1:28" x14ac:dyDescent="0.3">
      <c r="A33" s="15">
        <f t="shared" si="6"/>
        <v>100103</v>
      </c>
      <c r="B33" s="15" t="s">
        <v>265</v>
      </c>
      <c r="C33" s="58" t="s">
        <v>340</v>
      </c>
      <c r="D33" s="47" t="str">
        <f>[1]!颜色转换成内嵌函数()</f>
        <v>※color(88,214,202)[]</v>
      </c>
      <c r="E33" s="15">
        <f t="shared" si="7"/>
        <v>3</v>
      </c>
      <c r="F33" s="15" t="str">
        <f>IF(表1[[#This Row],[level]]+1=E34,A34,"")</f>
        <v/>
      </c>
      <c r="G33" s="15" t="s">
        <v>133</v>
      </c>
      <c r="H33" s="15" t="str">
        <f t="shared" si="0"/>
        <v>11~16</v>
      </c>
      <c r="I33" s="16" t="s">
        <v>220</v>
      </c>
      <c r="J33" s="16" t="s">
        <v>51</v>
      </c>
      <c r="K33" s="15" t="s">
        <v>165</v>
      </c>
      <c r="L33" s="15" t="s">
        <v>116</v>
      </c>
      <c r="M33" s="7"/>
      <c r="N33" s="7"/>
      <c r="O33" s="8"/>
      <c r="P33" s="8" t="s">
        <v>22</v>
      </c>
      <c r="Q33" s="8">
        <f t="shared" si="28"/>
        <v>5</v>
      </c>
      <c r="R33" s="8">
        <f t="shared" ref="R33" si="29">R32+Q33/2</f>
        <v>9.5</v>
      </c>
      <c r="S33" s="8">
        <f t="shared" ref="S33" si="30">S32+Q32/2+1</f>
        <v>10.5</v>
      </c>
      <c r="T33" s="8">
        <f t="shared" si="25"/>
        <v>15.5</v>
      </c>
      <c r="U33" s="7"/>
      <c r="V33" s="7"/>
      <c r="W33" s="7"/>
      <c r="X33" s="7"/>
      <c r="Y33" s="7"/>
      <c r="Z33" s="7"/>
      <c r="AA33" s="7"/>
      <c r="AB33" s="7"/>
    </row>
    <row r="34" spans="1:28" x14ac:dyDescent="0.3">
      <c r="A34" s="15">
        <f t="shared" si="6"/>
        <v>100111</v>
      </c>
      <c r="B34" s="15" t="s">
        <v>266</v>
      </c>
      <c r="C34" s="58" t="s">
        <v>341</v>
      </c>
      <c r="D34" s="48" t="str">
        <f>[1]!颜色转换成内嵌函数()</f>
        <v>※color(93,152,171)[]</v>
      </c>
      <c r="E34" s="15">
        <f t="shared" si="7"/>
        <v>1</v>
      </c>
      <c r="F34" s="15">
        <f>IF(表1[[#This Row],[level]]+1=E35,A35,"")</f>
        <v>100112</v>
      </c>
      <c r="G34" s="15" t="s">
        <v>133</v>
      </c>
      <c r="H34" s="15" t="str">
        <f t="shared" si="0"/>
        <v>5~8</v>
      </c>
      <c r="I34" s="16" t="s">
        <v>221</v>
      </c>
      <c r="J34" s="16" t="s">
        <v>51</v>
      </c>
      <c r="K34" s="15" t="s">
        <v>166</v>
      </c>
      <c r="L34" s="15" t="s">
        <v>117</v>
      </c>
      <c r="M34" s="7"/>
      <c r="N34" s="7"/>
      <c r="O34" s="8"/>
      <c r="P34" s="8" t="s">
        <v>23</v>
      </c>
      <c r="Q34" s="8">
        <f t="shared" si="28"/>
        <v>3</v>
      </c>
      <c r="R34" s="9">
        <v>5</v>
      </c>
      <c r="S34" s="8">
        <f>R34</f>
        <v>5</v>
      </c>
      <c r="T34" s="8">
        <f>Q34+S34</f>
        <v>8</v>
      </c>
      <c r="U34" s="7"/>
      <c r="V34" s="7"/>
      <c r="W34" s="7"/>
      <c r="X34" s="7"/>
      <c r="Y34" s="7"/>
      <c r="Z34" s="7"/>
      <c r="AA34" s="7"/>
      <c r="AB34" s="7"/>
    </row>
    <row r="35" spans="1:28" x14ac:dyDescent="0.3">
      <c r="A35" s="15">
        <f t="shared" si="6"/>
        <v>100112</v>
      </c>
      <c r="B35" s="15" t="s">
        <v>267</v>
      </c>
      <c r="C35" s="58" t="s">
        <v>342</v>
      </c>
      <c r="D35" s="48" t="str">
        <f>[1]!颜色转换成内嵌函数()</f>
        <v>※color(93,152,171)[]</v>
      </c>
      <c r="E35" s="15">
        <f t="shared" si="7"/>
        <v>2</v>
      </c>
      <c r="F35" s="15">
        <f>IF(表1[[#This Row],[level]]+1=E36,A36,"")</f>
        <v>100113</v>
      </c>
      <c r="G35" s="15" t="s">
        <v>133</v>
      </c>
      <c r="H35" s="15" t="str">
        <f t="shared" si="0"/>
        <v>8~12</v>
      </c>
      <c r="I35" s="16" t="s">
        <v>221</v>
      </c>
      <c r="J35" s="16" t="s">
        <v>51</v>
      </c>
      <c r="K35" s="15" t="s">
        <v>167</v>
      </c>
      <c r="L35" s="15" t="s">
        <v>118</v>
      </c>
      <c r="M35" s="7"/>
      <c r="N35" s="7"/>
      <c r="O35" s="8"/>
      <c r="P35" s="8" t="s">
        <v>23</v>
      </c>
      <c r="Q35" s="8">
        <f t="shared" si="28"/>
        <v>4</v>
      </c>
      <c r="R35" s="8">
        <f>R34+Q35/2</f>
        <v>7</v>
      </c>
      <c r="S35" s="8">
        <f>S34+Q34/2+1</f>
        <v>7.5</v>
      </c>
      <c r="T35" s="8">
        <f t="shared" ref="T35:T39" si="31">Q35+S35</f>
        <v>11.5</v>
      </c>
      <c r="U35" s="7"/>
      <c r="V35" s="7"/>
      <c r="W35" s="7"/>
      <c r="X35" s="7"/>
      <c r="Y35" s="7"/>
      <c r="Z35" s="7"/>
      <c r="AA35" s="7"/>
      <c r="AB35" s="7"/>
    </row>
    <row r="36" spans="1:28" x14ac:dyDescent="0.3">
      <c r="A36" s="15">
        <f t="shared" si="6"/>
        <v>100113</v>
      </c>
      <c r="B36" s="15" t="s">
        <v>268</v>
      </c>
      <c r="C36" s="58" t="s">
        <v>343</v>
      </c>
      <c r="D36" s="48" t="str">
        <f>[1]!颜色转换成内嵌函数()</f>
        <v>※color(93,152,171)[]</v>
      </c>
      <c r="E36" s="15">
        <f t="shared" si="7"/>
        <v>3</v>
      </c>
      <c r="F36" s="15" t="str">
        <f>IF(表1[[#This Row],[level]]+1=E37,A37,"")</f>
        <v/>
      </c>
      <c r="G36" s="15" t="s">
        <v>133</v>
      </c>
      <c r="H36" s="15" t="str">
        <f t="shared" si="0"/>
        <v>11~16</v>
      </c>
      <c r="I36" s="16" t="s">
        <v>221</v>
      </c>
      <c r="J36" s="16" t="s">
        <v>51</v>
      </c>
      <c r="K36" s="15" t="s">
        <v>168</v>
      </c>
      <c r="L36" s="15" t="s">
        <v>119</v>
      </c>
      <c r="M36" s="7"/>
      <c r="N36" s="7"/>
      <c r="O36" s="8"/>
      <c r="P36" s="8" t="s">
        <v>23</v>
      </c>
      <c r="Q36" s="8">
        <f t="shared" si="28"/>
        <v>5</v>
      </c>
      <c r="R36" s="8">
        <f t="shared" ref="R36" si="32">R35+Q36/2</f>
        <v>9.5</v>
      </c>
      <c r="S36" s="8">
        <f t="shared" ref="S36" si="33">S35+Q35/2+1</f>
        <v>10.5</v>
      </c>
      <c r="T36" s="8">
        <f t="shared" si="31"/>
        <v>15.5</v>
      </c>
      <c r="U36" s="7"/>
      <c r="V36" s="7"/>
      <c r="W36" s="7"/>
      <c r="X36" s="7"/>
      <c r="Y36" s="7"/>
      <c r="Z36" s="7"/>
      <c r="AA36" s="7"/>
      <c r="AB36" s="7"/>
    </row>
    <row r="37" spans="1:28" x14ac:dyDescent="0.3">
      <c r="A37" s="15">
        <f t="shared" si="6"/>
        <v>100121</v>
      </c>
      <c r="B37" s="15" t="s">
        <v>269</v>
      </c>
      <c r="C37" s="58" t="s">
        <v>344</v>
      </c>
      <c r="D37" s="49" t="str">
        <f>[1]!颜色转换成内嵌函数()</f>
        <v>※color(186,122,36)[]</v>
      </c>
      <c r="E37" s="15">
        <f t="shared" si="7"/>
        <v>1</v>
      </c>
      <c r="F37" s="15">
        <f>IF(表1[[#This Row],[level]]+1=E38,A38,"")</f>
        <v>100122</v>
      </c>
      <c r="G37" s="15" t="s">
        <v>133</v>
      </c>
      <c r="H37" s="15" t="str">
        <f t="shared" si="0"/>
        <v>5~8</v>
      </c>
      <c r="I37" s="16" t="s">
        <v>222</v>
      </c>
      <c r="J37" s="16" t="s">
        <v>51</v>
      </c>
      <c r="K37" s="15" t="s">
        <v>169</v>
      </c>
      <c r="L37" s="15" t="s">
        <v>119</v>
      </c>
      <c r="M37" s="7"/>
      <c r="N37" s="7"/>
      <c r="O37" s="8"/>
      <c r="P37" s="8" t="s">
        <v>24</v>
      </c>
      <c r="Q37" s="8">
        <f t="shared" si="28"/>
        <v>3</v>
      </c>
      <c r="R37" s="9">
        <v>5</v>
      </c>
      <c r="S37" s="8">
        <f>R37</f>
        <v>5</v>
      </c>
      <c r="T37" s="8">
        <f t="shared" si="31"/>
        <v>8</v>
      </c>
      <c r="U37" s="7"/>
      <c r="V37" s="7"/>
      <c r="W37" s="7"/>
      <c r="X37" s="7"/>
      <c r="Y37" s="7"/>
      <c r="Z37" s="7"/>
      <c r="AA37" s="7"/>
      <c r="AB37" s="7"/>
    </row>
    <row r="38" spans="1:28" x14ac:dyDescent="0.3">
      <c r="A38" s="15">
        <f t="shared" si="6"/>
        <v>100122</v>
      </c>
      <c r="B38" s="15" t="s">
        <v>270</v>
      </c>
      <c r="C38" s="58" t="s">
        <v>345</v>
      </c>
      <c r="D38" s="49" t="str">
        <f>[1]!颜色转换成内嵌函数()</f>
        <v>※color(186,122,36)[]</v>
      </c>
      <c r="E38" s="15">
        <f t="shared" si="7"/>
        <v>2</v>
      </c>
      <c r="F38" s="15">
        <f>IF(表1[[#This Row],[level]]+1=E39,A39,"")</f>
        <v>100123</v>
      </c>
      <c r="G38" s="15" t="s">
        <v>133</v>
      </c>
      <c r="H38" s="15" t="str">
        <f t="shared" si="0"/>
        <v>8~12</v>
      </c>
      <c r="I38" s="16" t="s">
        <v>222</v>
      </c>
      <c r="J38" s="16" t="s">
        <v>51</v>
      </c>
      <c r="K38" s="15" t="s">
        <v>170</v>
      </c>
      <c r="L38" s="15" t="s">
        <v>119</v>
      </c>
      <c r="M38" s="7"/>
      <c r="N38" s="7"/>
      <c r="O38" s="8"/>
      <c r="P38" s="8" t="s">
        <v>24</v>
      </c>
      <c r="Q38" s="8">
        <f t="shared" si="28"/>
        <v>4</v>
      </c>
      <c r="R38" s="8">
        <f>R37+Q38/2</f>
        <v>7</v>
      </c>
      <c r="S38" s="8">
        <f>S37+Q37/2+1</f>
        <v>7.5</v>
      </c>
      <c r="T38" s="8">
        <f t="shared" si="31"/>
        <v>11.5</v>
      </c>
      <c r="U38" s="7"/>
      <c r="V38" s="7"/>
      <c r="W38" s="7"/>
      <c r="X38" s="7"/>
      <c r="Y38" s="7"/>
      <c r="Z38" s="7"/>
      <c r="AA38" s="7"/>
      <c r="AB38" s="7"/>
    </row>
    <row r="39" spans="1:28" x14ac:dyDescent="0.3">
      <c r="A39" s="15">
        <f t="shared" si="6"/>
        <v>100123</v>
      </c>
      <c r="B39" s="15" t="s">
        <v>271</v>
      </c>
      <c r="C39" s="58" t="s">
        <v>346</v>
      </c>
      <c r="D39" s="49" t="str">
        <f>[1]!颜色转换成内嵌函数()</f>
        <v>※color(186,122,36)[]</v>
      </c>
      <c r="E39" s="15">
        <f t="shared" si="7"/>
        <v>3</v>
      </c>
      <c r="F39" s="15" t="str">
        <f>IF(表1[[#This Row],[level]]+1=E40,A40,"")</f>
        <v/>
      </c>
      <c r="G39" s="15" t="s">
        <v>133</v>
      </c>
      <c r="H39" s="15" t="str">
        <f t="shared" si="0"/>
        <v>11~16</v>
      </c>
      <c r="I39" s="16" t="s">
        <v>222</v>
      </c>
      <c r="J39" s="16" t="s">
        <v>51</v>
      </c>
      <c r="K39" s="15" t="s">
        <v>171</v>
      </c>
      <c r="L39" s="15" t="s">
        <v>120</v>
      </c>
      <c r="M39" s="7"/>
      <c r="N39" s="7"/>
      <c r="O39" s="8"/>
      <c r="P39" s="8" t="s">
        <v>24</v>
      </c>
      <c r="Q39" s="8">
        <f t="shared" si="28"/>
        <v>5</v>
      </c>
      <c r="R39" s="8">
        <f t="shared" ref="R39" si="34">R38+Q39/2</f>
        <v>9.5</v>
      </c>
      <c r="S39" s="8">
        <f t="shared" ref="S39" si="35">S38+Q38/2+1</f>
        <v>10.5</v>
      </c>
      <c r="T39" s="8">
        <f t="shared" si="31"/>
        <v>15.5</v>
      </c>
      <c r="U39" s="7"/>
      <c r="V39" s="7"/>
      <c r="W39" s="7"/>
      <c r="X39" s="7"/>
      <c r="Y39" s="7"/>
      <c r="Z39" s="7"/>
      <c r="AA39" s="7"/>
      <c r="AB39" s="7"/>
    </row>
    <row r="40" spans="1:28" x14ac:dyDescent="0.3">
      <c r="A40" s="15">
        <f t="shared" si="6"/>
        <v>100131</v>
      </c>
      <c r="B40" s="15" t="s">
        <v>272</v>
      </c>
      <c r="C40" s="58" t="s">
        <v>347</v>
      </c>
      <c r="D40" s="44" t="str">
        <f>[1]!颜色转换成内嵌函数()</f>
        <v>※color(181,79,79)[]</v>
      </c>
      <c r="E40" s="15">
        <f t="shared" si="7"/>
        <v>1</v>
      </c>
      <c r="F40" s="15">
        <f>IF(表1[[#This Row],[level]]+1=E41,A41,"")</f>
        <v>100132</v>
      </c>
      <c r="G40" s="15" t="s">
        <v>133</v>
      </c>
      <c r="H40" s="15" t="str">
        <f t="shared" si="0"/>
        <v>5~8</v>
      </c>
      <c r="I40" s="18" t="s">
        <v>223</v>
      </c>
      <c r="J40" s="16" t="s">
        <v>51</v>
      </c>
      <c r="K40" s="19" t="s">
        <v>172</v>
      </c>
      <c r="L40" s="15" t="s">
        <v>99</v>
      </c>
      <c r="M40" s="7"/>
      <c r="N40" s="7"/>
      <c r="O40" s="8"/>
      <c r="P40" s="8" t="s">
        <v>25</v>
      </c>
      <c r="Q40" s="8">
        <f t="shared" si="28"/>
        <v>3</v>
      </c>
      <c r="R40" s="9">
        <v>5</v>
      </c>
      <c r="S40" s="8">
        <f>R40</f>
        <v>5</v>
      </c>
      <c r="T40" s="8">
        <f>Q40+S40</f>
        <v>8</v>
      </c>
      <c r="U40" s="7"/>
      <c r="V40" s="7"/>
      <c r="W40" s="7"/>
      <c r="X40" s="7"/>
      <c r="Y40" s="7"/>
      <c r="Z40" s="7"/>
      <c r="AA40" s="7"/>
      <c r="AB40" s="7"/>
    </row>
    <row r="41" spans="1:28" x14ac:dyDescent="0.3">
      <c r="A41" s="15">
        <f t="shared" si="6"/>
        <v>100132</v>
      </c>
      <c r="B41" s="15" t="s">
        <v>273</v>
      </c>
      <c r="C41" s="58" t="s">
        <v>348</v>
      </c>
      <c r="D41" s="44" t="str">
        <f>[1]!颜色转换成内嵌函数()</f>
        <v>※color(181,79,79)[]</v>
      </c>
      <c r="E41" s="15">
        <f t="shared" si="7"/>
        <v>2</v>
      </c>
      <c r="F41" s="15">
        <f>IF(表1[[#This Row],[level]]+1=E42,A42,"")</f>
        <v>100133</v>
      </c>
      <c r="G41" s="15" t="s">
        <v>133</v>
      </c>
      <c r="H41" s="15" t="str">
        <f t="shared" si="0"/>
        <v>8~12</v>
      </c>
      <c r="I41" s="18" t="s">
        <v>223</v>
      </c>
      <c r="J41" s="16" t="s">
        <v>51</v>
      </c>
      <c r="K41" s="19" t="s">
        <v>173</v>
      </c>
      <c r="L41" s="15" t="s">
        <v>121</v>
      </c>
      <c r="M41" s="7"/>
      <c r="N41" s="7"/>
      <c r="O41" s="8"/>
      <c r="P41" s="8" t="s">
        <v>25</v>
      </c>
      <c r="Q41" s="8">
        <f t="shared" si="28"/>
        <v>4</v>
      </c>
      <c r="R41" s="8">
        <f>R40+Q41/2</f>
        <v>7</v>
      </c>
      <c r="S41" s="8">
        <f>S40+Q40/2+1</f>
        <v>7.5</v>
      </c>
      <c r="T41" s="8">
        <f t="shared" ref="T41:T45" si="36">Q41+S41</f>
        <v>11.5</v>
      </c>
      <c r="U41" s="7"/>
      <c r="V41" s="7"/>
      <c r="W41" s="7"/>
      <c r="X41" s="7"/>
      <c r="Y41" s="7"/>
      <c r="Z41" s="7"/>
      <c r="AA41" s="7"/>
      <c r="AB41" s="7"/>
    </row>
    <row r="42" spans="1:28" x14ac:dyDescent="0.3">
      <c r="A42" s="15">
        <f t="shared" si="6"/>
        <v>100133</v>
      </c>
      <c r="B42" s="15" t="s">
        <v>274</v>
      </c>
      <c r="C42" s="58" t="s">
        <v>349</v>
      </c>
      <c r="D42" s="44" t="str">
        <f>[1]!颜色转换成内嵌函数()</f>
        <v>※color(181,79,79)[]</v>
      </c>
      <c r="E42" s="15">
        <f t="shared" si="7"/>
        <v>3</v>
      </c>
      <c r="F42" s="15" t="str">
        <f>IF(表1[[#This Row],[level]]+1=E43,A43,"")</f>
        <v/>
      </c>
      <c r="G42" s="15" t="s">
        <v>133</v>
      </c>
      <c r="H42" s="15" t="str">
        <f t="shared" si="0"/>
        <v>11~16</v>
      </c>
      <c r="I42" s="18" t="s">
        <v>223</v>
      </c>
      <c r="J42" s="16" t="s">
        <v>51</v>
      </c>
      <c r="K42" s="19" t="s">
        <v>174</v>
      </c>
      <c r="L42" s="15" t="s">
        <v>122</v>
      </c>
      <c r="M42" s="7"/>
      <c r="N42" s="7"/>
      <c r="O42" s="8"/>
      <c r="P42" s="8" t="s">
        <v>25</v>
      </c>
      <c r="Q42" s="8">
        <f t="shared" si="28"/>
        <v>5</v>
      </c>
      <c r="R42" s="8">
        <f t="shared" ref="R42" si="37">R41+Q42/2</f>
        <v>9.5</v>
      </c>
      <c r="S42" s="8">
        <f t="shared" ref="S42" si="38">S41+Q41/2+1</f>
        <v>10.5</v>
      </c>
      <c r="T42" s="8">
        <f t="shared" si="36"/>
        <v>15.5</v>
      </c>
      <c r="U42" s="7"/>
      <c r="V42" s="7"/>
      <c r="W42" s="7"/>
      <c r="X42" s="7"/>
      <c r="Y42" s="7"/>
      <c r="Z42" s="7"/>
      <c r="AA42" s="7"/>
      <c r="AB42" s="7"/>
    </row>
    <row r="43" spans="1:28" x14ac:dyDescent="0.3">
      <c r="A43" s="15">
        <f t="shared" si="6"/>
        <v>100141</v>
      </c>
      <c r="B43" s="15" t="s">
        <v>275</v>
      </c>
      <c r="C43" s="58" t="s">
        <v>350</v>
      </c>
      <c r="D43" s="45" t="str">
        <f>[1]!颜色转换成内嵌函数()</f>
        <v>※color(181,79,162)[]</v>
      </c>
      <c r="E43" s="15">
        <f t="shared" si="7"/>
        <v>1</v>
      </c>
      <c r="F43" s="15">
        <f>IF(表1[[#This Row],[level]]+1=E44,A44,"")</f>
        <v>100142</v>
      </c>
      <c r="G43" s="15" t="s">
        <v>133</v>
      </c>
      <c r="H43" s="15" t="str">
        <f t="shared" si="0"/>
        <v>5~8</v>
      </c>
      <c r="I43" s="18" t="s">
        <v>224</v>
      </c>
      <c r="J43" s="16" t="s">
        <v>51</v>
      </c>
      <c r="K43" s="19" t="s">
        <v>175</v>
      </c>
      <c r="L43" s="15" t="s">
        <v>121</v>
      </c>
      <c r="M43" s="7"/>
      <c r="N43" s="7"/>
      <c r="O43" s="8"/>
      <c r="P43" s="8" t="s">
        <v>26</v>
      </c>
      <c r="Q43" s="8">
        <f t="shared" si="28"/>
        <v>3</v>
      </c>
      <c r="R43" s="9">
        <v>5</v>
      </c>
      <c r="S43" s="8">
        <f>R43</f>
        <v>5</v>
      </c>
      <c r="T43" s="8">
        <f t="shared" si="36"/>
        <v>8</v>
      </c>
      <c r="U43" s="7"/>
      <c r="V43" s="7"/>
      <c r="W43" s="7"/>
      <c r="X43" s="7"/>
      <c r="Y43" s="7"/>
      <c r="Z43" s="7"/>
      <c r="AA43" s="7"/>
      <c r="AB43" s="7"/>
    </row>
    <row r="44" spans="1:28" x14ac:dyDescent="0.3">
      <c r="A44" s="15">
        <f t="shared" si="6"/>
        <v>100142</v>
      </c>
      <c r="B44" s="15" t="s">
        <v>276</v>
      </c>
      <c r="C44" s="58" t="s">
        <v>351</v>
      </c>
      <c r="D44" s="45" t="str">
        <f>[1]!颜色转换成内嵌函数()</f>
        <v>※color(181,79,162)[]</v>
      </c>
      <c r="E44" s="15">
        <f t="shared" si="7"/>
        <v>2</v>
      </c>
      <c r="F44" s="15">
        <f>IF(表1[[#This Row],[level]]+1=E45,A45,"")</f>
        <v>100143</v>
      </c>
      <c r="G44" s="15" t="s">
        <v>133</v>
      </c>
      <c r="H44" s="15" t="str">
        <f t="shared" si="0"/>
        <v>8~12</v>
      </c>
      <c r="I44" s="18" t="s">
        <v>224</v>
      </c>
      <c r="J44" s="16" t="s">
        <v>51</v>
      </c>
      <c r="K44" s="19" t="s">
        <v>176</v>
      </c>
      <c r="L44" s="15" t="s">
        <v>98</v>
      </c>
      <c r="M44" s="7"/>
      <c r="N44" s="7"/>
      <c r="O44" s="8"/>
      <c r="P44" s="8" t="s">
        <v>26</v>
      </c>
      <c r="Q44" s="8">
        <f t="shared" si="28"/>
        <v>4</v>
      </c>
      <c r="R44" s="8">
        <f>R43+Q44/2</f>
        <v>7</v>
      </c>
      <c r="S44" s="8">
        <f>S43+Q43/2+1</f>
        <v>7.5</v>
      </c>
      <c r="T44" s="8">
        <f t="shared" si="36"/>
        <v>11.5</v>
      </c>
      <c r="U44" s="7"/>
      <c r="V44" s="7"/>
      <c r="W44" s="7"/>
      <c r="X44" s="7"/>
      <c r="Y44" s="7"/>
      <c r="Z44" s="7"/>
      <c r="AA44" s="7"/>
      <c r="AB44" s="7"/>
    </row>
    <row r="45" spans="1:28" x14ac:dyDescent="0.3">
      <c r="A45" s="15">
        <f t="shared" si="6"/>
        <v>100143</v>
      </c>
      <c r="B45" s="15" t="s">
        <v>277</v>
      </c>
      <c r="C45" s="58" t="s">
        <v>352</v>
      </c>
      <c r="D45" s="45" t="str">
        <f>[1]!颜色转换成内嵌函数()</f>
        <v>※color(181,79,162)[]</v>
      </c>
      <c r="E45" s="15">
        <f t="shared" si="7"/>
        <v>3</v>
      </c>
      <c r="F45" s="15" t="str">
        <f>IF(表1[[#This Row],[level]]+1=E46,A46,"")</f>
        <v/>
      </c>
      <c r="G45" s="15" t="s">
        <v>133</v>
      </c>
      <c r="H45" s="15" t="str">
        <f t="shared" si="0"/>
        <v>11~16</v>
      </c>
      <c r="I45" s="18" t="s">
        <v>224</v>
      </c>
      <c r="J45" s="16" t="s">
        <v>51</v>
      </c>
      <c r="K45" s="19" t="s">
        <v>177</v>
      </c>
      <c r="L45" s="15" t="s">
        <v>100</v>
      </c>
      <c r="M45" s="7"/>
      <c r="N45" s="7"/>
      <c r="O45" s="8"/>
      <c r="P45" s="8" t="s">
        <v>26</v>
      </c>
      <c r="Q45" s="8">
        <f t="shared" si="28"/>
        <v>5</v>
      </c>
      <c r="R45" s="8">
        <f t="shared" ref="R45" si="39">R44+Q45/2</f>
        <v>9.5</v>
      </c>
      <c r="S45" s="8">
        <f t="shared" ref="S45" si="40">S44+Q44/2+1</f>
        <v>10.5</v>
      </c>
      <c r="T45" s="8">
        <f t="shared" si="36"/>
        <v>15.5</v>
      </c>
      <c r="U45" s="7"/>
      <c r="V45" s="7"/>
      <c r="W45" s="7"/>
      <c r="X45" s="7"/>
      <c r="Y45" s="7"/>
      <c r="Z45" s="7"/>
      <c r="AA45" s="7"/>
      <c r="AB45" s="7"/>
    </row>
    <row r="46" spans="1:28" x14ac:dyDescent="0.3">
      <c r="A46" s="15">
        <f t="shared" si="6"/>
        <v>100151</v>
      </c>
      <c r="B46" s="15" t="s">
        <v>278</v>
      </c>
      <c r="C46" s="58" t="s">
        <v>353</v>
      </c>
      <c r="D46" s="46" t="str">
        <f>[1]!颜色转换成内嵌函数()</f>
        <v>※color(195,213,89)[]</v>
      </c>
      <c r="E46" s="15">
        <f t="shared" si="7"/>
        <v>1</v>
      </c>
      <c r="F46" s="15">
        <f>IF(表1[[#This Row],[level]]+1=E47,A47,"")</f>
        <v>100152</v>
      </c>
      <c r="G46" s="15" t="s">
        <v>133</v>
      </c>
      <c r="H46" s="15" t="str">
        <f t="shared" si="0"/>
        <v>5~8</v>
      </c>
      <c r="I46" s="18" t="s">
        <v>225</v>
      </c>
      <c r="J46" s="16" t="s">
        <v>51</v>
      </c>
      <c r="K46" s="19" t="s">
        <v>178</v>
      </c>
      <c r="L46" s="15" t="s">
        <v>100</v>
      </c>
      <c r="M46" s="7"/>
      <c r="N46" s="7"/>
      <c r="O46" s="8"/>
      <c r="P46" s="8" t="s">
        <v>27</v>
      </c>
      <c r="Q46" s="8">
        <f t="shared" si="28"/>
        <v>3</v>
      </c>
      <c r="R46" s="9">
        <v>5</v>
      </c>
      <c r="S46" s="8">
        <f>R46</f>
        <v>5</v>
      </c>
      <c r="T46" s="8">
        <f>Q46+S46</f>
        <v>8</v>
      </c>
      <c r="U46" s="7"/>
      <c r="V46" s="7"/>
      <c r="W46" s="7"/>
      <c r="X46" s="7"/>
      <c r="Y46" s="7"/>
      <c r="Z46" s="7"/>
      <c r="AA46" s="7"/>
      <c r="AB46" s="7"/>
    </row>
    <row r="47" spans="1:28" x14ac:dyDescent="0.3">
      <c r="A47" s="15">
        <f t="shared" si="6"/>
        <v>100152</v>
      </c>
      <c r="B47" s="15" t="s">
        <v>279</v>
      </c>
      <c r="C47" s="58" t="s">
        <v>354</v>
      </c>
      <c r="D47" s="46" t="str">
        <f>[1]!颜色转换成内嵌函数()</f>
        <v>※color(195,213,89)[]</v>
      </c>
      <c r="E47" s="15">
        <f t="shared" si="7"/>
        <v>2</v>
      </c>
      <c r="F47" s="15">
        <f>IF(表1[[#This Row],[level]]+1=E48,A48,"")</f>
        <v>100153</v>
      </c>
      <c r="G47" s="15" t="s">
        <v>133</v>
      </c>
      <c r="H47" s="15" t="str">
        <f t="shared" si="0"/>
        <v>8~12</v>
      </c>
      <c r="I47" s="18" t="s">
        <v>225</v>
      </c>
      <c r="J47" s="16" t="s">
        <v>51</v>
      </c>
      <c r="K47" s="19" t="s">
        <v>179</v>
      </c>
      <c r="L47" s="15" t="s">
        <v>100</v>
      </c>
      <c r="M47" s="7"/>
      <c r="N47" s="7"/>
      <c r="O47" s="8"/>
      <c r="P47" s="8" t="s">
        <v>27</v>
      </c>
      <c r="Q47" s="8">
        <f t="shared" si="28"/>
        <v>4</v>
      </c>
      <c r="R47" s="8">
        <f>R46+Q47/2</f>
        <v>7</v>
      </c>
      <c r="S47" s="8">
        <f>S46+Q46/2+1</f>
        <v>7.5</v>
      </c>
      <c r="T47" s="8">
        <f t="shared" ref="T47:T51" si="41">Q47+S47</f>
        <v>11.5</v>
      </c>
      <c r="U47" s="7"/>
      <c r="V47" s="7"/>
      <c r="W47" s="7"/>
      <c r="X47" s="7"/>
      <c r="Y47" s="7"/>
      <c r="Z47" s="7"/>
      <c r="AA47" s="7"/>
      <c r="AB47" s="7"/>
    </row>
    <row r="48" spans="1:28" x14ac:dyDescent="0.3">
      <c r="A48" s="15">
        <f t="shared" si="6"/>
        <v>100153</v>
      </c>
      <c r="B48" s="15" t="s">
        <v>280</v>
      </c>
      <c r="C48" s="58" t="s">
        <v>355</v>
      </c>
      <c r="D48" s="46" t="str">
        <f>[1]!颜色转换成内嵌函数()</f>
        <v>※color(195,213,89)[]</v>
      </c>
      <c r="E48" s="15">
        <f t="shared" si="7"/>
        <v>3</v>
      </c>
      <c r="F48" s="15" t="str">
        <f>IF(表1[[#This Row],[level]]+1=E49,A49,"")</f>
        <v/>
      </c>
      <c r="G48" s="15" t="s">
        <v>133</v>
      </c>
      <c r="H48" s="15" t="str">
        <f t="shared" si="0"/>
        <v>11~16</v>
      </c>
      <c r="I48" s="18" t="s">
        <v>225</v>
      </c>
      <c r="J48" s="16" t="s">
        <v>51</v>
      </c>
      <c r="K48" s="19" t="s">
        <v>180</v>
      </c>
      <c r="L48" s="15" t="s">
        <v>102</v>
      </c>
      <c r="M48" s="7"/>
      <c r="N48" s="7"/>
      <c r="O48" s="8"/>
      <c r="P48" s="8" t="s">
        <v>27</v>
      </c>
      <c r="Q48" s="8">
        <f t="shared" si="28"/>
        <v>5</v>
      </c>
      <c r="R48" s="8">
        <f t="shared" ref="R48" si="42">R47+Q48/2</f>
        <v>9.5</v>
      </c>
      <c r="S48" s="8">
        <f t="shared" ref="S48" si="43">S47+Q47/2+1</f>
        <v>10.5</v>
      </c>
      <c r="T48" s="8">
        <f t="shared" si="41"/>
        <v>15.5</v>
      </c>
      <c r="U48" s="7"/>
      <c r="V48" s="7"/>
      <c r="W48" s="7"/>
      <c r="X48" s="7"/>
      <c r="Y48" s="7"/>
      <c r="Z48" s="7"/>
      <c r="AA48" s="7"/>
      <c r="AB48" s="7"/>
    </row>
    <row r="49" spans="1:28" x14ac:dyDescent="0.3">
      <c r="A49" s="15">
        <f t="shared" si="6"/>
        <v>100161</v>
      </c>
      <c r="B49" s="15" t="s">
        <v>281</v>
      </c>
      <c r="C49" s="58" t="s">
        <v>356</v>
      </c>
      <c r="D49" s="47" t="str">
        <f>[1]!颜色转换成内嵌函数()</f>
        <v>※color(88,214,202)[]</v>
      </c>
      <c r="E49" s="15">
        <f t="shared" si="7"/>
        <v>1</v>
      </c>
      <c r="F49" s="15">
        <f>IF(表1[[#This Row],[level]]+1=E50,A50,"")</f>
        <v>100162</v>
      </c>
      <c r="G49" s="15" t="s">
        <v>133</v>
      </c>
      <c r="H49" s="15" t="str">
        <f t="shared" si="0"/>
        <v>5~8</v>
      </c>
      <c r="I49" s="18" t="s">
        <v>226</v>
      </c>
      <c r="J49" s="16" t="s">
        <v>51</v>
      </c>
      <c r="K49" s="19" t="s">
        <v>181</v>
      </c>
      <c r="L49" s="15" t="s">
        <v>100</v>
      </c>
      <c r="M49" s="7"/>
      <c r="N49" s="7"/>
      <c r="O49" s="8"/>
      <c r="P49" s="8" t="s">
        <v>28</v>
      </c>
      <c r="Q49" s="8">
        <f t="shared" si="28"/>
        <v>3</v>
      </c>
      <c r="R49" s="9">
        <v>5</v>
      </c>
      <c r="S49" s="8">
        <f>R49</f>
        <v>5</v>
      </c>
      <c r="T49" s="8">
        <f t="shared" si="41"/>
        <v>8</v>
      </c>
      <c r="U49" s="7"/>
      <c r="V49" s="7"/>
      <c r="W49" s="7"/>
      <c r="X49" s="7"/>
      <c r="Y49" s="7"/>
      <c r="Z49" s="7"/>
      <c r="AA49" s="7"/>
      <c r="AB49" s="7"/>
    </row>
    <row r="50" spans="1:28" x14ac:dyDescent="0.3">
      <c r="A50" s="15">
        <f t="shared" si="6"/>
        <v>100162</v>
      </c>
      <c r="B50" s="15" t="s">
        <v>282</v>
      </c>
      <c r="C50" s="58" t="s">
        <v>357</v>
      </c>
      <c r="D50" s="47" t="str">
        <f>[1]!颜色转换成内嵌函数()</f>
        <v>※color(88,214,202)[]</v>
      </c>
      <c r="E50" s="15">
        <f t="shared" si="7"/>
        <v>2</v>
      </c>
      <c r="F50" s="15">
        <f>IF(表1[[#This Row],[level]]+1=E51,A51,"")</f>
        <v>100163</v>
      </c>
      <c r="G50" s="15" t="s">
        <v>133</v>
      </c>
      <c r="H50" s="15" t="str">
        <f t="shared" si="0"/>
        <v>8~12</v>
      </c>
      <c r="I50" s="18" t="s">
        <v>226</v>
      </c>
      <c r="J50" s="16" t="s">
        <v>51</v>
      </c>
      <c r="K50" s="19" t="s">
        <v>182</v>
      </c>
      <c r="L50" s="15" t="s">
        <v>123</v>
      </c>
      <c r="M50" s="7"/>
      <c r="N50" s="7"/>
      <c r="O50" s="8"/>
      <c r="P50" s="8" t="s">
        <v>28</v>
      </c>
      <c r="Q50" s="8">
        <f t="shared" si="28"/>
        <v>4</v>
      </c>
      <c r="R50" s="8">
        <f>R49+Q50/2</f>
        <v>7</v>
      </c>
      <c r="S50" s="8">
        <f>S49+Q49/2+1</f>
        <v>7.5</v>
      </c>
      <c r="T50" s="8">
        <f t="shared" si="41"/>
        <v>11.5</v>
      </c>
      <c r="U50" s="7"/>
      <c r="V50" s="7"/>
      <c r="W50" s="7"/>
      <c r="X50" s="7"/>
      <c r="Y50" s="7"/>
      <c r="Z50" s="7"/>
      <c r="AA50" s="7"/>
      <c r="AB50" s="7"/>
    </row>
    <row r="51" spans="1:28" x14ac:dyDescent="0.3">
      <c r="A51" s="15">
        <f t="shared" si="6"/>
        <v>100163</v>
      </c>
      <c r="B51" s="15" t="s">
        <v>283</v>
      </c>
      <c r="C51" s="58" t="s">
        <v>358</v>
      </c>
      <c r="D51" s="47" t="str">
        <f>[1]!颜色转换成内嵌函数()</f>
        <v>※color(88,214,202)[]</v>
      </c>
      <c r="E51" s="15">
        <f t="shared" si="7"/>
        <v>3</v>
      </c>
      <c r="F51" s="15" t="str">
        <f>IF(表1[[#This Row],[level]]+1=E52,A52,"")</f>
        <v/>
      </c>
      <c r="G51" s="15" t="s">
        <v>133</v>
      </c>
      <c r="H51" s="15" t="str">
        <f t="shared" si="0"/>
        <v>11~16</v>
      </c>
      <c r="I51" s="18" t="s">
        <v>226</v>
      </c>
      <c r="J51" s="16" t="s">
        <v>51</v>
      </c>
      <c r="K51" s="19" t="s">
        <v>183</v>
      </c>
      <c r="L51" s="15" t="s">
        <v>103</v>
      </c>
      <c r="M51" s="7"/>
      <c r="N51" s="7"/>
      <c r="O51" s="8"/>
      <c r="P51" s="8" t="s">
        <v>28</v>
      </c>
      <c r="Q51" s="8">
        <f t="shared" si="28"/>
        <v>5</v>
      </c>
      <c r="R51" s="8">
        <f t="shared" ref="R51" si="44">R50+Q51/2</f>
        <v>9.5</v>
      </c>
      <c r="S51" s="8">
        <f t="shared" ref="S51" si="45">S50+Q50/2+1</f>
        <v>10.5</v>
      </c>
      <c r="T51" s="8">
        <f t="shared" si="41"/>
        <v>15.5</v>
      </c>
      <c r="U51" s="7"/>
      <c r="V51" s="7"/>
      <c r="W51" s="7"/>
      <c r="X51" s="7"/>
      <c r="Y51" s="7"/>
      <c r="Z51" s="7"/>
      <c r="AA51" s="7"/>
      <c r="AB51" s="7"/>
    </row>
    <row r="52" spans="1:28" x14ac:dyDescent="0.3">
      <c r="A52" s="15">
        <f t="shared" si="6"/>
        <v>100171</v>
      </c>
      <c r="B52" s="15" t="s">
        <v>284</v>
      </c>
      <c r="C52" s="58" t="s">
        <v>359</v>
      </c>
      <c r="D52" s="48" t="str">
        <f>[1]!颜色转换成内嵌函数()</f>
        <v>※color(93,152,171)[]</v>
      </c>
      <c r="E52" s="15">
        <f t="shared" si="7"/>
        <v>1</v>
      </c>
      <c r="F52" s="15">
        <f>IF(表1[[#This Row],[level]]+1=E53,A53,"")</f>
        <v>100172</v>
      </c>
      <c r="G52" s="15" t="s">
        <v>133</v>
      </c>
      <c r="H52" s="15" t="str">
        <f t="shared" si="0"/>
        <v>5~8</v>
      </c>
      <c r="I52" s="18" t="s">
        <v>227</v>
      </c>
      <c r="J52" s="16" t="s">
        <v>51</v>
      </c>
      <c r="K52" s="19" t="s">
        <v>184</v>
      </c>
      <c r="L52" s="15" t="s">
        <v>103</v>
      </c>
      <c r="M52" s="7"/>
      <c r="N52" s="7"/>
      <c r="O52" s="8"/>
      <c r="P52" s="8" t="s">
        <v>29</v>
      </c>
      <c r="Q52" s="8">
        <v>3</v>
      </c>
      <c r="R52" s="9">
        <v>5</v>
      </c>
      <c r="S52" s="8">
        <f>R52</f>
        <v>5</v>
      </c>
      <c r="T52" s="8">
        <f>Q52+S52</f>
        <v>8</v>
      </c>
      <c r="U52" s="7"/>
      <c r="V52" s="7"/>
      <c r="W52" s="7"/>
      <c r="X52" s="7"/>
      <c r="Y52" s="7"/>
      <c r="Z52" s="7"/>
      <c r="AA52" s="7"/>
      <c r="AB52" s="7"/>
    </row>
    <row r="53" spans="1:28" x14ac:dyDescent="0.3">
      <c r="A53" s="15">
        <f t="shared" si="6"/>
        <v>100172</v>
      </c>
      <c r="B53" s="15" t="s">
        <v>285</v>
      </c>
      <c r="C53" s="58" t="s">
        <v>360</v>
      </c>
      <c r="D53" s="48" t="str">
        <f>[1]!颜色转换成内嵌函数()</f>
        <v>※color(93,152,171)[]</v>
      </c>
      <c r="E53" s="15">
        <f t="shared" si="7"/>
        <v>2</v>
      </c>
      <c r="F53" s="15">
        <f>IF(表1[[#This Row],[level]]+1=E54,A54,"")</f>
        <v>100173</v>
      </c>
      <c r="G53" s="15" t="s">
        <v>133</v>
      </c>
      <c r="H53" s="15" t="str">
        <f t="shared" si="0"/>
        <v>8~12</v>
      </c>
      <c r="I53" s="18" t="s">
        <v>227</v>
      </c>
      <c r="J53" s="16" t="s">
        <v>51</v>
      </c>
      <c r="K53" s="19" t="s">
        <v>185</v>
      </c>
      <c r="L53" s="15" t="s">
        <v>123</v>
      </c>
      <c r="M53" s="7"/>
      <c r="N53" s="7"/>
      <c r="O53" s="8"/>
      <c r="P53" s="8" t="s">
        <v>29</v>
      </c>
      <c r="Q53" s="8">
        <v>4</v>
      </c>
      <c r="R53" s="8">
        <f>R52+Q53/2</f>
        <v>7</v>
      </c>
      <c r="S53" s="8">
        <f>S52+Q52/2+1</f>
        <v>7.5</v>
      </c>
      <c r="T53" s="8">
        <f t="shared" ref="T53:T57" si="46">Q53+S53</f>
        <v>11.5</v>
      </c>
      <c r="U53" s="7"/>
      <c r="V53" s="7"/>
      <c r="W53" s="7"/>
      <c r="X53" s="7"/>
      <c r="Y53" s="7"/>
      <c r="Z53" s="7"/>
      <c r="AA53" s="7"/>
      <c r="AB53" s="7"/>
    </row>
    <row r="54" spans="1:28" x14ac:dyDescent="0.3">
      <c r="A54" s="15">
        <f t="shared" si="6"/>
        <v>100173</v>
      </c>
      <c r="B54" s="15" t="s">
        <v>286</v>
      </c>
      <c r="C54" s="58" t="s">
        <v>361</v>
      </c>
      <c r="D54" s="48" t="str">
        <f>[1]!颜色转换成内嵌函数()</f>
        <v>※color(93,152,171)[]</v>
      </c>
      <c r="E54" s="15">
        <f t="shared" si="7"/>
        <v>3</v>
      </c>
      <c r="F54" s="15" t="str">
        <f>IF(表1[[#This Row],[level]]+1=E55,A55,"")</f>
        <v/>
      </c>
      <c r="G54" s="15" t="s">
        <v>133</v>
      </c>
      <c r="H54" s="15" t="str">
        <f t="shared" ref="H54:H78" si="47">ROUND(S54,0)&amp; "~" &amp; ROUND(T54,0)</f>
        <v>11~16</v>
      </c>
      <c r="I54" s="18" t="s">
        <v>227</v>
      </c>
      <c r="J54" s="16" t="s">
        <v>51</v>
      </c>
      <c r="K54" s="19" t="s">
        <v>186</v>
      </c>
      <c r="L54" s="15" t="s">
        <v>103</v>
      </c>
      <c r="M54" s="7"/>
      <c r="N54" s="7"/>
      <c r="O54" s="8"/>
      <c r="P54" s="8" t="s">
        <v>29</v>
      </c>
      <c r="Q54" s="8">
        <v>5</v>
      </c>
      <c r="R54" s="8">
        <f t="shared" ref="R54" si="48">R53+Q54/2</f>
        <v>9.5</v>
      </c>
      <c r="S54" s="8">
        <f t="shared" ref="S54" si="49">S53+Q53/2+1</f>
        <v>10.5</v>
      </c>
      <c r="T54" s="8">
        <f t="shared" si="46"/>
        <v>15.5</v>
      </c>
      <c r="U54" s="7"/>
      <c r="V54" s="7"/>
      <c r="W54" s="7"/>
      <c r="X54" s="7"/>
      <c r="Y54" s="7"/>
      <c r="Z54" s="7"/>
      <c r="AA54" s="7"/>
      <c r="AB54" s="7"/>
    </row>
    <row r="55" spans="1:28" x14ac:dyDescent="0.3">
      <c r="A55" s="15">
        <f t="shared" si="6"/>
        <v>100181</v>
      </c>
      <c r="B55" s="15" t="s">
        <v>287</v>
      </c>
      <c r="C55" s="58" t="s">
        <v>362</v>
      </c>
      <c r="D55" s="49" t="str">
        <f>[1]!颜色转换成内嵌函数()</f>
        <v>※color(186,122,36)[]</v>
      </c>
      <c r="E55" s="15">
        <f t="shared" si="7"/>
        <v>1</v>
      </c>
      <c r="F55" s="15">
        <f>IF(表1[[#This Row],[level]]+1=E56,A56,"")</f>
        <v>100182</v>
      </c>
      <c r="G55" s="15" t="s">
        <v>133</v>
      </c>
      <c r="H55" s="15" t="str">
        <f t="shared" si="47"/>
        <v>5~8</v>
      </c>
      <c r="I55" s="18" t="s">
        <v>228</v>
      </c>
      <c r="J55" s="16" t="s">
        <v>51</v>
      </c>
      <c r="K55" s="19" t="s">
        <v>187</v>
      </c>
      <c r="L55" s="15" t="s">
        <v>106</v>
      </c>
      <c r="M55" s="7"/>
      <c r="N55" s="7"/>
      <c r="O55" s="8"/>
      <c r="P55" s="8" t="s">
        <v>22</v>
      </c>
      <c r="Q55" s="8">
        <f t="shared" ref="Q55:Q78" si="50">Q52</f>
        <v>3</v>
      </c>
      <c r="R55" s="9">
        <v>5</v>
      </c>
      <c r="S55" s="8">
        <f>R55</f>
        <v>5</v>
      </c>
      <c r="T55" s="8">
        <f t="shared" si="46"/>
        <v>8</v>
      </c>
      <c r="U55" s="7"/>
      <c r="V55" s="7"/>
      <c r="W55" s="7"/>
      <c r="X55" s="7"/>
      <c r="Y55" s="7"/>
      <c r="Z55" s="7"/>
      <c r="AA55" s="7"/>
      <c r="AB55" s="7"/>
    </row>
    <row r="56" spans="1:28" x14ac:dyDescent="0.3">
      <c r="A56" s="15">
        <f t="shared" si="6"/>
        <v>100182</v>
      </c>
      <c r="B56" s="15" t="s">
        <v>288</v>
      </c>
      <c r="C56" s="58" t="s">
        <v>363</v>
      </c>
      <c r="D56" s="49" t="str">
        <f>[1]!颜色转换成内嵌函数()</f>
        <v>※color(186,122,36)[]</v>
      </c>
      <c r="E56" s="15">
        <f t="shared" si="7"/>
        <v>2</v>
      </c>
      <c r="F56" s="15">
        <f>IF(表1[[#This Row],[level]]+1=E57,A57,"")</f>
        <v>100183</v>
      </c>
      <c r="G56" s="15" t="s">
        <v>133</v>
      </c>
      <c r="H56" s="15" t="str">
        <f t="shared" si="47"/>
        <v>8~12</v>
      </c>
      <c r="I56" s="18" t="s">
        <v>228</v>
      </c>
      <c r="J56" s="16" t="s">
        <v>51</v>
      </c>
      <c r="K56" s="19" t="s">
        <v>188</v>
      </c>
      <c r="L56" s="15" t="s">
        <v>124</v>
      </c>
      <c r="M56" s="7"/>
      <c r="N56" s="7"/>
      <c r="O56" s="8"/>
      <c r="P56" s="8" t="s">
        <v>22</v>
      </c>
      <c r="Q56" s="8">
        <f t="shared" si="50"/>
        <v>4</v>
      </c>
      <c r="R56" s="8">
        <f>R55+Q56/2</f>
        <v>7</v>
      </c>
      <c r="S56" s="8">
        <f>S55+Q55/2+1</f>
        <v>7.5</v>
      </c>
      <c r="T56" s="8">
        <f t="shared" si="46"/>
        <v>11.5</v>
      </c>
      <c r="U56" s="7"/>
      <c r="V56" s="7"/>
      <c r="W56" s="7"/>
      <c r="X56" s="7"/>
      <c r="Y56" s="7"/>
      <c r="Z56" s="7"/>
      <c r="AA56" s="7"/>
      <c r="AB56" s="7"/>
    </row>
    <row r="57" spans="1:28" x14ac:dyDescent="0.3">
      <c r="A57" s="15">
        <f t="shared" si="6"/>
        <v>100183</v>
      </c>
      <c r="B57" s="15" t="s">
        <v>289</v>
      </c>
      <c r="C57" s="58" t="s">
        <v>364</v>
      </c>
      <c r="D57" s="49" t="str">
        <f>[1]!颜色转换成内嵌函数()</f>
        <v>※color(186,122,36)[]</v>
      </c>
      <c r="E57" s="15">
        <f t="shared" si="7"/>
        <v>3</v>
      </c>
      <c r="F57" s="15" t="str">
        <f>IF(表1[[#This Row],[level]]+1=E58,A58,"")</f>
        <v/>
      </c>
      <c r="G57" s="15" t="s">
        <v>133</v>
      </c>
      <c r="H57" s="15" t="str">
        <f t="shared" si="47"/>
        <v>11~16</v>
      </c>
      <c r="I57" s="18" t="s">
        <v>228</v>
      </c>
      <c r="J57" s="16" t="s">
        <v>51</v>
      </c>
      <c r="K57" s="19" t="s">
        <v>189</v>
      </c>
      <c r="L57" s="15" t="s">
        <v>106</v>
      </c>
      <c r="M57" s="7"/>
      <c r="N57" s="7"/>
      <c r="O57" s="8"/>
      <c r="P57" s="8" t="s">
        <v>22</v>
      </c>
      <c r="Q57" s="8">
        <f t="shared" si="50"/>
        <v>5</v>
      </c>
      <c r="R57" s="8">
        <f t="shared" ref="R57" si="51">R56+Q57/2</f>
        <v>9.5</v>
      </c>
      <c r="S57" s="8">
        <f t="shared" ref="S57" si="52">S56+Q56/2+1</f>
        <v>10.5</v>
      </c>
      <c r="T57" s="8">
        <f t="shared" si="46"/>
        <v>15.5</v>
      </c>
      <c r="U57" s="7"/>
      <c r="V57" s="7"/>
      <c r="W57" s="7"/>
      <c r="X57" s="7"/>
      <c r="Y57" s="7"/>
      <c r="Z57" s="7"/>
      <c r="AA57" s="7"/>
      <c r="AB57" s="7"/>
    </row>
    <row r="58" spans="1:28" x14ac:dyDescent="0.3">
      <c r="A58" s="15">
        <f t="shared" si="6"/>
        <v>100191</v>
      </c>
      <c r="B58" s="15" t="s">
        <v>290</v>
      </c>
      <c r="C58" s="58" t="s">
        <v>365</v>
      </c>
      <c r="D58" s="44" t="str">
        <f>[1]!颜色转换成内嵌函数()</f>
        <v>※color(181,79,79)[]</v>
      </c>
      <c r="E58" s="15">
        <f t="shared" si="7"/>
        <v>1</v>
      </c>
      <c r="F58" s="15">
        <f>IF(表1[[#This Row],[level]]+1=E59,A59,"")</f>
        <v>100192</v>
      </c>
      <c r="G58" s="15" t="s">
        <v>133</v>
      </c>
      <c r="H58" s="15" t="str">
        <f t="shared" si="47"/>
        <v>5~8</v>
      </c>
      <c r="I58" s="18" t="s">
        <v>229</v>
      </c>
      <c r="J58" s="16" t="s">
        <v>51</v>
      </c>
      <c r="K58" s="19" t="s">
        <v>190</v>
      </c>
      <c r="L58" s="15" t="s">
        <v>106</v>
      </c>
      <c r="M58" s="7"/>
      <c r="N58" s="7"/>
      <c r="O58" s="8"/>
      <c r="P58" s="8" t="s">
        <v>23</v>
      </c>
      <c r="Q58" s="8">
        <f t="shared" si="50"/>
        <v>3</v>
      </c>
      <c r="R58" s="9">
        <v>5</v>
      </c>
      <c r="S58" s="8">
        <f>R58</f>
        <v>5</v>
      </c>
      <c r="T58" s="8">
        <f>Q58+S58</f>
        <v>8</v>
      </c>
      <c r="U58" s="7"/>
      <c r="V58" s="7"/>
      <c r="W58" s="7"/>
      <c r="X58" s="7"/>
      <c r="Y58" s="7"/>
      <c r="Z58" s="7"/>
      <c r="AA58" s="7"/>
      <c r="AB58" s="7"/>
    </row>
    <row r="59" spans="1:28" x14ac:dyDescent="0.3">
      <c r="A59" s="15">
        <f t="shared" si="6"/>
        <v>100192</v>
      </c>
      <c r="B59" s="15" t="s">
        <v>291</v>
      </c>
      <c r="C59" s="58" t="s">
        <v>366</v>
      </c>
      <c r="D59" s="44" t="str">
        <f>[1]!颜色转换成内嵌函数()</f>
        <v>※color(181,79,79)[]</v>
      </c>
      <c r="E59" s="15">
        <f t="shared" si="7"/>
        <v>2</v>
      </c>
      <c r="F59" s="15">
        <f>IF(表1[[#This Row],[level]]+1=E60,A60,"")</f>
        <v>100193</v>
      </c>
      <c r="G59" s="15" t="s">
        <v>133</v>
      </c>
      <c r="H59" s="15" t="str">
        <f t="shared" si="47"/>
        <v>8~12</v>
      </c>
      <c r="I59" s="18" t="s">
        <v>229</v>
      </c>
      <c r="J59" s="16" t="s">
        <v>51</v>
      </c>
      <c r="K59" s="19" t="s">
        <v>191</v>
      </c>
      <c r="L59" s="15" t="s">
        <v>125</v>
      </c>
      <c r="M59" s="7"/>
      <c r="N59" s="7"/>
      <c r="O59" s="8"/>
      <c r="P59" s="8" t="s">
        <v>23</v>
      </c>
      <c r="Q59" s="8">
        <f t="shared" si="50"/>
        <v>4</v>
      </c>
      <c r="R59" s="8">
        <f>R58+Q59/2</f>
        <v>7</v>
      </c>
      <c r="S59" s="8">
        <f>S58+Q58/2+1</f>
        <v>7.5</v>
      </c>
      <c r="T59" s="8">
        <f t="shared" ref="T59:T63" si="53">Q59+S59</f>
        <v>11.5</v>
      </c>
      <c r="U59" s="7"/>
      <c r="V59" s="7"/>
      <c r="W59" s="7"/>
      <c r="X59" s="7"/>
      <c r="Y59" s="7"/>
      <c r="Z59" s="7"/>
      <c r="AA59" s="7"/>
      <c r="AB59" s="7"/>
    </row>
    <row r="60" spans="1:28" x14ac:dyDescent="0.3">
      <c r="A60" s="15">
        <f t="shared" si="6"/>
        <v>100193</v>
      </c>
      <c r="B60" s="15" t="s">
        <v>292</v>
      </c>
      <c r="C60" s="58" t="s">
        <v>367</v>
      </c>
      <c r="D60" s="44" t="str">
        <f>[1]!颜色转换成内嵌函数()</f>
        <v>※color(181,79,79)[]</v>
      </c>
      <c r="E60" s="15">
        <f t="shared" si="7"/>
        <v>3</v>
      </c>
      <c r="F60" s="15" t="str">
        <f>IF(表1[[#This Row],[level]]+1=E61,A61,"")</f>
        <v/>
      </c>
      <c r="G60" s="15" t="s">
        <v>133</v>
      </c>
      <c r="H60" s="15" t="str">
        <f t="shared" si="47"/>
        <v>11~16</v>
      </c>
      <c r="I60" s="18" t="s">
        <v>229</v>
      </c>
      <c r="J60" s="16" t="s">
        <v>51</v>
      </c>
      <c r="K60" s="19" t="s">
        <v>192</v>
      </c>
      <c r="L60" s="15" t="s">
        <v>126</v>
      </c>
      <c r="M60" s="7"/>
      <c r="N60" s="7"/>
      <c r="O60" s="8"/>
      <c r="P60" s="8" t="s">
        <v>23</v>
      </c>
      <c r="Q60" s="8">
        <f t="shared" si="50"/>
        <v>5</v>
      </c>
      <c r="R60" s="8">
        <f t="shared" ref="R60" si="54">R59+Q60/2</f>
        <v>9.5</v>
      </c>
      <c r="S60" s="8">
        <f t="shared" ref="S60" si="55">S59+Q59/2+1</f>
        <v>10.5</v>
      </c>
      <c r="T60" s="8">
        <f t="shared" si="53"/>
        <v>15.5</v>
      </c>
      <c r="U60" s="7"/>
      <c r="V60" s="7"/>
      <c r="W60" s="7"/>
      <c r="X60" s="7"/>
      <c r="Y60" s="7"/>
      <c r="Z60" s="7"/>
      <c r="AA60" s="7"/>
      <c r="AB60" s="7"/>
    </row>
    <row r="61" spans="1:28" x14ac:dyDescent="0.3">
      <c r="A61" s="15">
        <f t="shared" si="6"/>
        <v>100201</v>
      </c>
      <c r="B61" s="15" t="s">
        <v>293</v>
      </c>
      <c r="C61" s="58" t="s">
        <v>368</v>
      </c>
      <c r="D61" s="45" t="str">
        <f>[1]!颜色转换成内嵌函数()</f>
        <v>※color(181,79,162)[]</v>
      </c>
      <c r="E61" s="15">
        <f t="shared" si="7"/>
        <v>1</v>
      </c>
      <c r="F61" s="15">
        <f>IF(表1[[#This Row],[level]]+1=E62,A62,"")</f>
        <v>100202</v>
      </c>
      <c r="G61" s="15" t="s">
        <v>133</v>
      </c>
      <c r="H61" s="15" t="str">
        <f t="shared" si="47"/>
        <v>5~8</v>
      </c>
      <c r="I61" s="18" t="s">
        <v>230</v>
      </c>
      <c r="J61" s="16" t="s">
        <v>51</v>
      </c>
      <c r="K61" s="19" t="s">
        <v>193</v>
      </c>
      <c r="L61" s="15" t="s">
        <v>126</v>
      </c>
      <c r="M61" s="7"/>
      <c r="N61" s="7"/>
      <c r="O61" s="8"/>
      <c r="P61" s="8" t="s">
        <v>24</v>
      </c>
      <c r="Q61" s="8">
        <f t="shared" si="50"/>
        <v>3</v>
      </c>
      <c r="R61" s="9">
        <v>5</v>
      </c>
      <c r="S61" s="8">
        <f>R61</f>
        <v>5</v>
      </c>
      <c r="T61" s="8">
        <f t="shared" si="53"/>
        <v>8</v>
      </c>
      <c r="U61" s="7"/>
      <c r="V61" s="7"/>
      <c r="W61" s="7"/>
      <c r="X61" s="7"/>
      <c r="Y61" s="7"/>
      <c r="Z61" s="7"/>
      <c r="AA61" s="7"/>
      <c r="AB61" s="7"/>
    </row>
    <row r="62" spans="1:28" x14ac:dyDescent="0.3">
      <c r="A62" s="15">
        <f t="shared" si="6"/>
        <v>100202</v>
      </c>
      <c r="B62" s="15" t="s">
        <v>294</v>
      </c>
      <c r="C62" s="58" t="s">
        <v>369</v>
      </c>
      <c r="D62" s="45" t="str">
        <f>[1]!颜色转换成内嵌函数()</f>
        <v>※color(181,79,162)[]</v>
      </c>
      <c r="E62" s="15">
        <f t="shared" si="7"/>
        <v>2</v>
      </c>
      <c r="F62" s="15">
        <f>IF(表1[[#This Row],[level]]+1=E63,A63,"")</f>
        <v>100203</v>
      </c>
      <c r="G62" s="15" t="s">
        <v>133</v>
      </c>
      <c r="H62" s="15" t="str">
        <f t="shared" si="47"/>
        <v>8~12</v>
      </c>
      <c r="I62" s="18" t="s">
        <v>230</v>
      </c>
      <c r="J62" s="16" t="s">
        <v>51</v>
      </c>
      <c r="K62" s="19" t="s">
        <v>194</v>
      </c>
      <c r="L62" s="15" t="s">
        <v>127</v>
      </c>
      <c r="M62" s="7"/>
      <c r="N62" s="7"/>
      <c r="O62" s="8"/>
      <c r="P62" s="8" t="s">
        <v>24</v>
      </c>
      <c r="Q62" s="8">
        <f t="shared" si="50"/>
        <v>4</v>
      </c>
      <c r="R62" s="8">
        <f>R61+Q62/2</f>
        <v>7</v>
      </c>
      <c r="S62" s="8">
        <f>S61+Q61/2+1</f>
        <v>7.5</v>
      </c>
      <c r="T62" s="8">
        <f t="shared" si="53"/>
        <v>11.5</v>
      </c>
      <c r="U62" s="7"/>
      <c r="V62" s="7"/>
      <c r="W62" s="7"/>
      <c r="X62" s="7"/>
      <c r="Y62" s="7"/>
      <c r="Z62" s="7"/>
      <c r="AA62" s="7"/>
      <c r="AB62" s="7"/>
    </row>
    <row r="63" spans="1:28" x14ac:dyDescent="0.3">
      <c r="A63" s="15">
        <f t="shared" si="6"/>
        <v>100203</v>
      </c>
      <c r="B63" s="15" t="s">
        <v>295</v>
      </c>
      <c r="C63" s="58" t="s">
        <v>370</v>
      </c>
      <c r="D63" s="45" t="str">
        <f>[1]!颜色转换成内嵌函数()</f>
        <v>※color(181,79,162)[]</v>
      </c>
      <c r="E63" s="15">
        <f t="shared" si="7"/>
        <v>3</v>
      </c>
      <c r="F63" s="15" t="str">
        <f>IF(表1[[#This Row],[level]]+1=E64,A64,"")</f>
        <v/>
      </c>
      <c r="G63" s="15" t="s">
        <v>133</v>
      </c>
      <c r="H63" s="15" t="str">
        <f t="shared" si="47"/>
        <v>11~16</v>
      </c>
      <c r="I63" s="18" t="s">
        <v>230</v>
      </c>
      <c r="J63" s="16" t="s">
        <v>51</v>
      </c>
      <c r="K63" s="19" t="s">
        <v>195</v>
      </c>
      <c r="L63" s="15" t="s">
        <v>128</v>
      </c>
      <c r="M63" s="7"/>
      <c r="N63" s="7"/>
      <c r="O63" s="8"/>
      <c r="P63" s="8" t="s">
        <v>24</v>
      </c>
      <c r="Q63" s="8">
        <f t="shared" si="50"/>
        <v>5</v>
      </c>
      <c r="R63" s="8">
        <f t="shared" ref="R63" si="56">R62+Q63/2</f>
        <v>9.5</v>
      </c>
      <c r="S63" s="8">
        <f t="shared" ref="S63" si="57">S62+Q62/2+1</f>
        <v>10.5</v>
      </c>
      <c r="T63" s="8">
        <f t="shared" si="53"/>
        <v>15.5</v>
      </c>
      <c r="U63" s="7"/>
      <c r="V63" s="7"/>
      <c r="W63" s="7"/>
      <c r="X63" s="7"/>
      <c r="Y63" s="7"/>
      <c r="Z63" s="7"/>
      <c r="AA63" s="7"/>
      <c r="AB63" s="7"/>
    </row>
    <row r="64" spans="1:28" x14ac:dyDescent="0.3">
      <c r="A64" s="15">
        <f t="shared" si="6"/>
        <v>100211</v>
      </c>
      <c r="B64" s="15" t="s">
        <v>296</v>
      </c>
      <c r="C64" s="58" t="s">
        <v>371</v>
      </c>
      <c r="D64" s="46" t="str">
        <f>[1]!颜色转换成内嵌函数()</f>
        <v>※color(195,213,89)[]</v>
      </c>
      <c r="E64" s="15">
        <f t="shared" si="7"/>
        <v>1</v>
      </c>
      <c r="F64" s="15">
        <f>IF(表1[[#This Row],[level]]+1=E65,A65,"")</f>
        <v>100212</v>
      </c>
      <c r="G64" s="15" t="s">
        <v>133</v>
      </c>
      <c r="H64" s="15" t="str">
        <f t="shared" si="47"/>
        <v>5~8</v>
      </c>
      <c r="I64" s="18" t="s">
        <v>231</v>
      </c>
      <c r="J64" s="16" t="s">
        <v>51</v>
      </c>
      <c r="K64" s="19" t="s">
        <v>196</v>
      </c>
      <c r="L64" s="15" t="s">
        <v>107</v>
      </c>
      <c r="M64" s="7"/>
      <c r="N64" s="7"/>
      <c r="O64" s="8"/>
      <c r="P64" s="8" t="s">
        <v>25</v>
      </c>
      <c r="Q64" s="8">
        <f t="shared" si="50"/>
        <v>3</v>
      </c>
      <c r="R64" s="9">
        <v>5</v>
      </c>
      <c r="S64" s="8">
        <f>R64</f>
        <v>5</v>
      </c>
      <c r="T64" s="8">
        <f>Q64+S64</f>
        <v>8</v>
      </c>
      <c r="U64" s="7"/>
      <c r="V64" s="7"/>
      <c r="W64" s="7"/>
      <c r="X64" s="7"/>
      <c r="Y64" s="7"/>
      <c r="Z64" s="7"/>
      <c r="AA64" s="7"/>
      <c r="AB64" s="7"/>
    </row>
    <row r="65" spans="1:28" x14ac:dyDescent="0.3">
      <c r="A65" s="15">
        <f t="shared" si="6"/>
        <v>100212</v>
      </c>
      <c r="B65" s="15" t="s">
        <v>297</v>
      </c>
      <c r="C65" s="58" t="s">
        <v>372</v>
      </c>
      <c r="D65" s="46" t="str">
        <f>[1]!颜色转换成内嵌函数()</f>
        <v>※color(195,213,89)[]</v>
      </c>
      <c r="E65" s="15">
        <f t="shared" si="7"/>
        <v>2</v>
      </c>
      <c r="F65" s="15">
        <f>IF(表1[[#This Row],[level]]+1=E66,A66,"")</f>
        <v>100213</v>
      </c>
      <c r="G65" s="15" t="s">
        <v>133</v>
      </c>
      <c r="H65" s="15" t="str">
        <f t="shared" si="47"/>
        <v>8~12</v>
      </c>
      <c r="I65" s="18" t="s">
        <v>231</v>
      </c>
      <c r="J65" s="16" t="s">
        <v>51</v>
      </c>
      <c r="K65" s="19" t="s">
        <v>197</v>
      </c>
      <c r="L65" s="15" t="s">
        <v>109</v>
      </c>
      <c r="M65" s="7"/>
      <c r="N65" s="7"/>
      <c r="O65" s="8"/>
      <c r="P65" s="8" t="s">
        <v>25</v>
      </c>
      <c r="Q65" s="8">
        <f t="shared" si="50"/>
        <v>4</v>
      </c>
      <c r="R65" s="8">
        <f>R64+Q65/2</f>
        <v>7</v>
      </c>
      <c r="S65" s="8">
        <f>S64+Q64/2+1</f>
        <v>7.5</v>
      </c>
      <c r="T65" s="8">
        <f t="shared" ref="T65:T69" si="58">Q65+S65</f>
        <v>11.5</v>
      </c>
      <c r="U65" s="7"/>
      <c r="V65" s="7"/>
      <c r="W65" s="7"/>
      <c r="X65" s="7"/>
      <c r="Y65" s="7"/>
      <c r="Z65" s="7"/>
      <c r="AA65" s="7"/>
      <c r="AB65" s="7"/>
    </row>
    <row r="66" spans="1:28" x14ac:dyDescent="0.3">
      <c r="A66" s="15">
        <f t="shared" si="6"/>
        <v>100213</v>
      </c>
      <c r="B66" s="15" t="s">
        <v>298</v>
      </c>
      <c r="C66" s="58" t="s">
        <v>373</v>
      </c>
      <c r="D66" s="46" t="str">
        <f>[1]!颜色转换成内嵌函数()</f>
        <v>※color(195,213,89)[]</v>
      </c>
      <c r="E66" s="15">
        <f t="shared" si="7"/>
        <v>3</v>
      </c>
      <c r="F66" s="15" t="str">
        <f>IF(表1[[#This Row],[level]]+1=E67,A67,"")</f>
        <v/>
      </c>
      <c r="G66" s="15" t="s">
        <v>133</v>
      </c>
      <c r="H66" s="15" t="str">
        <f t="shared" si="47"/>
        <v>11~16</v>
      </c>
      <c r="I66" s="18" t="s">
        <v>231</v>
      </c>
      <c r="J66" s="16" t="s">
        <v>51</v>
      </c>
      <c r="K66" s="19" t="s">
        <v>198</v>
      </c>
      <c r="L66" s="15" t="s">
        <v>109</v>
      </c>
      <c r="M66" s="7"/>
      <c r="N66" s="7"/>
      <c r="O66" s="8"/>
      <c r="P66" s="8" t="s">
        <v>25</v>
      </c>
      <c r="Q66" s="8">
        <f t="shared" si="50"/>
        <v>5</v>
      </c>
      <c r="R66" s="8">
        <f t="shared" ref="R66" si="59">R65+Q66/2</f>
        <v>9.5</v>
      </c>
      <c r="S66" s="8">
        <f t="shared" ref="S66" si="60">S65+Q65/2+1</f>
        <v>10.5</v>
      </c>
      <c r="T66" s="8">
        <f t="shared" si="58"/>
        <v>15.5</v>
      </c>
      <c r="U66" s="7"/>
      <c r="V66" s="7"/>
      <c r="W66" s="7"/>
      <c r="X66" s="7"/>
      <c r="Y66" s="7"/>
      <c r="Z66" s="7"/>
      <c r="AA66" s="7"/>
      <c r="AB66" s="7"/>
    </row>
    <row r="67" spans="1:28" x14ac:dyDescent="0.3">
      <c r="A67" s="15">
        <f t="shared" si="6"/>
        <v>100221</v>
      </c>
      <c r="B67" s="15" t="s">
        <v>299</v>
      </c>
      <c r="C67" s="58" t="s">
        <v>374</v>
      </c>
      <c r="D67" s="47" t="str">
        <f>[1]!颜色转换成内嵌函数()</f>
        <v>※color(88,214,202)[]</v>
      </c>
      <c r="E67" s="15">
        <f t="shared" si="7"/>
        <v>1</v>
      </c>
      <c r="F67" s="15">
        <f>IF(表1[[#This Row],[level]]+1=E68,A68,"")</f>
        <v>100222</v>
      </c>
      <c r="G67" s="15" t="s">
        <v>133</v>
      </c>
      <c r="H67" s="15" t="str">
        <f t="shared" si="47"/>
        <v>5~8</v>
      </c>
      <c r="I67" s="18" t="s">
        <v>232</v>
      </c>
      <c r="J67" s="16" t="s">
        <v>51</v>
      </c>
      <c r="K67" s="19" t="s">
        <v>199</v>
      </c>
      <c r="L67" s="15" t="s">
        <v>129</v>
      </c>
      <c r="M67" s="7"/>
      <c r="N67" s="7"/>
      <c r="O67" s="8"/>
      <c r="P67" s="8" t="s">
        <v>26</v>
      </c>
      <c r="Q67" s="8">
        <f t="shared" si="50"/>
        <v>3</v>
      </c>
      <c r="R67" s="9">
        <v>5</v>
      </c>
      <c r="S67" s="8">
        <f>R67</f>
        <v>5</v>
      </c>
      <c r="T67" s="8">
        <f t="shared" si="58"/>
        <v>8</v>
      </c>
      <c r="U67" s="7"/>
      <c r="V67" s="7"/>
      <c r="W67" s="7"/>
      <c r="X67" s="7"/>
      <c r="Y67" s="7"/>
      <c r="Z67" s="7"/>
      <c r="AA67" s="7"/>
      <c r="AB67" s="7"/>
    </row>
    <row r="68" spans="1:28" x14ac:dyDescent="0.3">
      <c r="A68" s="15">
        <f t="shared" si="6"/>
        <v>100222</v>
      </c>
      <c r="B68" s="15" t="s">
        <v>300</v>
      </c>
      <c r="C68" s="58" t="s">
        <v>375</v>
      </c>
      <c r="D68" s="47" t="str">
        <f>[1]!颜色转换成内嵌函数()</f>
        <v>※color(88,214,202)[]</v>
      </c>
      <c r="E68" s="15">
        <f t="shared" si="7"/>
        <v>2</v>
      </c>
      <c r="F68" s="15">
        <f>IF(表1[[#This Row],[level]]+1=E69,A69,"")</f>
        <v>100223</v>
      </c>
      <c r="G68" s="15" t="s">
        <v>133</v>
      </c>
      <c r="H68" s="15" t="str">
        <f t="shared" si="47"/>
        <v>8~12</v>
      </c>
      <c r="I68" s="18" t="s">
        <v>232</v>
      </c>
      <c r="J68" s="16" t="s">
        <v>51</v>
      </c>
      <c r="K68" s="19" t="s">
        <v>200</v>
      </c>
      <c r="L68" s="15" t="s">
        <v>109</v>
      </c>
      <c r="M68" s="7"/>
      <c r="N68" s="7"/>
      <c r="O68" s="8"/>
      <c r="P68" s="8" t="s">
        <v>26</v>
      </c>
      <c r="Q68" s="8">
        <f t="shared" si="50"/>
        <v>4</v>
      </c>
      <c r="R68" s="8">
        <f>R67+Q68/2</f>
        <v>7</v>
      </c>
      <c r="S68" s="8">
        <f>S67+Q67/2+1</f>
        <v>7.5</v>
      </c>
      <c r="T68" s="8">
        <f t="shared" si="58"/>
        <v>11.5</v>
      </c>
      <c r="U68" s="7"/>
      <c r="V68" s="7"/>
      <c r="W68" s="7"/>
      <c r="X68" s="7"/>
      <c r="Y68" s="7"/>
      <c r="Z68" s="7"/>
      <c r="AA68" s="7"/>
      <c r="AB68" s="7"/>
    </row>
    <row r="69" spans="1:28" x14ac:dyDescent="0.3">
      <c r="A69" s="15">
        <f t="shared" si="6"/>
        <v>100223</v>
      </c>
      <c r="B69" s="15" t="s">
        <v>301</v>
      </c>
      <c r="C69" s="58" t="s">
        <v>376</v>
      </c>
      <c r="D69" s="47" t="str">
        <f>[1]!颜色转换成内嵌函数()</f>
        <v>※color(88,214,202)[]</v>
      </c>
      <c r="E69" s="15">
        <f t="shared" si="7"/>
        <v>3</v>
      </c>
      <c r="F69" s="15" t="str">
        <f>IF(表1[[#This Row],[level]]+1=E70,A70,"")</f>
        <v/>
      </c>
      <c r="G69" s="15" t="s">
        <v>133</v>
      </c>
      <c r="H69" s="15" t="str">
        <f t="shared" si="47"/>
        <v>11~16</v>
      </c>
      <c r="I69" s="18" t="s">
        <v>232</v>
      </c>
      <c r="J69" s="16" t="s">
        <v>51</v>
      </c>
      <c r="K69" s="19" t="s">
        <v>201</v>
      </c>
      <c r="L69" s="15" t="s">
        <v>129</v>
      </c>
      <c r="M69" s="7"/>
      <c r="N69" s="7"/>
      <c r="O69" s="8"/>
      <c r="P69" s="8" t="s">
        <v>26</v>
      </c>
      <c r="Q69" s="8">
        <f t="shared" si="50"/>
        <v>5</v>
      </c>
      <c r="R69" s="8">
        <f t="shared" ref="R69" si="61">R68+Q69/2</f>
        <v>9.5</v>
      </c>
      <c r="S69" s="8">
        <f t="shared" ref="S69" si="62">S68+Q68/2+1</f>
        <v>10.5</v>
      </c>
      <c r="T69" s="8">
        <f t="shared" si="58"/>
        <v>15.5</v>
      </c>
      <c r="U69" s="7"/>
      <c r="V69" s="7"/>
      <c r="W69" s="7"/>
      <c r="X69" s="7"/>
      <c r="Y69" s="7"/>
      <c r="Z69" s="7"/>
      <c r="AA69" s="7"/>
      <c r="AB69" s="7"/>
    </row>
    <row r="70" spans="1:28" x14ac:dyDescent="0.3">
      <c r="A70" s="15">
        <f t="shared" si="6"/>
        <v>100231</v>
      </c>
      <c r="B70" s="15" t="s">
        <v>302</v>
      </c>
      <c r="C70" s="58" t="s">
        <v>377</v>
      </c>
      <c r="D70" s="48" t="str">
        <f>[1]!颜色转换成内嵌函数()</f>
        <v>※color(93,152,171)[]</v>
      </c>
      <c r="E70" s="15">
        <f t="shared" si="7"/>
        <v>1</v>
      </c>
      <c r="F70" s="15">
        <f>IF(表1[[#This Row],[level]]+1=E71,A71,"")</f>
        <v>100232</v>
      </c>
      <c r="G70" s="15" t="s">
        <v>133</v>
      </c>
      <c r="H70" s="15" t="str">
        <f t="shared" si="47"/>
        <v>5~8</v>
      </c>
      <c r="I70" s="18" t="s">
        <v>233</v>
      </c>
      <c r="J70" s="16" t="s">
        <v>51</v>
      </c>
      <c r="K70" s="19" t="s">
        <v>202</v>
      </c>
      <c r="L70" s="15" t="s">
        <v>110</v>
      </c>
      <c r="M70" s="7"/>
      <c r="N70" s="7"/>
      <c r="O70" s="8"/>
      <c r="P70" s="8" t="s">
        <v>27</v>
      </c>
      <c r="Q70" s="8">
        <f t="shared" si="50"/>
        <v>3</v>
      </c>
      <c r="R70" s="9">
        <v>5</v>
      </c>
      <c r="S70" s="8">
        <f>R70</f>
        <v>5</v>
      </c>
      <c r="T70" s="8">
        <f>Q70+S70</f>
        <v>8</v>
      </c>
      <c r="U70" s="7"/>
      <c r="V70" s="7"/>
      <c r="W70" s="7"/>
      <c r="X70" s="7"/>
      <c r="Y70" s="7"/>
      <c r="Z70" s="7"/>
      <c r="AA70" s="7"/>
      <c r="AB70" s="7"/>
    </row>
    <row r="71" spans="1:28" x14ac:dyDescent="0.3">
      <c r="A71" s="15">
        <f t="shared" si="6"/>
        <v>100232</v>
      </c>
      <c r="B71" s="15" t="s">
        <v>303</v>
      </c>
      <c r="C71" s="58" t="s">
        <v>378</v>
      </c>
      <c r="D71" s="48" t="str">
        <f>[1]!颜色转换成内嵌函数()</f>
        <v>※color(93,152,171)[]</v>
      </c>
      <c r="E71" s="15">
        <f t="shared" si="7"/>
        <v>2</v>
      </c>
      <c r="F71" s="15">
        <f>IF(表1[[#This Row],[level]]+1=E72,A72,"")</f>
        <v>100233</v>
      </c>
      <c r="G71" s="15" t="s">
        <v>133</v>
      </c>
      <c r="H71" s="15" t="str">
        <f t="shared" si="47"/>
        <v>8~12</v>
      </c>
      <c r="I71" s="18" t="s">
        <v>233</v>
      </c>
      <c r="J71" s="16" t="s">
        <v>51</v>
      </c>
      <c r="K71" s="19" t="s">
        <v>203</v>
      </c>
      <c r="L71" s="15" t="s">
        <v>110</v>
      </c>
      <c r="M71" s="7"/>
      <c r="N71" s="7"/>
      <c r="O71" s="8"/>
      <c r="P71" s="8" t="s">
        <v>27</v>
      </c>
      <c r="Q71" s="8">
        <f t="shared" si="50"/>
        <v>4</v>
      </c>
      <c r="R71" s="8">
        <f>R70+Q71/2</f>
        <v>7</v>
      </c>
      <c r="S71" s="8">
        <f>S70+Q70/2+1</f>
        <v>7.5</v>
      </c>
      <c r="T71" s="8">
        <f t="shared" ref="T71:T75" si="63">Q71+S71</f>
        <v>11.5</v>
      </c>
      <c r="U71" s="7"/>
      <c r="V71" s="7"/>
      <c r="W71" s="7"/>
      <c r="X71" s="7"/>
      <c r="Y71" s="7"/>
      <c r="Z71" s="7"/>
      <c r="AA71" s="7"/>
      <c r="AB71" s="7"/>
    </row>
    <row r="72" spans="1:28" x14ac:dyDescent="0.3">
      <c r="A72" s="15">
        <f t="shared" ref="A72:A78" si="64">A69+10</f>
        <v>100233</v>
      </c>
      <c r="B72" s="15" t="s">
        <v>304</v>
      </c>
      <c r="C72" s="58" t="s">
        <v>379</v>
      </c>
      <c r="D72" s="48" t="str">
        <f>[1]!颜色转换成内嵌函数()</f>
        <v>※color(93,152,171)[]</v>
      </c>
      <c r="E72" s="15">
        <f t="shared" ref="E72:E78" si="65">E69</f>
        <v>3</v>
      </c>
      <c r="F72" s="15" t="str">
        <f>IF(表1[[#This Row],[level]]+1=E73,A73,"")</f>
        <v/>
      </c>
      <c r="G72" s="15" t="s">
        <v>133</v>
      </c>
      <c r="H72" s="15" t="str">
        <f t="shared" si="47"/>
        <v>11~16</v>
      </c>
      <c r="I72" s="18" t="s">
        <v>233</v>
      </c>
      <c r="J72" s="16" t="s">
        <v>51</v>
      </c>
      <c r="K72" s="19" t="s">
        <v>204</v>
      </c>
      <c r="L72" s="15" t="s">
        <v>130</v>
      </c>
      <c r="M72" s="7"/>
      <c r="N72" s="7"/>
      <c r="O72" s="8"/>
      <c r="P72" s="8" t="s">
        <v>27</v>
      </c>
      <c r="Q72" s="8">
        <f t="shared" si="50"/>
        <v>5</v>
      </c>
      <c r="R72" s="8">
        <f t="shared" ref="R72" si="66">R71+Q72/2</f>
        <v>9.5</v>
      </c>
      <c r="S72" s="8">
        <f t="shared" ref="S72" si="67">S71+Q71/2+1</f>
        <v>10.5</v>
      </c>
      <c r="T72" s="8">
        <f t="shared" si="63"/>
        <v>15.5</v>
      </c>
      <c r="U72" s="7"/>
      <c r="V72" s="7"/>
      <c r="W72" s="7"/>
      <c r="X72" s="7"/>
      <c r="Y72" s="7"/>
      <c r="Z72" s="7"/>
      <c r="AA72" s="7"/>
      <c r="AB72" s="7"/>
    </row>
    <row r="73" spans="1:28" x14ac:dyDescent="0.3">
      <c r="A73" s="15">
        <f t="shared" si="64"/>
        <v>100241</v>
      </c>
      <c r="B73" s="15" t="s">
        <v>305</v>
      </c>
      <c r="C73" s="58" t="s">
        <v>380</v>
      </c>
      <c r="D73" s="49" t="str">
        <f>[1]!颜色转换成内嵌函数()</f>
        <v>※color(186,122,36)[]</v>
      </c>
      <c r="E73" s="15">
        <f t="shared" si="65"/>
        <v>1</v>
      </c>
      <c r="F73" s="15">
        <f>IF(表1[[#This Row],[level]]+1=E74,A74,"")</f>
        <v>100242</v>
      </c>
      <c r="G73" s="15" t="s">
        <v>133</v>
      </c>
      <c r="H73" s="15" t="str">
        <f t="shared" si="47"/>
        <v>5~8</v>
      </c>
      <c r="I73" s="18" t="s">
        <v>234</v>
      </c>
      <c r="J73" s="16" t="s">
        <v>51</v>
      </c>
      <c r="K73" s="19" t="s">
        <v>205</v>
      </c>
      <c r="L73" s="15" t="s">
        <v>130</v>
      </c>
      <c r="M73" s="7"/>
      <c r="N73" s="7"/>
      <c r="O73" s="8"/>
      <c r="P73" s="8" t="s">
        <v>28</v>
      </c>
      <c r="Q73" s="8">
        <f t="shared" si="50"/>
        <v>3</v>
      </c>
      <c r="R73" s="9">
        <v>5</v>
      </c>
      <c r="S73" s="8">
        <f>R73</f>
        <v>5</v>
      </c>
      <c r="T73" s="8">
        <f t="shared" si="63"/>
        <v>8</v>
      </c>
      <c r="U73" s="7"/>
      <c r="V73" s="7"/>
      <c r="W73" s="7"/>
      <c r="X73" s="7"/>
      <c r="Y73" s="7"/>
      <c r="Z73" s="7"/>
      <c r="AA73" s="7"/>
      <c r="AB73" s="7"/>
    </row>
    <row r="74" spans="1:28" x14ac:dyDescent="0.3">
      <c r="A74" s="15">
        <f t="shared" si="64"/>
        <v>100242</v>
      </c>
      <c r="B74" s="15" t="s">
        <v>306</v>
      </c>
      <c r="C74" s="58" t="s">
        <v>381</v>
      </c>
      <c r="D74" s="49" t="str">
        <f>[1]!颜色转换成内嵌函数()</f>
        <v>※color(186,122,36)[]</v>
      </c>
      <c r="E74" s="15">
        <f t="shared" si="65"/>
        <v>2</v>
      </c>
      <c r="F74" s="15">
        <f>IF(表1[[#This Row],[level]]+1=E75,A75,"")</f>
        <v>100243</v>
      </c>
      <c r="G74" s="15" t="s">
        <v>133</v>
      </c>
      <c r="H74" s="15" t="str">
        <f t="shared" si="47"/>
        <v>8~12</v>
      </c>
      <c r="I74" s="18" t="s">
        <v>234</v>
      </c>
      <c r="J74" s="16" t="s">
        <v>51</v>
      </c>
      <c r="K74" s="19" t="s">
        <v>206</v>
      </c>
      <c r="L74" s="15" t="s">
        <v>110</v>
      </c>
      <c r="M74" s="7"/>
      <c r="N74" s="7"/>
      <c r="O74" s="8"/>
      <c r="P74" s="8" t="s">
        <v>28</v>
      </c>
      <c r="Q74" s="8">
        <f t="shared" si="50"/>
        <v>4</v>
      </c>
      <c r="R74" s="8">
        <f>R73+Q74/2</f>
        <v>7</v>
      </c>
      <c r="S74" s="8">
        <f>S73+Q73/2+1</f>
        <v>7.5</v>
      </c>
      <c r="T74" s="8">
        <f t="shared" si="63"/>
        <v>11.5</v>
      </c>
      <c r="U74" s="7"/>
      <c r="V74" s="7"/>
      <c r="W74" s="7"/>
      <c r="X74" s="7"/>
      <c r="Y74" s="7"/>
      <c r="Z74" s="7"/>
      <c r="AA74" s="7"/>
      <c r="AB74" s="7"/>
    </row>
    <row r="75" spans="1:28" x14ac:dyDescent="0.3">
      <c r="A75" s="15">
        <f t="shared" si="64"/>
        <v>100243</v>
      </c>
      <c r="B75" s="15" t="s">
        <v>307</v>
      </c>
      <c r="C75" s="58" t="s">
        <v>382</v>
      </c>
      <c r="D75" s="49" t="str">
        <f>[1]!颜色转换成内嵌函数()</f>
        <v>※color(186,122,36)[]</v>
      </c>
      <c r="E75" s="15">
        <f t="shared" si="65"/>
        <v>3</v>
      </c>
      <c r="F75" s="15" t="str">
        <f>IF(表1[[#This Row],[level]]+1=E76,A76,"")</f>
        <v/>
      </c>
      <c r="G75" s="15" t="s">
        <v>133</v>
      </c>
      <c r="H75" s="15" t="str">
        <f t="shared" si="47"/>
        <v>11~16</v>
      </c>
      <c r="I75" s="18" t="s">
        <v>234</v>
      </c>
      <c r="J75" s="16" t="s">
        <v>51</v>
      </c>
      <c r="K75" s="19" t="s">
        <v>207</v>
      </c>
      <c r="L75" s="15" t="s">
        <v>113</v>
      </c>
      <c r="M75" s="7"/>
      <c r="N75" s="7"/>
      <c r="O75" s="8"/>
      <c r="P75" s="8" t="s">
        <v>28</v>
      </c>
      <c r="Q75" s="8">
        <f t="shared" si="50"/>
        <v>5</v>
      </c>
      <c r="R75" s="8">
        <f t="shared" ref="R75" si="68">R74+Q75/2</f>
        <v>9.5</v>
      </c>
      <c r="S75" s="8">
        <f t="shared" ref="S75" si="69">S74+Q74/2+1</f>
        <v>10.5</v>
      </c>
      <c r="T75" s="8">
        <f t="shared" si="63"/>
        <v>15.5</v>
      </c>
      <c r="U75" s="7"/>
      <c r="V75" s="7"/>
      <c r="W75" s="7"/>
      <c r="X75" s="7"/>
      <c r="Y75" s="7"/>
      <c r="Z75" s="7"/>
      <c r="AA75" s="7"/>
      <c r="AB75" s="7"/>
    </row>
    <row r="76" spans="1:28" x14ac:dyDescent="0.3">
      <c r="A76" s="15">
        <f t="shared" si="64"/>
        <v>100251</v>
      </c>
      <c r="B76" s="15" t="s">
        <v>308</v>
      </c>
      <c r="C76" s="58" t="s">
        <v>383</v>
      </c>
      <c r="D76" s="44" t="str">
        <f>[1]!颜色转换成内嵌函数()</f>
        <v>※color(181,79,79)[]</v>
      </c>
      <c r="E76" s="15">
        <f t="shared" si="65"/>
        <v>1</v>
      </c>
      <c r="F76" s="15">
        <f>IF(表1[[#This Row],[level]]+1=E77,A77,"")</f>
        <v>100252</v>
      </c>
      <c r="G76" s="15" t="s">
        <v>133</v>
      </c>
      <c r="H76" s="15" t="str">
        <f t="shared" si="47"/>
        <v>5~8</v>
      </c>
      <c r="I76" s="18" t="s">
        <v>235</v>
      </c>
      <c r="J76" s="16" t="s">
        <v>51</v>
      </c>
      <c r="K76" s="19" t="s">
        <v>208</v>
      </c>
      <c r="L76" s="15" t="s">
        <v>112</v>
      </c>
      <c r="M76" s="7"/>
      <c r="N76" s="7"/>
      <c r="O76" s="8"/>
      <c r="P76" s="8" t="s">
        <v>28</v>
      </c>
      <c r="Q76" s="8">
        <f t="shared" si="50"/>
        <v>3</v>
      </c>
      <c r="R76" s="9">
        <v>5</v>
      </c>
      <c r="S76" s="8">
        <f>R76</f>
        <v>5</v>
      </c>
      <c r="T76" s="8">
        <f t="shared" ref="T76:T78" si="70">Q76+S76</f>
        <v>8</v>
      </c>
      <c r="U76" s="7"/>
      <c r="V76" s="7"/>
      <c r="W76" s="7"/>
      <c r="X76" s="7"/>
      <c r="Y76" s="7"/>
      <c r="Z76" s="7"/>
      <c r="AA76" s="7"/>
      <c r="AB76" s="7"/>
    </row>
    <row r="77" spans="1:28" x14ac:dyDescent="0.3">
      <c r="A77" s="15">
        <f t="shared" si="64"/>
        <v>100252</v>
      </c>
      <c r="B77" s="15" t="s">
        <v>309</v>
      </c>
      <c r="C77" s="58" t="s">
        <v>384</v>
      </c>
      <c r="D77" s="44" t="str">
        <f>[1]!颜色转换成内嵌函数()</f>
        <v>※color(181,79,79)[]</v>
      </c>
      <c r="E77" s="15">
        <f t="shared" si="65"/>
        <v>2</v>
      </c>
      <c r="F77" s="15">
        <f>IF(表1[[#This Row],[level]]+1=E78,A78,"")</f>
        <v>100253</v>
      </c>
      <c r="G77" s="15" t="s">
        <v>133</v>
      </c>
      <c r="H77" s="15" t="str">
        <f t="shared" si="47"/>
        <v>8~12</v>
      </c>
      <c r="I77" s="18" t="s">
        <v>235</v>
      </c>
      <c r="J77" s="16" t="s">
        <v>51</v>
      </c>
      <c r="K77" s="19" t="s">
        <v>209</v>
      </c>
      <c r="L77" s="15" t="s">
        <v>131</v>
      </c>
      <c r="M77" s="7"/>
      <c r="N77" s="7"/>
      <c r="O77" s="8"/>
      <c r="P77" s="8" t="s">
        <v>28</v>
      </c>
      <c r="Q77" s="8">
        <f t="shared" si="50"/>
        <v>4</v>
      </c>
      <c r="R77" s="8">
        <f>R76+Q77/2</f>
        <v>7</v>
      </c>
      <c r="S77" s="8">
        <f>S76+Q76/2+1</f>
        <v>7.5</v>
      </c>
      <c r="T77" s="8">
        <f t="shared" si="70"/>
        <v>11.5</v>
      </c>
      <c r="U77" s="7"/>
      <c r="V77" s="7"/>
      <c r="W77" s="7"/>
      <c r="X77" s="7"/>
      <c r="Y77" s="7"/>
      <c r="Z77" s="7"/>
      <c r="AA77" s="7"/>
      <c r="AB77" s="7"/>
    </row>
    <row r="78" spans="1:28" x14ac:dyDescent="0.3">
      <c r="A78" s="15">
        <f t="shared" si="64"/>
        <v>100253</v>
      </c>
      <c r="B78" s="15" t="s">
        <v>310</v>
      </c>
      <c r="C78" s="58" t="s">
        <v>385</v>
      </c>
      <c r="D78" s="44" t="str">
        <f>[1]!颜色转换成内嵌函数()</f>
        <v>※color(181,79,79)[]</v>
      </c>
      <c r="E78" s="15">
        <f t="shared" si="65"/>
        <v>3</v>
      </c>
      <c r="F78" s="15" t="str">
        <f>IF(表1[[#This Row],[level]]+1=E79,A79,"")</f>
        <v/>
      </c>
      <c r="G78" s="15" t="s">
        <v>133</v>
      </c>
      <c r="H78" s="15" t="str">
        <f t="shared" si="47"/>
        <v>11~16</v>
      </c>
      <c r="I78" s="18" t="s">
        <v>235</v>
      </c>
      <c r="J78" s="16" t="s">
        <v>51</v>
      </c>
      <c r="K78" s="19" t="s">
        <v>210</v>
      </c>
      <c r="L78" s="15" t="s">
        <v>112</v>
      </c>
      <c r="M78" s="7"/>
      <c r="N78" s="7"/>
      <c r="O78" s="8"/>
      <c r="P78" s="8" t="s">
        <v>28</v>
      </c>
      <c r="Q78" s="8">
        <f t="shared" si="50"/>
        <v>5</v>
      </c>
      <c r="R78" s="8">
        <f t="shared" ref="R78" si="71">R77+Q78/2</f>
        <v>9.5</v>
      </c>
      <c r="S78" s="8">
        <f t="shared" ref="S78" si="72">S77+Q77/2+1</f>
        <v>10.5</v>
      </c>
      <c r="T78" s="8">
        <f t="shared" si="70"/>
        <v>15.5</v>
      </c>
      <c r="U78" s="7"/>
      <c r="V78" s="7"/>
      <c r="W78" s="7"/>
      <c r="X78" s="7"/>
      <c r="Y78" s="7"/>
      <c r="Z78" s="7"/>
      <c r="AA78" s="7"/>
      <c r="AB78" s="7"/>
    </row>
    <row r="79" spans="1:28" x14ac:dyDescent="0.3">
      <c r="A79" s="7"/>
      <c r="B79" s="7"/>
      <c r="C79" s="7"/>
      <c r="D79" s="7"/>
      <c r="E79" s="7"/>
      <c r="F79" s="7"/>
      <c r="G79" s="7"/>
      <c r="H79" s="7"/>
      <c r="I79" s="10"/>
      <c r="J79" s="10"/>
      <c r="K79" s="7"/>
      <c r="L79" s="7"/>
      <c r="M79" s="7"/>
      <c r="N79" s="7"/>
      <c r="O79" s="8"/>
      <c r="P79" s="8"/>
      <c r="Q79" s="8"/>
      <c r="R79" s="8"/>
      <c r="S79" s="8"/>
      <c r="T79" s="8"/>
      <c r="U79" s="7"/>
      <c r="V79" s="7"/>
      <c r="W79" s="7"/>
      <c r="X79" s="7"/>
      <c r="Y79" s="7"/>
      <c r="Z79" s="7"/>
      <c r="AA79" s="7"/>
      <c r="AB79" s="7"/>
    </row>
    <row r="80" spans="1:28" x14ac:dyDescent="0.3">
      <c r="A80" s="7"/>
      <c r="B80" s="7"/>
      <c r="C80" s="7"/>
      <c r="D80" s="7"/>
      <c r="E80" s="7"/>
      <c r="F80" s="7"/>
      <c r="G80" s="7"/>
      <c r="H80" s="7"/>
      <c r="I80" s="10"/>
      <c r="J80" s="10"/>
      <c r="K80" s="7"/>
      <c r="L80" s="7"/>
      <c r="M80" s="7"/>
      <c r="N80" s="7"/>
      <c r="O80" s="8"/>
      <c r="P80" s="8"/>
      <c r="Q80" s="8"/>
      <c r="R80" s="8"/>
      <c r="S80" s="8"/>
      <c r="T80" s="8"/>
      <c r="U80" s="7"/>
      <c r="V80" s="7"/>
      <c r="W80" s="7"/>
      <c r="X80" s="7"/>
      <c r="Y80" s="7"/>
      <c r="Z80" s="7"/>
      <c r="AA80" s="7"/>
      <c r="AB80" s="7"/>
    </row>
    <row r="81" spans="1:28" x14ac:dyDescent="0.3">
      <c r="A81" s="7"/>
      <c r="B81" s="7"/>
      <c r="C81" s="7"/>
      <c r="D81" s="7"/>
      <c r="E81" s="7"/>
      <c r="F81" s="7"/>
      <c r="G81" s="7"/>
      <c r="H81" s="7"/>
      <c r="I81" s="10"/>
      <c r="J81" s="10"/>
      <c r="K81" s="7"/>
      <c r="L81" s="7"/>
      <c r="M81" s="7"/>
      <c r="N81" s="7"/>
      <c r="O81" s="8"/>
      <c r="P81" s="8"/>
      <c r="Q81" s="8"/>
      <c r="R81" s="8"/>
      <c r="S81" s="8"/>
      <c r="T81" s="8"/>
      <c r="U81" s="7"/>
      <c r="V81" s="7"/>
      <c r="W81" s="7"/>
      <c r="X81" s="7"/>
      <c r="Y81" s="7"/>
      <c r="Z81" s="7"/>
      <c r="AA81" s="7"/>
      <c r="AB81" s="7"/>
    </row>
    <row r="82" spans="1:28" x14ac:dyDescent="0.3">
      <c r="A82" s="7"/>
      <c r="B82" s="7"/>
      <c r="C82" s="7"/>
      <c r="D82" s="7"/>
      <c r="E82" s="7"/>
      <c r="F82" s="7"/>
      <c r="G82" s="7"/>
      <c r="H82" s="7"/>
      <c r="I82" s="10"/>
      <c r="J82" s="10"/>
      <c r="K82" s="7"/>
      <c r="L82" s="7"/>
      <c r="M82" s="7"/>
      <c r="N82" s="7"/>
      <c r="O82" s="8"/>
      <c r="P82" s="8"/>
      <c r="Q82" s="8"/>
      <c r="R82" s="9"/>
      <c r="S82" s="8"/>
      <c r="T82" s="8"/>
      <c r="U82" s="7"/>
      <c r="V82" s="7"/>
      <c r="W82" s="7"/>
      <c r="X82" s="7"/>
      <c r="Y82" s="7"/>
      <c r="Z82" s="7"/>
      <c r="AA82" s="7"/>
      <c r="AB82" s="7"/>
    </row>
    <row r="83" spans="1:28" x14ac:dyDescent="0.3">
      <c r="A83" s="7"/>
      <c r="B83" s="7"/>
      <c r="C83" s="7"/>
      <c r="D83" s="7"/>
      <c r="E83" s="7"/>
      <c r="F83" s="7"/>
      <c r="G83" s="7"/>
      <c r="H83" s="7"/>
      <c r="I83" s="10"/>
      <c r="J83" s="10"/>
      <c r="K83" s="7"/>
      <c r="L83" s="7"/>
      <c r="M83" s="7"/>
      <c r="N83" s="7"/>
      <c r="O83" s="8"/>
      <c r="P83" s="8"/>
      <c r="Q83" s="8"/>
      <c r="R83" s="8"/>
      <c r="S83" s="8"/>
      <c r="T83" s="8"/>
      <c r="U83" s="7"/>
      <c r="V83" s="7"/>
      <c r="W83" s="7"/>
      <c r="X83" s="7"/>
      <c r="Y83" s="7"/>
      <c r="Z83" s="7"/>
      <c r="AA83" s="7"/>
      <c r="AB83" s="7"/>
    </row>
    <row r="84" spans="1:28" x14ac:dyDescent="0.3">
      <c r="A84" s="7"/>
      <c r="B84" s="7"/>
      <c r="C84" s="7"/>
      <c r="D84" s="7"/>
      <c r="E84" s="7"/>
      <c r="F84" s="7"/>
      <c r="G84" s="7"/>
      <c r="H84" s="7"/>
      <c r="I84" s="10"/>
      <c r="J84" s="10"/>
      <c r="K84" s="7"/>
      <c r="L84" s="7"/>
      <c r="M84" s="7"/>
      <c r="N84" s="7"/>
      <c r="O84" s="8"/>
      <c r="P84" s="8"/>
      <c r="Q84" s="8"/>
      <c r="R84" s="8"/>
      <c r="S84" s="8"/>
      <c r="T84" s="8"/>
      <c r="U84" s="7"/>
      <c r="V84" s="7"/>
      <c r="W84" s="7"/>
      <c r="X84" s="7"/>
      <c r="Y84" s="7"/>
      <c r="Z84" s="7"/>
      <c r="AA84" s="7"/>
      <c r="AB84" s="7"/>
    </row>
    <row r="85" spans="1:28" x14ac:dyDescent="0.3">
      <c r="A85" s="7"/>
      <c r="B85" s="7"/>
      <c r="C85" s="7"/>
      <c r="D85" s="7"/>
      <c r="E85" s="7"/>
      <c r="F85" s="7"/>
      <c r="G85" s="7"/>
      <c r="H85" s="7"/>
      <c r="I85" s="10"/>
      <c r="J85" s="10"/>
      <c r="K85" s="7"/>
      <c r="L85" s="7"/>
      <c r="M85" s="7"/>
      <c r="N85" s="7"/>
      <c r="O85" s="8"/>
      <c r="P85" s="8"/>
      <c r="Q85" s="8"/>
      <c r="R85" s="8"/>
      <c r="S85" s="8"/>
      <c r="T85" s="8"/>
      <c r="U85" s="7"/>
      <c r="V85" s="7"/>
      <c r="W85" s="7"/>
      <c r="X85" s="7"/>
      <c r="Y85" s="7"/>
      <c r="Z85" s="7"/>
      <c r="AA85" s="7"/>
      <c r="AB85" s="7"/>
    </row>
    <row r="86" spans="1:28" x14ac:dyDescent="0.3">
      <c r="A86" s="7"/>
      <c r="B86" s="7"/>
      <c r="C86" s="7"/>
      <c r="D86" s="7"/>
      <c r="E86" s="7"/>
      <c r="F86" s="7"/>
      <c r="G86" s="7"/>
      <c r="H86" s="7"/>
      <c r="I86" s="10"/>
      <c r="J86" s="10"/>
      <c r="K86" s="7"/>
      <c r="L86" s="7"/>
      <c r="M86" s="7"/>
      <c r="N86" s="7"/>
      <c r="O86" s="8"/>
      <c r="P86" s="8"/>
      <c r="Q86" s="8"/>
      <c r="R86" s="8"/>
      <c r="S86" s="8"/>
      <c r="T86" s="8"/>
      <c r="U86" s="7"/>
      <c r="V86" s="7"/>
      <c r="W86" s="7"/>
      <c r="X86" s="7"/>
      <c r="Y86" s="7"/>
      <c r="Z86" s="7"/>
      <c r="AA86" s="7"/>
      <c r="AB86" s="7"/>
    </row>
    <row r="87" spans="1:28" x14ac:dyDescent="0.3">
      <c r="A87" s="7"/>
      <c r="B87" s="7"/>
      <c r="C87" s="7"/>
      <c r="D87" s="7"/>
      <c r="E87" s="7"/>
      <c r="F87" s="7"/>
      <c r="G87" s="7"/>
      <c r="H87" s="7"/>
      <c r="I87" s="10"/>
      <c r="J87" s="10"/>
      <c r="K87" s="7"/>
      <c r="L87" s="7"/>
      <c r="M87" s="7"/>
      <c r="N87" s="7"/>
      <c r="O87" s="8"/>
      <c r="P87" s="8"/>
      <c r="Q87" s="8"/>
      <c r="R87" s="8"/>
      <c r="S87" s="8"/>
      <c r="T87" s="8"/>
      <c r="U87" s="7"/>
      <c r="V87" s="7"/>
      <c r="W87" s="7"/>
      <c r="X87" s="7"/>
      <c r="Y87" s="7"/>
      <c r="Z87" s="7"/>
      <c r="AA87" s="7"/>
      <c r="AB87" s="7"/>
    </row>
    <row r="88" spans="1:28" x14ac:dyDescent="0.3">
      <c r="A88" s="7"/>
      <c r="B88" s="7"/>
      <c r="C88" s="7"/>
      <c r="D88" s="7"/>
      <c r="E88" s="7"/>
      <c r="F88" s="7"/>
      <c r="G88" s="7"/>
      <c r="H88" s="7"/>
      <c r="I88" s="10"/>
      <c r="J88" s="10"/>
      <c r="K88" s="7"/>
      <c r="L88" s="7"/>
    </row>
    <row r="89" spans="1:28" x14ac:dyDescent="0.3">
      <c r="A89" s="7"/>
      <c r="B89" s="7"/>
      <c r="C89" s="7"/>
      <c r="D89" s="7"/>
      <c r="E89" s="7"/>
      <c r="F89" s="7"/>
      <c r="G89" s="7"/>
      <c r="H89" s="7"/>
      <c r="I89" s="10"/>
      <c r="J89" s="10"/>
      <c r="K89" s="7"/>
      <c r="L89" s="7"/>
    </row>
    <row r="90" spans="1:28" x14ac:dyDescent="0.3">
      <c r="A90" s="7"/>
      <c r="B90" s="7"/>
      <c r="C90" s="7"/>
      <c r="D90" s="7"/>
      <c r="E90" s="7"/>
      <c r="F90" s="7"/>
      <c r="G90" s="7"/>
      <c r="H90" s="7"/>
      <c r="I90" s="10"/>
      <c r="J90" s="10"/>
      <c r="K90" s="7"/>
      <c r="L90" s="7"/>
    </row>
    <row r="91" spans="1:28" x14ac:dyDescent="0.3">
      <c r="A91" s="7"/>
      <c r="B91" s="7"/>
      <c r="C91" s="7"/>
      <c r="D91" s="7"/>
      <c r="E91" s="7"/>
      <c r="F91" s="7"/>
      <c r="G91" s="7"/>
      <c r="H91" s="7"/>
      <c r="I91" s="10"/>
      <c r="J91" s="10"/>
      <c r="K91" s="7"/>
      <c r="L91" s="7"/>
    </row>
    <row r="92" spans="1:28" x14ac:dyDescent="0.3">
      <c r="A92" s="7"/>
      <c r="B92" s="7"/>
      <c r="C92" s="7"/>
      <c r="D92" s="7"/>
      <c r="E92" s="7"/>
      <c r="F92" s="7"/>
      <c r="G92" s="7"/>
      <c r="H92" s="7"/>
      <c r="I92" s="10"/>
      <c r="J92" s="10"/>
      <c r="K92" s="7"/>
      <c r="L92" s="7"/>
    </row>
    <row r="93" spans="1:28" x14ac:dyDescent="0.3">
      <c r="A93" s="7"/>
      <c r="B93" s="7"/>
      <c r="C93" s="7"/>
      <c r="D93" s="7"/>
      <c r="E93" s="7"/>
      <c r="F93" s="7"/>
      <c r="G93" s="7"/>
      <c r="H93" s="7"/>
      <c r="I93" s="10"/>
      <c r="J93" s="10"/>
      <c r="K93" s="7"/>
      <c r="L93" s="7"/>
    </row>
    <row r="94" spans="1:28" x14ac:dyDescent="0.3">
      <c r="A94" s="7"/>
      <c r="B94" s="7"/>
      <c r="C94" s="7"/>
      <c r="D94" s="7"/>
      <c r="E94" s="7"/>
      <c r="F94" s="7"/>
      <c r="G94" s="7"/>
      <c r="H94" s="7"/>
      <c r="I94" s="10"/>
      <c r="J94" s="10"/>
      <c r="K94" s="7"/>
      <c r="L94" s="7"/>
    </row>
    <row r="95" spans="1:28" x14ac:dyDescent="0.3">
      <c r="A95" s="7"/>
      <c r="B95" s="7"/>
      <c r="C95" s="7"/>
      <c r="D95" s="7"/>
      <c r="E95" s="7"/>
      <c r="F95" s="7"/>
      <c r="G95" s="7"/>
      <c r="H95" s="7"/>
      <c r="I95" s="10"/>
      <c r="J95" s="10"/>
      <c r="K95" s="7"/>
      <c r="L95" s="7"/>
    </row>
    <row r="96" spans="1:28" x14ac:dyDescent="0.3">
      <c r="A96" s="7"/>
      <c r="B96" s="7"/>
      <c r="C96" s="7"/>
      <c r="D96" s="7"/>
      <c r="E96" s="7"/>
      <c r="F96" s="7"/>
      <c r="G96" s="7"/>
      <c r="H96" s="7"/>
      <c r="I96" s="10"/>
      <c r="J96" s="10"/>
      <c r="K96" s="7"/>
      <c r="L96" s="7"/>
    </row>
    <row r="97" spans="1:12" x14ac:dyDescent="0.3">
      <c r="A97" s="7"/>
      <c r="B97" s="7"/>
      <c r="C97" s="7"/>
      <c r="D97" s="7"/>
      <c r="E97" s="7"/>
      <c r="F97" s="7"/>
      <c r="G97" s="7"/>
      <c r="H97" s="7"/>
      <c r="I97" s="10"/>
      <c r="J97" s="10"/>
      <c r="K97" s="7"/>
      <c r="L97" s="7"/>
    </row>
    <row r="98" spans="1:12" x14ac:dyDescent="0.3">
      <c r="A98" s="7"/>
      <c r="B98" s="7"/>
      <c r="C98" s="7"/>
      <c r="D98" s="7"/>
      <c r="E98" s="7"/>
      <c r="F98" s="7"/>
      <c r="G98" s="7"/>
      <c r="H98" s="7"/>
      <c r="I98" s="10"/>
      <c r="J98" s="10"/>
      <c r="K98" s="7"/>
      <c r="L98" s="7"/>
    </row>
    <row r="99" spans="1:12" x14ac:dyDescent="0.3">
      <c r="A99" s="7"/>
      <c r="B99" s="7"/>
      <c r="C99" s="7"/>
      <c r="D99" s="7"/>
      <c r="E99" s="7"/>
      <c r="F99" s="7"/>
      <c r="G99" s="7"/>
      <c r="H99" s="7"/>
      <c r="I99" s="10"/>
      <c r="J99" s="10"/>
      <c r="K99" s="7"/>
      <c r="L99" s="7"/>
    </row>
    <row r="100" spans="1:12" x14ac:dyDescent="0.3">
      <c r="A100" s="7"/>
      <c r="B100" s="7"/>
      <c r="C100" s="7"/>
      <c r="D100" s="7"/>
      <c r="E100" s="7"/>
      <c r="F100" s="7"/>
      <c r="G100" s="7"/>
      <c r="H100" s="7"/>
      <c r="I100" s="10"/>
      <c r="J100" s="10"/>
      <c r="K100" s="7"/>
      <c r="L100" s="7"/>
    </row>
    <row r="101" spans="1:12" x14ac:dyDescent="0.3">
      <c r="A101" s="7"/>
      <c r="B101" s="7"/>
      <c r="C101" s="7"/>
      <c r="D101" s="7"/>
      <c r="E101" s="7"/>
      <c r="F101" s="7"/>
      <c r="G101" s="7"/>
      <c r="H101" s="7"/>
      <c r="I101" s="10"/>
      <c r="J101" s="10"/>
      <c r="K101" s="7"/>
      <c r="L101" s="7"/>
    </row>
    <row r="102" spans="1:12" x14ac:dyDescent="0.3">
      <c r="F102" s="7"/>
    </row>
  </sheetData>
  <mergeCells count="6">
    <mergeCell ref="T1:T3"/>
    <mergeCell ref="O1:O3"/>
    <mergeCell ref="P1:P3"/>
    <mergeCell ref="Q1:Q3"/>
    <mergeCell ref="R1:R3"/>
    <mergeCell ref="S1:S3"/>
  </mergeCells>
  <phoneticPr fontId="1" type="noConversion"/>
  <conditionalFormatting sqref="A3:L3">
    <cfRule type="duplicateValues" dxfId="179" priority="7"/>
  </conditionalFormatting>
  <conditionalFormatting sqref="A4:A78">
    <cfRule type="duplicateValues" dxfId="0" priority="1"/>
  </conditionalFormatting>
  <dataValidations count="1">
    <dataValidation type="list" allowBlank="1" showInputMessage="1" showErrorMessage="1" sqref="J4:J78">
      <formula1>"None,Normal,Blue,Red,Yellow,Power"</formula1>
    </dataValidation>
  </dataValidations>
  <hyperlinks>
    <hyperlink ref="J2" location="ChipGrid" display="ChipGrid"/>
    <hyperlink ref="J3" location="ChipGrid" display="ChipGrid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6"/>
  <sheetViews>
    <sheetView showGridLines="0" workbookViewId="0">
      <selection activeCell="B32" sqref="B32"/>
    </sheetView>
  </sheetViews>
  <sheetFormatPr defaultRowHeight="13.5" x14ac:dyDescent="0.15"/>
  <cols>
    <col min="2" max="2" width="47.75" customWidth="1"/>
    <col min="3" max="3" width="18" customWidth="1"/>
    <col min="12" max="12" width="7.5" bestFit="1" customWidth="1"/>
  </cols>
  <sheetData>
    <row r="1" spans="1:3" ht="82.5" x14ac:dyDescent="0.15">
      <c r="A1" s="13" t="s">
        <v>72</v>
      </c>
      <c r="B1" s="14" t="s">
        <v>74</v>
      </c>
      <c r="C1" s="14" t="s">
        <v>75</v>
      </c>
    </row>
    <row r="2" spans="1:3" ht="16.5" x14ac:dyDescent="0.15">
      <c r="A2" s="15" t="s">
        <v>17</v>
      </c>
      <c r="B2" s="22" t="s">
        <v>64</v>
      </c>
      <c r="C2" s="15" t="s">
        <v>63</v>
      </c>
    </row>
    <row r="3" spans="1:3" ht="15" x14ac:dyDescent="0.15">
      <c r="A3" s="17" t="s">
        <v>0</v>
      </c>
      <c r="B3" s="23" t="s">
        <v>65</v>
      </c>
      <c r="C3" s="17" t="s">
        <v>73</v>
      </c>
    </row>
    <row r="4" spans="1:3" ht="16.5" x14ac:dyDescent="0.15">
      <c r="A4" s="15">
        <v>1</v>
      </c>
      <c r="B4" s="15" t="s">
        <v>94</v>
      </c>
      <c r="C4" s="15" t="s">
        <v>97</v>
      </c>
    </row>
    <row r="5" spans="1:3" ht="16.5" x14ac:dyDescent="0.15">
      <c r="A5" s="15">
        <v>2</v>
      </c>
      <c r="B5" s="15" t="s">
        <v>95</v>
      </c>
      <c r="C5" s="15" t="s">
        <v>78</v>
      </c>
    </row>
    <row r="6" spans="1:3" ht="16.5" x14ac:dyDescent="0.15">
      <c r="A6" s="15">
        <v>3</v>
      </c>
      <c r="B6" s="15" t="s">
        <v>79</v>
      </c>
      <c r="C6" s="15" t="s">
        <v>96</v>
      </c>
    </row>
  </sheetData>
  <autoFilter ref="A3:C6"/>
  <phoneticPr fontId="1" type="noConversion"/>
  <conditionalFormatting sqref="A3:C3">
    <cfRule type="duplicateValues" dxfId="164" priority="35"/>
  </conditionalFormatting>
  <conditionalFormatting sqref="A7:A1048576">
    <cfRule type="duplicateValues" dxfId="163" priority="36"/>
  </conditionalFormatting>
  <conditionalFormatting sqref="A4:A6">
    <cfRule type="duplicateValues" dxfId="162" priority="1"/>
  </conditionalFormatting>
  <hyperlinks>
    <hyperlink ref="B2" location="ChipGrid" display="ChipGrid"/>
    <hyperlink ref="B3" location="ChipGrid" display="ChipGrid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A8"/>
  <sheetViews>
    <sheetView workbookViewId="0">
      <selection activeCell="C41" sqref="C41"/>
    </sheetView>
  </sheetViews>
  <sheetFormatPr defaultRowHeight="13.5" x14ac:dyDescent="0.15"/>
  <sheetData>
    <row r="1" spans="1:1" ht="16.5" x14ac:dyDescent="0.3">
      <c r="A1" s="50" t="s">
        <v>77</v>
      </c>
    </row>
    <row r="2" spans="1:1" ht="15" x14ac:dyDescent="0.15">
      <c r="A2" s="21" t="s">
        <v>61</v>
      </c>
    </row>
    <row r="3" spans="1:1" ht="16.5" x14ac:dyDescent="0.15">
      <c r="A3" s="20" t="s">
        <v>50</v>
      </c>
    </row>
    <row r="4" spans="1:1" ht="16.5" x14ac:dyDescent="0.15">
      <c r="A4" s="20" t="s">
        <v>52</v>
      </c>
    </row>
    <row r="5" spans="1:1" ht="16.5" x14ac:dyDescent="0.15">
      <c r="A5" s="20" t="s">
        <v>54</v>
      </c>
    </row>
    <row r="6" spans="1:1" ht="16.5" x14ac:dyDescent="0.15">
      <c r="A6" s="20" t="s">
        <v>56</v>
      </c>
    </row>
    <row r="7" spans="1:1" ht="16.5" x14ac:dyDescent="0.15">
      <c r="A7" s="20" t="s">
        <v>58</v>
      </c>
    </row>
    <row r="8" spans="1:1" ht="16.5" x14ac:dyDescent="0.15">
      <c r="A8" s="20" t="s">
        <v>62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I60"/>
  <sheetViews>
    <sheetView showGridLines="0" topLeftCell="A31" workbookViewId="0">
      <selection activeCell="X47" sqref="X47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8" ht="16.5" x14ac:dyDescent="0.15">
      <c r="C1" s="12"/>
      <c r="D1" s="12"/>
    </row>
    <row r="3" spans="2:28" x14ac:dyDescent="0.15">
      <c r="B3" s="25" t="s">
        <v>29</v>
      </c>
      <c r="C3" s="26"/>
      <c r="D3" s="26"/>
      <c r="H3" s="26" t="str">
        <f>B3</f>
        <v>t1</v>
      </c>
      <c r="I3" s="26"/>
      <c r="J3" s="26"/>
      <c r="N3" s="26" t="str">
        <f>B3</f>
        <v>t1</v>
      </c>
      <c r="O3" s="26"/>
      <c r="P3" s="26"/>
      <c r="T3" s="26" t="str">
        <f>B3</f>
        <v>t1</v>
      </c>
      <c r="U3" s="26"/>
      <c r="V3" s="26"/>
      <c r="Z3" s="26" t="str">
        <f>B3</f>
        <v>t1</v>
      </c>
      <c r="AA3" s="26"/>
      <c r="AB3" s="26"/>
    </row>
    <row r="4" spans="2:28" x14ac:dyDescent="0.15">
      <c r="B4" s="5">
        <v>1</v>
      </c>
      <c r="C4" s="5"/>
      <c r="D4" s="5">
        <v>3</v>
      </c>
      <c r="H4" s="5">
        <v>2</v>
      </c>
      <c r="I4" s="5">
        <v>1</v>
      </c>
      <c r="J4" s="5"/>
      <c r="N4" s="5"/>
      <c r="O4" s="5">
        <v>2</v>
      </c>
      <c r="P4" s="5"/>
      <c r="T4" s="5">
        <v>3</v>
      </c>
      <c r="U4" s="5">
        <v>1</v>
      </c>
      <c r="V4" s="5">
        <v>2</v>
      </c>
      <c r="Z4" s="5">
        <v>1</v>
      </c>
      <c r="AA4" s="5">
        <v>3</v>
      </c>
      <c r="AB4" s="5"/>
    </row>
    <row r="5" spans="2:28" x14ac:dyDescent="0.15">
      <c r="B5" s="5"/>
      <c r="C5" s="5">
        <v>2</v>
      </c>
      <c r="D5" s="5"/>
      <c r="H5" s="5"/>
      <c r="I5" s="5">
        <v>3</v>
      </c>
      <c r="J5" s="5"/>
      <c r="N5" s="5"/>
      <c r="O5" s="5">
        <v>1</v>
      </c>
      <c r="P5" s="5"/>
      <c r="T5" s="5"/>
      <c r="U5" s="5">
        <v>1</v>
      </c>
      <c r="V5" s="5"/>
      <c r="Z5" s="5">
        <v>2</v>
      </c>
      <c r="AA5" s="5"/>
      <c r="AB5" s="5"/>
    </row>
    <row r="6" spans="2:28" x14ac:dyDescent="0.15">
      <c r="B6" s="5"/>
      <c r="C6" s="5"/>
      <c r="D6" s="5"/>
      <c r="H6" s="5"/>
      <c r="I6" s="5"/>
      <c r="J6" s="5"/>
      <c r="N6" s="5"/>
      <c r="O6" s="5">
        <v>3</v>
      </c>
      <c r="P6" s="5"/>
      <c r="T6" s="5"/>
      <c r="U6" s="5"/>
      <c r="V6" s="5"/>
      <c r="Z6" s="5">
        <v>1</v>
      </c>
      <c r="AA6" s="5"/>
      <c r="AB6" s="5"/>
    </row>
    <row r="9" spans="2:28" x14ac:dyDescent="0.15">
      <c r="B9" s="25" t="s">
        <v>22</v>
      </c>
      <c r="C9" s="26"/>
      <c r="D9" s="26"/>
      <c r="H9" s="26" t="str">
        <f>B9</f>
        <v>t2</v>
      </c>
      <c r="I9" s="26"/>
      <c r="J9" s="26"/>
      <c r="N9" s="26" t="str">
        <f>B9</f>
        <v>t2</v>
      </c>
      <c r="O9" s="26"/>
      <c r="P9" s="26"/>
      <c r="T9" s="26" t="str">
        <f>B9</f>
        <v>t2</v>
      </c>
      <c r="U9" s="26"/>
      <c r="V9" s="26"/>
    </row>
    <row r="10" spans="2:28" x14ac:dyDescent="0.15">
      <c r="B10" s="5">
        <v>1</v>
      </c>
      <c r="C10" s="5">
        <v>2</v>
      </c>
      <c r="D10" s="5">
        <v>1</v>
      </c>
      <c r="H10" s="5">
        <v>1</v>
      </c>
      <c r="I10" s="5">
        <v>1</v>
      </c>
      <c r="J10" s="5">
        <v>3</v>
      </c>
      <c r="N10" s="5"/>
      <c r="O10" s="5">
        <v>1</v>
      </c>
      <c r="P10" s="5"/>
      <c r="T10" s="5"/>
      <c r="U10" s="5">
        <v>1</v>
      </c>
      <c r="V10" s="5"/>
    </row>
    <row r="11" spans="2:28" x14ac:dyDescent="0.15">
      <c r="B11" s="5"/>
      <c r="C11" s="5">
        <v>3</v>
      </c>
      <c r="D11" s="5"/>
      <c r="H11" s="5"/>
      <c r="I11" s="5">
        <v>2</v>
      </c>
      <c r="J11" s="5"/>
      <c r="N11" s="5">
        <v>1</v>
      </c>
      <c r="O11" s="5">
        <v>2</v>
      </c>
      <c r="P11" s="5">
        <v>1</v>
      </c>
      <c r="T11" s="5">
        <v>3</v>
      </c>
      <c r="U11" s="5"/>
      <c r="V11" s="5">
        <v>2</v>
      </c>
    </row>
    <row r="12" spans="2:28" x14ac:dyDescent="0.15">
      <c r="B12" s="5"/>
      <c r="C12" s="5"/>
      <c r="D12" s="5"/>
      <c r="H12" s="5">
        <v>1</v>
      </c>
      <c r="I12" s="5"/>
      <c r="J12" s="5"/>
      <c r="N12" s="5">
        <v>3</v>
      </c>
      <c r="O12" s="5"/>
      <c r="P12" s="5"/>
      <c r="T12" s="5"/>
      <c r="U12" s="5"/>
      <c r="V12" s="5">
        <v>1</v>
      </c>
    </row>
    <row r="15" spans="2:28" x14ac:dyDescent="0.15">
      <c r="B15" s="25" t="s">
        <v>23</v>
      </c>
      <c r="C15" s="26"/>
      <c r="D15" s="26"/>
      <c r="H15" s="26" t="str">
        <f>B15</f>
        <v>t3</v>
      </c>
      <c r="I15" s="26"/>
      <c r="J15" s="26"/>
      <c r="N15" s="26" t="str">
        <f>B15</f>
        <v>t3</v>
      </c>
      <c r="O15" s="26"/>
      <c r="P15" s="26"/>
      <c r="T15" s="26" t="str">
        <f>B15</f>
        <v>t3</v>
      </c>
      <c r="U15" s="26"/>
      <c r="V15" s="26"/>
      <c r="Z15" s="26" t="str">
        <f>B15</f>
        <v>t3</v>
      </c>
      <c r="AA15" s="26"/>
      <c r="AB15" s="26"/>
    </row>
    <row r="16" spans="2:28" x14ac:dyDescent="0.15">
      <c r="B16" s="5"/>
      <c r="C16" s="5">
        <v>1</v>
      </c>
      <c r="D16" s="5"/>
      <c r="H16" s="5">
        <v>3</v>
      </c>
      <c r="I16" s="5"/>
      <c r="J16" s="5"/>
      <c r="N16" s="5">
        <v>1</v>
      </c>
      <c r="O16" s="5"/>
      <c r="P16" s="5">
        <v>1</v>
      </c>
      <c r="T16" s="5"/>
      <c r="U16" s="5"/>
      <c r="V16" s="5"/>
      <c r="Z16" s="5">
        <v>1</v>
      </c>
      <c r="AA16" s="5"/>
      <c r="AB16" s="5">
        <v>2</v>
      </c>
    </row>
    <row r="17" spans="2:28" x14ac:dyDescent="0.15">
      <c r="B17" s="5">
        <v>3</v>
      </c>
      <c r="C17" s="5"/>
      <c r="D17" s="5"/>
      <c r="H17" s="5"/>
      <c r="I17" s="5">
        <v>2</v>
      </c>
      <c r="J17" s="5"/>
      <c r="N17" s="5"/>
      <c r="O17" s="5">
        <v>2</v>
      </c>
      <c r="P17" s="5"/>
      <c r="T17" s="5">
        <v>1</v>
      </c>
      <c r="U17" s="5">
        <v>2</v>
      </c>
      <c r="V17" s="5">
        <v>3</v>
      </c>
      <c r="Z17" s="5"/>
      <c r="AA17" s="5">
        <v>3</v>
      </c>
      <c r="AB17" s="5"/>
    </row>
    <row r="18" spans="2:28" x14ac:dyDescent="0.15">
      <c r="B18" s="5"/>
      <c r="C18" s="5">
        <v>2</v>
      </c>
      <c r="D18" s="5"/>
      <c r="H18" s="5">
        <v>1</v>
      </c>
      <c r="I18" s="5"/>
      <c r="J18" s="5"/>
      <c r="N18" s="5"/>
      <c r="O18" s="5">
        <v>3</v>
      </c>
      <c r="P18" s="5"/>
      <c r="T18" s="5"/>
      <c r="U18" s="5">
        <v>1</v>
      </c>
      <c r="V18" s="5"/>
      <c r="Z18" s="5"/>
      <c r="AA18" s="5"/>
      <c r="AB18" s="5"/>
    </row>
    <row r="21" spans="2:28" x14ac:dyDescent="0.15">
      <c r="B21" s="25" t="s">
        <v>24</v>
      </c>
      <c r="C21" s="26"/>
      <c r="D21" s="26"/>
      <c r="H21" s="26" t="str">
        <f>B21</f>
        <v>t4</v>
      </c>
      <c r="I21" s="26"/>
      <c r="J21" s="26"/>
      <c r="N21" s="26" t="str">
        <f>B21</f>
        <v>t4</v>
      </c>
      <c r="O21" s="26"/>
      <c r="P21" s="26"/>
      <c r="T21" s="26" t="str">
        <f>B21</f>
        <v>t4</v>
      </c>
      <c r="U21" s="26"/>
      <c r="V21" s="26"/>
    </row>
    <row r="22" spans="2:28" x14ac:dyDescent="0.15">
      <c r="B22" s="5"/>
      <c r="C22" s="5"/>
      <c r="D22" s="5"/>
      <c r="H22" s="5">
        <v>3</v>
      </c>
      <c r="I22" s="5"/>
      <c r="J22" s="5">
        <v>1</v>
      </c>
      <c r="N22" s="5">
        <v>1</v>
      </c>
      <c r="O22" s="5"/>
      <c r="P22" s="5">
        <v>1</v>
      </c>
      <c r="T22" s="5">
        <v>1</v>
      </c>
      <c r="U22" s="5"/>
      <c r="V22" s="5">
        <v>3</v>
      </c>
    </row>
    <row r="23" spans="2:28" x14ac:dyDescent="0.15">
      <c r="B23" s="5"/>
      <c r="C23" s="5">
        <v>3</v>
      </c>
      <c r="D23" s="5"/>
      <c r="H23" s="5"/>
      <c r="I23" s="5">
        <v>2</v>
      </c>
      <c r="J23" s="5"/>
      <c r="N23" s="5"/>
      <c r="O23" s="5">
        <v>2</v>
      </c>
      <c r="P23" s="5"/>
      <c r="T23" s="5"/>
      <c r="U23" s="5">
        <v>2</v>
      </c>
      <c r="V23" s="5"/>
    </row>
    <row r="24" spans="2:28" x14ac:dyDescent="0.15">
      <c r="B24" s="5">
        <v>1</v>
      </c>
      <c r="C24" s="5"/>
      <c r="D24" s="5">
        <v>2</v>
      </c>
      <c r="H24" s="5"/>
      <c r="I24" s="5"/>
      <c r="J24" s="5">
        <v>1</v>
      </c>
      <c r="N24" s="5">
        <v>3</v>
      </c>
      <c r="O24" s="5"/>
      <c r="P24" s="5">
        <v>1</v>
      </c>
      <c r="T24" s="5">
        <v>1</v>
      </c>
      <c r="U24" s="5"/>
      <c r="V24" s="5"/>
    </row>
    <row r="25" spans="2:28" x14ac:dyDescent="0.15">
      <c r="X25" s="4"/>
      <c r="Y25" s="4"/>
    </row>
    <row r="27" spans="2:28" x14ac:dyDescent="0.15">
      <c r="B27" s="25" t="s">
        <v>25</v>
      </c>
      <c r="C27" s="26"/>
      <c r="D27" s="26"/>
      <c r="H27" s="26" t="str">
        <f>B27</f>
        <v>t5</v>
      </c>
      <c r="I27" s="26"/>
      <c r="J27" s="26"/>
      <c r="N27" s="26" t="str">
        <f>B27</f>
        <v>t5</v>
      </c>
      <c r="O27" s="26"/>
      <c r="P27" s="26"/>
      <c r="T27" s="26" t="str">
        <f>B27</f>
        <v>t5</v>
      </c>
      <c r="U27" s="26"/>
      <c r="V27" s="26"/>
    </row>
    <row r="28" spans="2:28" x14ac:dyDescent="0.15">
      <c r="B28" s="5"/>
      <c r="C28" s="5">
        <v>1</v>
      </c>
      <c r="D28" s="5">
        <v>3</v>
      </c>
      <c r="H28" s="5"/>
      <c r="I28" s="5"/>
      <c r="J28" s="5">
        <v>1</v>
      </c>
      <c r="N28" s="5"/>
      <c r="O28" s="5"/>
      <c r="P28" s="5">
        <v>1</v>
      </c>
      <c r="T28" s="5"/>
      <c r="U28" s="5">
        <v>1</v>
      </c>
      <c r="V28" s="5"/>
    </row>
    <row r="29" spans="2:28" x14ac:dyDescent="0.15">
      <c r="B29" s="5">
        <v>2</v>
      </c>
      <c r="C29" s="5"/>
      <c r="D29" s="5"/>
      <c r="H29" s="5">
        <v>3</v>
      </c>
      <c r="I29" s="5">
        <v>2</v>
      </c>
      <c r="J29" s="5"/>
      <c r="N29" s="5"/>
      <c r="O29" s="5">
        <v>2</v>
      </c>
      <c r="P29" s="5"/>
      <c r="T29" s="5">
        <v>3</v>
      </c>
      <c r="U29" s="5"/>
      <c r="V29" s="5">
        <v>1</v>
      </c>
    </row>
    <row r="30" spans="2:28" x14ac:dyDescent="0.15">
      <c r="B30" s="5"/>
      <c r="C30" s="5">
        <v>1</v>
      </c>
      <c r="D30" s="5">
        <v>1</v>
      </c>
      <c r="H30" s="5"/>
      <c r="I30" s="5"/>
      <c r="J30" s="5">
        <v>1</v>
      </c>
      <c r="N30" s="5">
        <v>3</v>
      </c>
      <c r="O30" s="5">
        <v>1</v>
      </c>
      <c r="P30" s="5"/>
      <c r="T30" s="5"/>
      <c r="U30" s="5">
        <v>2</v>
      </c>
      <c r="V30" s="5"/>
    </row>
    <row r="31" spans="2:28" x14ac:dyDescent="0.15">
      <c r="T31" s="4"/>
      <c r="U31" s="4"/>
      <c r="V31" s="4"/>
      <c r="W31" s="4"/>
      <c r="X31" s="4"/>
      <c r="Y31" s="4"/>
    </row>
    <row r="33" spans="1:23" x14ac:dyDescent="0.15">
      <c r="B33" s="25" t="s">
        <v>26</v>
      </c>
      <c r="C33" s="26"/>
      <c r="D33" s="26"/>
      <c r="H33" s="25" t="str">
        <f>B33</f>
        <v>t6</v>
      </c>
      <c r="I33" s="26"/>
      <c r="J33" s="26"/>
      <c r="N33" s="25" t="str">
        <f>B33</f>
        <v>t6</v>
      </c>
      <c r="O33" s="26"/>
      <c r="P33" s="26"/>
      <c r="T33" s="25" t="str">
        <f>B33</f>
        <v>t6</v>
      </c>
      <c r="U33" s="26"/>
      <c r="V33" s="26"/>
    </row>
    <row r="34" spans="1:23" x14ac:dyDescent="0.15">
      <c r="B34" s="5">
        <v>1</v>
      </c>
      <c r="C34" s="5"/>
      <c r="D34" s="5"/>
      <c r="H34" s="5">
        <v>2</v>
      </c>
      <c r="I34" s="5"/>
      <c r="J34" s="5"/>
      <c r="N34" s="5"/>
      <c r="O34" s="5">
        <v>3</v>
      </c>
      <c r="P34" s="5"/>
      <c r="T34" s="5">
        <v>1</v>
      </c>
      <c r="U34" s="5"/>
      <c r="V34" s="5"/>
    </row>
    <row r="35" spans="1:23" x14ac:dyDescent="0.15">
      <c r="B35" s="5">
        <v>2</v>
      </c>
      <c r="C35" s="5">
        <v>1</v>
      </c>
      <c r="D35" s="5">
        <v>3</v>
      </c>
      <c r="H35" s="5">
        <v>1</v>
      </c>
      <c r="I35" s="5"/>
      <c r="J35" s="5"/>
      <c r="N35" s="5"/>
      <c r="O35" s="5">
        <v>1</v>
      </c>
      <c r="P35" s="5"/>
      <c r="T35" s="5">
        <v>3</v>
      </c>
      <c r="U35" s="5">
        <v>1</v>
      </c>
      <c r="V35" s="5">
        <v>2</v>
      </c>
    </row>
    <row r="36" spans="1:23" x14ac:dyDescent="0.15">
      <c r="B36" s="5"/>
      <c r="C36" s="5"/>
      <c r="D36" s="5"/>
      <c r="H36" s="5">
        <v>3</v>
      </c>
      <c r="I36" s="5">
        <v>1</v>
      </c>
      <c r="J36" s="5"/>
      <c r="N36" s="5">
        <v>1</v>
      </c>
      <c r="O36" s="5">
        <v>2</v>
      </c>
      <c r="P36" s="5"/>
      <c r="T36" s="5"/>
      <c r="U36" s="5"/>
      <c r="V36" s="5"/>
    </row>
    <row r="38" spans="1:23" x14ac:dyDescent="0.15">
      <c r="W38" s="4"/>
    </row>
    <row r="39" spans="1:23" x14ac:dyDescent="0.15">
      <c r="B39" s="25" t="s">
        <v>27</v>
      </c>
      <c r="C39" s="26"/>
      <c r="D39" s="26"/>
      <c r="E39" s="4"/>
      <c r="H39" s="25" t="s">
        <v>27</v>
      </c>
      <c r="I39" s="26"/>
      <c r="J39" s="26"/>
      <c r="K39" s="4"/>
      <c r="N39" s="25" t="s">
        <v>27</v>
      </c>
      <c r="O39" s="26"/>
      <c r="P39" s="26"/>
      <c r="Q39" s="4"/>
      <c r="T39" s="25" t="s">
        <v>27</v>
      </c>
      <c r="U39" s="26"/>
      <c r="V39" s="26"/>
      <c r="W39" s="4"/>
    </row>
    <row r="40" spans="1:23" x14ac:dyDescent="0.15">
      <c r="B40" s="5">
        <v>2</v>
      </c>
      <c r="C40" s="5"/>
      <c r="D40" s="5">
        <v>1</v>
      </c>
      <c r="E40" s="4"/>
      <c r="H40" s="5"/>
      <c r="I40" s="5"/>
      <c r="J40" s="5">
        <v>1</v>
      </c>
      <c r="K40" s="4"/>
      <c r="N40" s="5">
        <v>1</v>
      </c>
      <c r="O40" s="5">
        <v>1</v>
      </c>
      <c r="P40" s="5"/>
      <c r="Q40" s="4"/>
      <c r="T40" s="5">
        <v>2</v>
      </c>
      <c r="U40" s="5">
        <v>1</v>
      </c>
      <c r="V40" s="5"/>
      <c r="W40" s="4"/>
    </row>
    <row r="41" spans="1:23" x14ac:dyDescent="0.15">
      <c r="B41" s="5">
        <v>1</v>
      </c>
      <c r="C41" s="5">
        <v>1</v>
      </c>
      <c r="D41" s="5">
        <v>3</v>
      </c>
      <c r="E41" s="4"/>
      <c r="H41" s="5">
        <v>1</v>
      </c>
      <c r="I41" s="5">
        <v>1</v>
      </c>
      <c r="J41" s="5">
        <v>3</v>
      </c>
      <c r="K41" s="4"/>
      <c r="N41" s="5">
        <v>2</v>
      </c>
      <c r="O41" s="5">
        <v>3</v>
      </c>
      <c r="P41" s="5"/>
      <c r="Q41" s="4"/>
      <c r="T41" s="5">
        <v>1</v>
      </c>
      <c r="U41" s="5">
        <v>3</v>
      </c>
      <c r="V41" s="5"/>
      <c r="W41" s="4"/>
    </row>
    <row r="42" spans="1:23" x14ac:dyDescent="0.15">
      <c r="B42" s="5"/>
      <c r="C42" s="5"/>
      <c r="D42" s="5"/>
      <c r="E42" s="4"/>
      <c r="H42" s="5">
        <v>2</v>
      </c>
      <c r="I42" s="5"/>
      <c r="J42" s="5"/>
      <c r="K42" s="4"/>
      <c r="N42" s="5"/>
      <c r="O42" s="5"/>
      <c r="P42" s="5"/>
      <c r="Q42" s="4"/>
      <c r="T42" s="5"/>
      <c r="U42" s="5"/>
      <c r="V42" s="5"/>
      <c r="W42" s="4"/>
    </row>
    <row r="43" spans="1:23" x14ac:dyDescent="0.15">
      <c r="A43" s="4"/>
      <c r="B43" s="4"/>
      <c r="C43" s="4"/>
      <c r="D43" s="4"/>
      <c r="E43" s="4"/>
      <c r="F43" s="4"/>
      <c r="J43" s="4"/>
      <c r="K43" s="4"/>
      <c r="O43" s="4"/>
      <c r="P43" s="4"/>
      <c r="Q43" s="4"/>
      <c r="R43" s="4"/>
    </row>
    <row r="44" spans="1:23" x14ac:dyDescent="0.15">
      <c r="E44" s="4"/>
    </row>
    <row r="45" spans="1:23" x14ac:dyDescent="0.15">
      <c r="B45" s="25" t="s">
        <v>28</v>
      </c>
      <c r="C45" s="26"/>
      <c r="D45" s="26"/>
      <c r="E45" s="4"/>
      <c r="H45" s="25" t="s">
        <v>28</v>
      </c>
      <c r="I45" s="26"/>
      <c r="J45" s="26"/>
      <c r="K45" s="4"/>
      <c r="N45" s="25" t="s">
        <v>28</v>
      </c>
      <c r="O45" s="26"/>
      <c r="P45" s="26"/>
      <c r="Q45" s="4"/>
      <c r="T45" s="25" t="s">
        <v>28</v>
      </c>
      <c r="U45" s="26"/>
      <c r="V45" s="26"/>
      <c r="W45" s="4"/>
    </row>
    <row r="46" spans="1:23" x14ac:dyDescent="0.15">
      <c r="B46" s="5">
        <v>2</v>
      </c>
      <c r="C46" s="5"/>
      <c r="D46" s="5"/>
      <c r="E46" s="4"/>
      <c r="H46" s="5">
        <v>1</v>
      </c>
      <c r="I46" s="5"/>
      <c r="J46" s="5"/>
      <c r="K46" s="4"/>
      <c r="N46" s="5">
        <v>2</v>
      </c>
      <c r="O46" s="5">
        <v>1</v>
      </c>
      <c r="P46" s="5"/>
      <c r="Q46" s="4"/>
      <c r="T46" s="5"/>
      <c r="U46" s="5">
        <v>2</v>
      </c>
      <c r="V46" s="5"/>
      <c r="W46" s="4"/>
    </row>
    <row r="47" spans="1:23" x14ac:dyDescent="0.15">
      <c r="B47" s="5">
        <v>1</v>
      </c>
      <c r="C47" s="5">
        <v>1</v>
      </c>
      <c r="D47" s="5"/>
      <c r="E47" s="4"/>
      <c r="H47" s="5">
        <v>1</v>
      </c>
      <c r="I47" s="5">
        <v>2</v>
      </c>
      <c r="J47" s="5"/>
      <c r="K47" s="4"/>
      <c r="N47" s="5">
        <v>1</v>
      </c>
      <c r="O47" s="5"/>
      <c r="P47" s="5">
        <v>1</v>
      </c>
      <c r="Q47" s="4"/>
      <c r="T47" s="5">
        <v>1</v>
      </c>
      <c r="U47" s="5">
        <v>1</v>
      </c>
      <c r="V47" s="5"/>
      <c r="W47" s="4"/>
    </row>
    <row r="48" spans="1:23" x14ac:dyDescent="0.15">
      <c r="B48" s="5">
        <v>3</v>
      </c>
      <c r="C48" s="5"/>
      <c r="D48" s="5">
        <v>1</v>
      </c>
      <c r="E48" s="4"/>
      <c r="H48" s="5">
        <v>3</v>
      </c>
      <c r="I48" s="5"/>
      <c r="J48" s="5">
        <v>2</v>
      </c>
      <c r="K48" s="4"/>
      <c r="N48" s="5">
        <v>3</v>
      </c>
      <c r="O48" s="5"/>
      <c r="P48" s="5"/>
      <c r="Q48" s="4"/>
      <c r="T48" s="5">
        <v>3</v>
      </c>
      <c r="U48" s="5"/>
      <c r="V48" s="5"/>
      <c r="W48" s="4"/>
    </row>
    <row r="49" spans="1:23" x14ac:dyDescent="0.15">
      <c r="A49" s="4"/>
      <c r="B49" s="4"/>
      <c r="C49" s="4"/>
      <c r="D49" s="4"/>
      <c r="E49" s="4"/>
      <c r="F49" s="4"/>
      <c r="I49" s="4"/>
      <c r="K49" s="4"/>
      <c r="O49" s="4"/>
      <c r="Q49" s="4"/>
      <c r="U49" s="4"/>
      <c r="W49" s="4"/>
    </row>
    <row r="51" spans="1:23" x14ac:dyDescent="0.15">
      <c r="B51" s="25" t="s">
        <v>30</v>
      </c>
      <c r="C51" s="26"/>
      <c r="D51" s="26"/>
      <c r="H51" s="25" t="str">
        <f>B51</f>
        <v>t9</v>
      </c>
      <c r="I51" s="26"/>
      <c r="J51" s="26"/>
      <c r="N51" s="25" t="str">
        <f>H51</f>
        <v>t9</v>
      </c>
      <c r="O51" s="26"/>
      <c r="P51" s="26"/>
      <c r="T51" s="25" t="str">
        <f>N51</f>
        <v>t9</v>
      </c>
      <c r="U51" s="26"/>
      <c r="V51" s="26"/>
    </row>
    <row r="52" spans="1:23" x14ac:dyDescent="0.15">
      <c r="B52" s="5"/>
      <c r="C52" s="5">
        <v>2</v>
      </c>
      <c r="D52" s="5"/>
      <c r="H52" s="5">
        <v>1</v>
      </c>
      <c r="I52" s="5"/>
      <c r="J52" s="5"/>
      <c r="N52" s="5"/>
      <c r="O52" s="5">
        <v>1</v>
      </c>
      <c r="P52" s="5"/>
      <c r="T52" s="5">
        <v>2</v>
      </c>
      <c r="U52" s="5">
        <v>1</v>
      </c>
      <c r="V52" s="5"/>
    </row>
    <row r="53" spans="1:23" x14ac:dyDescent="0.15">
      <c r="B53" s="5">
        <v>1</v>
      </c>
      <c r="C53" s="5">
        <v>1</v>
      </c>
      <c r="D53" s="5">
        <v>1</v>
      </c>
      <c r="H53" s="5">
        <v>1</v>
      </c>
      <c r="I53" s="5">
        <v>2</v>
      </c>
      <c r="J53" s="5">
        <v>1</v>
      </c>
      <c r="N53" s="5">
        <v>1</v>
      </c>
      <c r="O53" s="5">
        <v>2</v>
      </c>
      <c r="P53" s="5">
        <v>1</v>
      </c>
      <c r="T53" s="5">
        <v>1</v>
      </c>
      <c r="U53" s="5">
        <v>1</v>
      </c>
      <c r="V53" s="5">
        <v>3</v>
      </c>
    </row>
    <row r="54" spans="1:23" x14ac:dyDescent="0.15">
      <c r="B54" s="5"/>
      <c r="C54" s="5"/>
      <c r="D54" s="5">
        <v>3</v>
      </c>
      <c r="H54" s="5">
        <v>3</v>
      </c>
      <c r="I54" s="5"/>
      <c r="J54" s="5"/>
      <c r="N54" s="5">
        <v>3</v>
      </c>
      <c r="O54" s="5"/>
      <c r="P54" s="5">
        <v>2</v>
      </c>
      <c r="T54" s="5"/>
      <c r="U54" s="5">
        <v>3</v>
      </c>
      <c r="V54" s="5"/>
    </row>
    <row r="57" spans="1:23" x14ac:dyDescent="0.15">
      <c r="B57" s="25" t="s">
        <v>31</v>
      </c>
      <c r="C57" s="26"/>
      <c r="D57" s="26"/>
      <c r="H57" s="25" t="str">
        <f>B57</f>
        <v>t10</v>
      </c>
      <c r="I57" s="26"/>
      <c r="J57" s="26"/>
      <c r="N57" s="25" t="str">
        <f>H57</f>
        <v>t10</v>
      </c>
      <c r="O57" s="26"/>
      <c r="P57" s="26"/>
      <c r="T57" s="25" t="str">
        <f>N57</f>
        <v>t10</v>
      </c>
      <c r="U57" s="25"/>
      <c r="V57" s="25"/>
    </row>
    <row r="58" spans="1:23" x14ac:dyDescent="0.15">
      <c r="B58" s="5"/>
      <c r="C58" s="5">
        <v>2</v>
      </c>
      <c r="D58" s="5"/>
      <c r="H58" s="5">
        <v>1</v>
      </c>
      <c r="I58" s="5"/>
      <c r="J58" s="5"/>
      <c r="N58" s="5"/>
      <c r="O58" s="5">
        <v>1</v>
      </c>
      <c r="P58" s="5">
        <v>2</v>
      </c>
      <c r="T58" s="5">
        <v>1</v>
      </c>
      <c r="U58" s="5">
        <v>1</v>
      </c>
      <c r="V58" s="5">
        <v>3</v>
      </c>
    </row>
    <row r="59" spans="1:23" x14ac:dyDescent="0.15">
      <c r="B59" s="5">
        <v>1</v>
      </c>
      <c r="C59" s="5">
        <v>1</v>
      </c>
      <c r="D59" s="5">
        <v>1</v>
      </c>
      <c r="H59" s="5"/>
      <c r="I59" s="5">
        <v>2</v>
      </c>
      <c r="J59" s="5">
        <v>1</v>
      </c>
      <c r="N59" s="5">
        <v>1</v>
      </c>
      <c r="O59" s="5"/>
      <c r="P59" s="5"/>
      <c r="T59" s="5">
        <v>1</v>
      </c>
      <c r="U59" s="5">
        <v>2</v>
      </c>
      <c r="V59" s="5"/>
    </row>
    <row r="60" spans="1:23" x14ac:dyDescent="0.15">
      <c r="B60" s="5"/>
      <c r="C60" s="5">
        <v>3</v>
      </c>
      <c r="D60" s="5"/>
      <c r="H60" s="5">
        <v>3</v>
      </c>
      <c r="I60" s="5"/>
      <c r="J60" s="5"/>
      <c r="N60" s="5">
        <v>3</v>
      </c>
      <c r="O60" s="5"/>
      <c r="P60" s="5"/>
      <c r="T60" s="5"/>
      <c r="U60" s="5"/>
      <c r="V60" s="5"/>
    </row>
  </sheetData>
  <phoneticPr fontId="1" type="noConversion"/>
  <conditionalFormatting sqref="F5:J6 A4:D6 A7:B7 E4:J4 H4:I5 F7:G7 A1:XFD2 X7:Y7 L4:P6 A3:P3 AD3:XFD7 L7:S7 R3:AB6 A10:D12 F10:J12 A13:H13 K10:P10 L11:P12 R10:V12 A8:V9 L13:T13 AD15:XFD19 A15:P19 R15:V19 X15:AB19 AE26:XFD26 X21:XFD24 X26:AB26 A21:V24 A26:V26 A25:R25 Z25:XFD25 A27:D30 F27:J30 L27:P30 L31 R27:V30 X27:XFD30 Z31:XFD31 A32:XFD32 A33:D36 F33:J37 L33:V33 L34:P36 Q32:Q34 L37 R34:V37 A38:V38 A39:D42 F39:J42 L39:V42 X33:XFD34 L43:R43 Z43:AN43 X46:XFD49 F45:J48 L45:P48 R45:V48 L49 R49 A50:XFD50 A51:D54 R51:V54 L51:P54 F51:J54 F56:J56 R56:V56 A56:D56 A55:W55 A62:XFD1048576 L56:P60 A57:J60 A61:W61 A14:XFD14 X8:XFD13 A20:XFD20 A44:D48 E44:AN44 X51:XFD61 R57:W60 X45:AN45 X35:AN42 AW35:XFD45">
    <cfRule type="cellIs" dxfId="161" priority="178" operator="equal">
      <formula>3</formula>
    </cfRule>
    <cfRule type="cellIs" dxfId="160" priority="179" operator="equal">
      <formula>2</formula>
    </cfRule>
    <cfRule type="cellIs" dxfId="159" priority="180" operator="equal">
      <formula>1</formula>
    </cfRule>
  </conditionalFormatting>
  <conditionalFormatting sqref="H7:I7">
    <cfRule type="cellIs" dxfId="158" priority="172" operator="equal">
      <formula>3</formula>
    </cfRule>
    <cfRule type="cellIs" dxfId="157" priority="173" operator="equal">
      <formula>2</formula>
    </cfRule>
    <cfRule type="cellIs" dxfId="156" priority="174" operator="equal">
      <formula>1</formula>
    </cfRule>
  </conditionalFormatting>
  <conditionalFormatting sqref="K4">
    <cfRule type="cellIs" dxfId="155" priority="166" operator="equal">
      <formula>3</formula>
    </cfRule>
    <cfRule type="cellIs" dxfId="154" priority="167" operator="equal">
      <formula>2</formula>
    </cfRule>
    <cfRule type="cellIs" dxfId="153" priority="168" operator="equal">
      <formula>1</formula>
    </cfRule>
  </conditionalFormatting>
  <conditionalFormatting sqref="Q4:Q6">
    <cfRule type="cellIs" dxfId="152" priority="163" operator="equal">
      <formula>3</formula>
    </cfRule>
    <cfRule type="cellIs" dxfId="151" priority="164" operator="equal">
      <formula>2</formula>
    </cfRule>
    <cfRule type="cellIs" dxfId="150" priority="165" operator="equal">
      <formula>1</formula>
    </cfRule>
  </conditionalFormatting>
  <conditionalFormatting sqref="Q3">
    <cfRule type="cellIs" dxfId="149" priority="160" operator="equal">
      <formula>3</formula>
    </cfRule>
    <cfRule type="cellIs" dxfId="148" priority="161" operator="equal">
      <formula>2</formula>
    </cfRule>
    <cfRule type="cellIs" dxfId="147" priority="162" operator="equal">
      <formula>1</formula>
    </cfRule>
  </conditionalFormatting>
  <conditionalFormatting sqref="E10:E12">
    <cfRule type="cellIs" dxfId="146" priority="157" operator="equal">
      <formula>3</formula>
    </cfRule>
    <cfRule type="cellIs" dxfId="145" priority="158" operator="equal">
      <formula>2</formula>
    </cfRule>
    <cfRule type="cellIs" dxfId="144" priority="159" operator="equal">
      <formula>1</formula>
    </cfRule>
  </conditionalFormatting>
  <conditionalFormatting sqref="Q10:Q12">
    <cfRule type="cellIs" dxfId="143" priority="154" operator="equal">
      <formula>3</formula>
    </cfRule>
    <cfRule type="cellIs" dxfId="142" priority="155" operator="equal">
      <formula>2</formula>
    </cfRule>
    <cfRule type="cellIs" dxfId="141" priority="156" operator="equal">
      <formula>1</formula>
    </cfRule>
  </conditionalFormatting>
  <conditionalFormatting sqref="W8:W12">
    <cfRule type="cellIs" dxfId="140" priority="148" operator="equal">
      <formula>3</formula>
    </cfRule>
    <cfRule type="cellIs" dxfId="139" priority="149" operator="equal">
      <formula>2</formula>
    </cfRule>
    <cfRule type="cellIs" dxfId="138" priority="150" operator="equal">
      <formula>1</formula>
    </cfRule>
  </conditionalFormatting>
  <conditionalFormatting sqref="U13:W13">
    <cfRule type="cellIs" dxfId="137" priority="145" operator="equal">
      <formula>3</formula>
    </cfRule>
    <cfRule type="cellIs" dxfId="136" priority="146" operator="equal">
      <formula>2</formula>
    </cfRule>
    <cfRule type="cellIs" dxfId="135" priority="147" operator="equal">
      <formula>1</formula>
    </cfRule>
  </conditionalFormatting>
  <conditionalFormatting sqref="Q15:Q19">
    <cfRule type="cellIs" dxfId="134" priority="142" operator="equal">
      <formula>3</formula>
    </cfRule>
    <cfRule type="cellIs" dxfId="133" priority="143" operator="equal">
      <formula>2</formula>
    </cfRule>
    <cfRule type="cellIs" dxfId="132" priority="144" operator="equal">
      <formula>1</formula>
    </cfRule>
  </conditionalFormatting>
  <conditionalFormatting sqref="W15:W19">
    <cfRule type="cellIs" dxfId="131" priority="139" operator="equal">
      <formula>3</formula>
    </cfRule>
    <cfRule type="cellIs" dxfId="130" priority="140" operator="equal">
      <formula>2</formula>
    </cfRule>
    <cfRule type="cellIs" dxfId="129" priority="141" operator="equal">
      <formula>1</formula>
    </cfRule>
  </conditionalFormatting>
  <conditionalFormatting sqref="AC15:AC19">
    <cfRule type="cellIs" dxfId="128" priority="136" operator="equal">
      <formula>3</formula>
    </cfRule>
    <cfRule type="cellIs" dxfId="127" priority="137" operator="equal">
      <formula>2</formula>
    </cfRule>
    <cfRule type="cellIs" dxfId="126" priority="138" operator="equal">
      <formula>1</formula>
    </cfRule>
  </conditionalFormatting>
  <conditionalFormatting sqref="W21:W24 W26">
    <cfRule type="cellIs" dxfId="125" priority="133" operator="equal">
      <formula>3</formula>
    </cfRule>
    <cfRule type="cellIs" dxfId="124" priority="134" operator="equal">
      <formula>2</formula>
    </cfRule>
    <cfRule type="cellIs" dxfId="123" priority="135" operator="equal">
      <formula>1</formula>
    </cfRule>
  </conditionalFormatting>
  <conditionalFormatting sqref="S25:Y25">
    <cfRule type="cellIs" dxfId="122" priority="130" operator="equal">
      <formula>3</formula>
    </cfRule>
    <cfRule type="cellIs" dxfId="121" priority="131" operator="equal">
      <formula>2</formula>
    </cfRule>
    <cfRule type="cellIs" dxfId="120" priority="132" operator="equal">
      <formula>1</formula>
    </cfRule>
  </conditionalFormatting>
  <conditionalFormatting sqref="E27:E28">
    <cfRule type="cellIs" dxfId="119" priority="127" operator="equal">
      <formula>3</formula>
    </cfRule>
    <cfRule type="cellIs" dxfId="118" priority="128" operator="equal">
      <formula>2</formula>
    </cfRule>
    <cfRule type="cellIs" dxfId="117" priority="129" operator="equal">
      <formula>1</formula>
    </cfRule>
  </conditionalFormatting>
  <conditionalFormatting sqref="E29:E30">
    <cfRule type="cellIs" dxfId="116" priority="124" operator="equal">
      <formula>3</formula>
    </cfRule>
    <cfRule type="cellIs" dxfId="115" priority="125" operator="equal">
      <formula>2</formula>
    </cfRule>
    <cfRule type="cellIs" dxfId="114" priority="126" operator="equal">
      <formula>1</formula>
    </cfRule>
  </conditionalFormatting>
  <conditionalFormatting sqref="A31:F31">
    <cfRule type="cellIs" dxfId="113" priority="121" operator="equal">
      <formula>3</formula>
    </cfRule>
    <cfRule type="cellIs" dxfId="112" priority="122" operator="equal">
      <formula>2</formula>
    </cfRule>
    <cfRule type="cellIs" dxfId="111" priority="123" operator="equal">
      <formula>1</formula>
    </cfRule>
  </conditionalFormatting>
  <conditionalFormatting sqref="K27:K31">
    <cfRule type="cellIs" dxfId="110" priority="118" operator="equal">
      <formula>3</formula>
    </cfRule>
    <cfRule type="cellIs" dxfId="109" priority="119" operator="equal">
      <formula>2</formula>
    </cfRule>
    <cfRule type="cellIs" dxfId="108" priority="120" operator="equal">
      <formula>1</formula>
    </cfRule>
  </conditionalFormatting>
  <conditionalFormatting sqref="G31:J31">
    <cfRule type="cellIs" dxfId="107" priority="115" operator="equal">
      <formula>3</formula>
    </cfRule>
    <cfRule type="cellIs" dxfId="106" priority="116" operator="equal">
      <formula>2</formula>
    </cfRule>
    <cfRule type="cellIs" dxfId="105" priority="117" operator="equal">
      <formula>1</formula>
    </cfRule>
  </conditionalFormatting>
  <conditionalFormatting sqref="Q27:Q30">
    <cfRule type="cellIs" dxfId="104" priority="112" operator="equal">
      <formula>3</formula>
    </cfRule>
    <cfRule type="cellIs" dxfId="103" priority="113" operator="equal">
      <formula>2</formula>
    </cfRule>
    <cfRule type="cellIs" dxfId="102" priority="114" operator="equal">
      <formula>1</formula>
    </cfRule>
  </conditionalFormatting>
  <conditionalFormatting sqref="M31:Q31">
    <cfRule type="cellIs" dxfId="101" priority="109" operator="equal">
      <formula>3</formula>
    </cfRule>
    <cfRule type="cellIs" dxfId="100" priority="110" operator="equal">
      <formula>2</formula>
    </cfRule>
    <cfRule type="cellIs" dxfId="99" priority="111" operator="equal">
      <formula>1</formula>
    </cfRule>
  </conditionalFormatting>
  <conditionalFormatting sqref="W27:W30">
    <cfRule type="cellIs" dxfId="98" priority="106" operator="equal">
      <formula>3</formula>
    </cfRule>
    <cfRule type="cellIs" dxfId="97" priority="107" operator="equal">
      <formula>2</formula>
    </cfRule>
    <cfRule type="cellIs" dxfId="96" priority="108" operator="equal">
      <formula>1</formula>
    </cfRule>
  </conditionalFormatting>
  <conditionalFormatting sqref="R31:Y31">
    <cfRule type="cellIs" dxfId="95" priority="103" operator="equal">
      <formula>3</formula>
    </cfRule>
    <cfRule type="cellIs" dxfId="94" priority="104" operator="equal">
      <formula>2</formula>
    </cfRule>
    <cfRule type="cellIs" dxfId="93" priority="105" operator="equal">
      <formula>1</formula>
    </cfRule>
  </conditionalFormatting>
  <conditionalFormatting sqref="E33:E36">
    <cfRule type="cellIs" dxfId="92" priority="100" operator="equal">
      <formula>3</formula>
    </cfRule>
    <cfRule type="cellIs" dxfId="91" priority="101" operator="equal">
      <formula>2</formula>
    </cfRule>
    <cfRule type="cellIs" dxfId="90" priority="102" operator="equal">
      <formula>1</formula>
    </cfRule>
  </conditionalFormatting>
  <conditionalFormatting sqref="A37:E37">
    <cfRule type="cellIs" dxfId="89" priority="97" operator="equal">
      <formula>3</formula>
    </cfRule>
    <cfRule type="cellIs" dxfId="88" priority="98" operator="equal">
      <formula>2</formula>
    </cfRule>
    <cfRule type="cellIs" dxfId="87" priority="99" operator="equal">
      <formula>1</formula>
    </cfRule>
  </conditionalFormatting>
  <conditionalFormatting sqref="K33:K37">
    <cfRule type="cellIs" dxfId="86" priority="94" operator="equal">
      <formula>3</formula>
    </cfRule>
    <cfRule type="cellIs" dxfId="85" priority="95" operator="equal">
      <formula>2</formula>
    </cfRule>
    <cfRule type="cellIs" dxfId="84" priority="96" operator="equal">
      <formula>1</formula>
    </cfRule>
  </conditionalFormatting>
  <conditionalFormatting sqref="Q34:Q36">
    <cfRule type="cellIs" dxfId="83" priority="91" operator="equal">
      <formula>3</formula>
    </cfRule>
    <cfRule type="cellIs" dxfId="82" priority="92" operator="equal">
      <formula>2</formula>
    </cfRule>
    <cfRule type="cellIs" dxfId="81" priority="93" operator="equal">
      <formula>1</formula>
    </cfRule>
  </conditionalFormatting>
  <conditionalFormatting sqref="M37:Q37">
    <cfRule type="cellIs" dxfId="80" priority="85" operator="equal">
      <formula>3</formula>
    </cfRule>
    <cfRule type="cellIs" dxfId="79" priority="86" operator="equal">
      <formula>2</formula>
    </cfRule>
    <cfRule type="cellIs" dxfId="78" priority="87" operator="equal">
      <formula>1</formula>
    </cfRule>
  </conditionalFormatting>
  <conditionalFormatting sqref="W33:W37">
    <cfRule type="cellIs" dxfId="77" priority="82" operator="equal">
      <formula>3</formula>
    </cfRule>
    <cfRule type="cellIs" dxfId="76" priority="83" operator="equal">
      <formula>2</formula>
    </cfRule>
    <cfRule type="cellIs" dxfId="75" priority="84" operator="equal">
      <formula>1</formula>
    </cfRule>
  </conditionalFormatting>
  <conditionalFormatting sqref="E39:E42">
    <cfRule type="cellIs" dxfId="74" priority="79" operator="equal">
      <formula>3</formula>
    </cfRule>
    <cfRule type="cellIs" dxfId="73" priority="80" operator="equal">
      <formula>2</formula>
    </cfRule>
    <cfRule type="cellIs" dxfId="72" priority="81" operator="equal">
      <formula>1</formula>
    </cfRule>
  </conditionalFormatting>
  <conditionalFormatting sqref="A43:F43">
    <cfRule type="cellIs" dxfId="71" priority="76" operator="equal">
      <formula>3</formula>
    </cfRule>
    <cfRule type="cellIs" dxfId="70" priority="77" operator="equal">
      <formula>2</formula>
    </cfRule>
    <cfRule type="cellIs" dxfId="69" priority="78" operator="equal">
      <formula>1</formula>
    </cfRule>
  </conditionalFormatting>
  <conditionalFormatting sqref="K39:K42">
    <cfRule type="cellIs" dxfId="68" priority="73" operator="equal">
      <formula>3</formula>
    </cfRule>
    <cfRule type="cellIs" dxfId="67" priority="74" operator="equal">
      <formula>2</formula>
    </cfRule>
    <cfRule type="cellIs" dxfId="66" priority="75" operator="equal">
      <formula>1</formula>
    </cfRule>
  </conditionalFormatting>
  <conditionalFormatting sqref="G43:K43">
    <cfRule type="cellIs" dxfId="65" priority="70" operator="equal">
      <formula>3</formula>
    </cfRule>
    <cfRule type="cellIs" dxfId="64" priority="71" operator="equal">
      <formula>2</formula>
    </cfRule>
    <cfRule type="cellIs" dxfId="63" priority="72" operator="equal">
      <formula>1</formula>
    </cfRule>
  </conditionalFormatting>
  <conditionalFormatting sqref="W38:W42">
    <cfRule type="cellIs" dxfId="62" priority="67" operator="equal">
      <formula>3</formula>
    </cfRule>
    <cfRule type="cellIs" dxfId="61" priority="68" operator="equal">
      <formula>2</formula>
    </cfRule>
    <cfRule type="cellIs" dxfId="60" priority="69" operator="equal">
      <formula>1</formula>
    </cfRule>
  </conditionalFormatting>
  <conditionalFormatting sqref="S43:Y43">
    <cfRule type="cellIs" dxfId="59" priority="64" operator="equal">
      <formula>3</formula>
    </cfRule>
    <cfRule type="cellIs" dxfId="58" priority="65" operator="equal">
      <formula>2</formula>
    </cfRule>
    <cfRule type="cellIs" dxfId="57" priority="66" operator="equal">
      <formula>1</formula>
    </cfRule>
  </conditionalFormatting>
  <conditionalFormatting sqref="E45:E48">
    <cfRule type="cellIs" dxfId="56" priority="61" operator="equal">
      <formula>3</formula>
    </cfRule>
    <cfRule type="cellIs" dxfId="55" priority="62" operator="equal">
      <formula>2</formula>
    </cfRule>
    <cfRule type="cellIs" dxfId="54" priority="63" operator="equal">
      <formula>1</formula>
    </cfRule>
  </conditionalFormatting>
  <conditionalFormatting sqref="K45:K49">
    <cfRule type="cellIs" dxfId="53" priority="58" operator="equal">
      <formula>3</formula>
    </cfRule>
    <cfRule type="cellIs" dxfId="52" priority="59" operator="equal">
      <formula>2</formula>
    </cfRule>
    <cfRule type="cellIs" dxfId="51" priority="60" operator="equal">
      <formula>1</formula>
    </cfRule>
  </conditionalFormatting>
  <conditionalFormatting sqref="Q45:Q49">
    <cfRule type="cellIs" dxfId="50" priority="55" operator="equal">
      <formula>3</formula>
    </cfRule>
    <cfRule type="cellIs" dxfId="49" priority="56" operator="equal">
      <formula>2</formula>
    </cfRule>
    <cfRule type="cellIs" dxfId="48" priority="57" operator="equal">
      <formula>1</formula>
    </cfRule>
  </conditionalFormatting>
  <conditionalFormatting sqref="W45:W49">
    <cfRule type="cellIs" dxfId="47" priority="52" operator="equal">
      <formula>3</formula>
    </cfRule>
    <cfRule type="cellIs" dxfId="46" priority="53" operator="equal">
      <formula>2</formula>
    </cfRule>
    <cfRule type="cellIs" dxfId="45" priority="54" operator="equal">
      <formula>1</formula>
    </cfRule>
  </conditionalFormatting>
  <conditionalFormatting sqref="A49:F49">
    <cfRule type="cellIs" dxfId="44" priority="49" operator="equal">
      <formula>3</formula>
    </cfRule>
    <cfRule type="cellIs" dxfId="43" priority="50" operator="equal">
      <formula>2</formula>
    </cfRule>
    <cfRule type="cellIs" dxfId="42" priority="51" operator="equal">
      <formula>1</formula>
    </cfRule>
  </conditionalFormatting>
  <conditionalFormatting sqref="J49 G49:H49">
    <cfRule type="cellIs" dxfId="41" priority="46" operator="equal">
      <formula>3</formula>
    </cfRule>
    <cfRule type="cellIs" dxfId="40" priority="47" operator="equal">
      <formula>2</formula>
    </cfRule>
    <cfRule type="cellIs" dxfId="39" priority="48" operator="equal">
      <formula>1</formula>
    </cfRule>
  </conditionalFormatting>
  <conditionalFormatting sqref="I49">
    <cfRule type="cellIs" dxfId="38" priority="43" operator="equal">
      <formula>3</formula>
    </cfRule>
    <cfRule type="cellIs" dxfId="37" priority="44" operator="equal">
      <formula>2</formula>
    </cfRule>
    <cfRule type="cellIs" dxfId="36" priority="45" operator="equal">
      <formula>1</formula>
    </cfRule>
  </conditionalFormatting>
  <conditionalFormatting sqref="P49 M49:N49">
    <cfRule type="cellIs" dxfId="35" priority="40" operator="equal">
      <formula>3</formula>
    </cfRule>
    <cfRule type="cellIs" dxfId="34" priority="41" operator="equal">
      <formula>2</formula>
    </cfRule>
    <cfRule type="cellIs" dxfId="33" priority="42" operator="equal">
      <formula>1</formula>
    </cfRule>
  </conditionalFormatting>
  <conditionalFormatting sqref="O49">
    <cfRule type="cellIs" dxfId="32" priority="37" operator="equal">
      <formula>3</formula>
    </cfRule>
    <cfRule type="cellIs" dxfId="31" priority="38" operator="equal">
      <formula>2</formula>
    </cfRule>
    <cfRule type="cellIs" dxfId="30" priority="39" operator="equal">
      <formula>1</formula>
    </cfRule>
  </conditionalFormatting>
  <conditionalFormatting sqref="V49 S49:T49">
    <cfRule type="cellIs" dxfId="29" priority="34" operator="equal">
      <formula>3</formula>
    </cfRule>
    <cfRule type="cellIs" dxfId="28" priority="35" operator="equal">
      <formula>2</formula>
    </cfRule>
    <cfRule type="cellIs" dxfId="27" priority="36" operator="equal">
      <formula>1</formula>
    </cfRule>
  </conditionalFormatting>
  <conditionalFormatting sqref="U49">
    <cfRule type="cellIs" dxfId="26" priority="31" operator="equal">
      <formula>3</formula>
    </cfRule>
    <cfRule type="cellIs" dxfId="25" priority="32" operator="equal">
      <formula>2</formula>
    </cfRule>
    <cfRule type="cellIs" dxfId="24" priority="33" operator="equal">
      <formula>1</formula>
    </cfRule>
  </conditionalFormatting>
  <conditionalFormatting sqref="W51:W54 W56">
    <cfRule type="cellIs" dxfId="23" priority="28" operator="equal">
      <formula>3</formula>
    </cfRule>
    <cfRule type="cellIs" dxfId="22" priority="29" operator="equal">
      <formula>2</formula>
    </cfRule>
    <cfRule type="cellIs" dxfId="21" priority="30" operator="equal">
      <formula>1</formula>
    </cfRule>
  </conditionalFormatting>
  <conditionalFormatting sqref="Q51:Q54 Q56">
    <cfRule type="cellIs" dxfId="20" priority="25" operator="equal">
      <formula>3</formula>
    </cfRule>
    <cfRule type="cellIs" dxfId="19" priority="26" operator="equal">
      <formula>2</formula>
    </cfRule>
    <cfRule type="cellIs" dxfId="18" priority="27" operator="equal">
      <formula>1</formula>
    </cfRule>
  </conditionalFormatting>
  <conditionalFormatting sqref="K51:K54 K56">
    <cfRule type="cellIs" dxfId="17" priority="22" operator="equal">
      <formula>3</formula>
    </cfRule>
    <cfRule type="cellIs" dxfId="16" priority="23" operator="equal">
      <formula>2</formula>
    </cfRule>
    <cfRule type="cellIs" dxfId="15" priority="24" operator="equal">
      <formula>1</formula>
    </cfRule>
  </conditionalFormatting>
  <conditionalFormatting sqref="E51:E54 E56">
    <cfRule type="cellIs" dxfId="14" priority="19" operator="equal">
      <formula>3</formula>
    </cfRule>
    <cfRule type="cellIs" dxfId="13" priority="20" operator="equal">
      <formula>2</formula>
    </cfRule>
    <cfRule type="cellIs" dxfId="12" priority="21" operator="equal">
      <formula>1</formula>
    </cfRule>
  </conditionalFormatting>
  <conditionalFormatting sqref="Q57:Q60">
    <cfRule type="cellIs" dxfId="11" priority="10" operator="equal">
      <formula>3</formula>
    </cfRule>
    <cfRule type="cellIs" dxfId="10" priority="11" operator="equal">
      <formula>2</formula>
    </cfRule>
    <cfRule type="cellIs" dxfId="9" priority="12" operator="equal">
      <formula>1</formula>
    </cfRule>
  </conditionalFormatting>
  <conditionalFormatting sqref="K57:K60">
    <cfRule type="cellIs" dxfId="8" priority="7" operator="equal">
      <formula>3</formula>
    </cfRule>
    <cfRule type="cellIs" dxfId="7" priority="8" operator="equal">
      <formula>2</formula>
    </cfRule>
    <cfRule type="cellIs" dxfId="6" priority="9" operator="equal">
      <formula>1</formula>
    </cfRule>
  </conditionalFormatting>
  <conditionalFormatting sqref="AO35:AV45">
    <cfRule type="cellIs" dxfId="5" priority="1" operator="equal">
      <formula>3</formula>
    </cfRule>
    <cfRule type="cellIs" dxfId="4" priority="2" operator="equal">
      <formula>2</formula>
    </cfRule>
    <cfRule type="cellIs" dxfId="3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AX26"/>
  <sheetViews>
    <sheetView showGridLines="0" zoomScale="85" zoomScaleNormal="85" workbookViewId="0">
      <selection activeCell="BA15" sqref="BA15"/>
    </sheetView>
  </sheetViews>
  <sheetFormatPr defaultColWidth="3.75" defaultRowHeight="22.5" customHeight="1" x14ac:dyDescent="0.15"/>
  <cols>
    <col min="49" max="49" width="7.75" customWidth="1"/>
    <col min="50" max="50" width="9.5" bestFit="1" customWidth="1"/>
  </cols>
  <sheetData>
    <row r="1" spans="1:50" ht="22.5" customHeight="1" x14ac:dyDescent="0.15">
      <c r="C1" s="39">
        <v>1</v>
      </c>
      <c r="D1" s="39">
        <v>2</v>
      </c>
      <c r="E1" s="39">
        <v>3</v>
      </c>
      <c r="F1" s="39">
        <v>4</v>
      </c>
      <c r="G1" s="39">
        <v>5</v>
      </c>
      <c r="H1" s="39">
        <v>6</v>
      </c>
      <c r="I1" s="39">
        <v>7</v>
      </c>
      <c r="J1" s="39">
        <v>8</v>
      </c>
      <c r="K1" s="39">
        <v>9</v>
      </c>
      <c r="L1" s="39">
        <v>10</v>
      </c>
      <c r="M1" s="39">
        <v>11</v>
      </c>
    </row>
    <row r="2" spans="1:50" ht="22.5" customHeight="1" x14ac:dyDescent="0.15">
      <c r="D2" t="s">
        <v>48</v>
      </c>
      <c r="E2" t="s">
        <v>70</v>
      </c>
      <c r="AV2" s="55" t="s">
        <v>69</v>
      </c>
      <c r="AW2" s="56"/>
      <c r="AX2" s="57"/>
    </row>
    <row r="3" spans="1:50" ht="22.5" customHeight="1" x14ac:dyDescent="0.15">
      <c r="C3" s="31" t="s">
        <v>68</v>
      </c>
      <c r="D3" s="31">
        <v>1</v>
      </c>
      <c r="E3" s="31">
        <v>23</v>
      </c>
      <c r="F3" s="31">
        <v>11</v>
      </c>
      <c r="Q3" s="31" t="s">
        <v>68</v>
      </c>
      <c r="R3" s="31">
        <v>2</v>
      </c>
      <c r="S3" s="31">
        <v>23</v>
      </c>
      <c r="T3" s="31">
        <v>11</v>
      </c>
      <c r="AE3" s="31" t="s">
        <v>68</v>
      </c>
      <c r="AF3" s="31">
        <v>3</v>
      </c>
      <c r="AG3" s="31">
        <v>23</v>
      </c>
      <c r="AH3" s="31">
        <v>11</v>
      </c>
      <c r="AV3" s="24"/>
      <c r="AW3" s="40" t="s">
        <v>49</v>
      </c>
      <c r="AX3" s="41">
        <f>测试单元格颜色(AV3)</f>
        <v>0</v>
      </c>
    </row>
    <row r="4" spans="1:50" ht="22.5" customHeight="1" x14ac:dyDescent="0.15">
      <c r="A4" s="39">
        <v>1</v>
      </c>
      <c r="C4" s="32"/>
      <c r="D4" s="32"/>
      <c r="E4" s="32"/>
      <c r="F4" s="32"/>
      <c r="G4" s="32"/>
      <c r="H4" s="32"/>
      <c r="I4" s="32"/>
      <c r="J4" s="33"/>
      <c r="K4" s="33"/>
      <c r="L4" s="33"/>
      <c r="M4" s="33"/>
      <c r="N4" s="34"/>
      <c r="O4" s="34"/>
      <c r="P4" s="34"/>
      <c r="Q4" s="32"/>
      <c r="R4" s="32"/>
      <c r="S4" s="32"/>
      <c r="T4" s="32"/>
      <c r="U4" s="32"/>
      <c r="V4" s="32"/>
      <c r="W4" s="32"/>
      <c r="X4" s="33"/>
      <c r="Y4" s="33"/>
      <c r="Z4" s="33"/>
      <c r="AA4" s="33"/>
      <c r="AB4" s="34"/>
      <c r="AC4" s="34"/>
      <c r="AD4" s="34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V4" s="29"/>
      <c r="AW4" s="40" t="s">
        <v>53</v>
      </c>
      <c r="AX4" s="41">
        <f>测试单元格颜色(AV4)</f>
        <v>13995347</v>
      </c>
    </row>
    <row r="5" spans="1:50" ht="22.5" customHeight="1" x14ac:dyDescent="0.15">
      <c r="A5" s="39">
        <v>2</v>
      </c>
      <c r="C5" s="32"/>
      <c r="D5" s="35"/>
      <c r="F5" s="32"/>
      <c r="G5" s="32"/>
      <c r="I5" s="37">
        <v>30</v>
      </c>
      <c r="J5" s="33"/>
      <c r="K5" s="33"/>
      <c r="L5" s="33"/>
      <c r="M5" s="33"/>
      <c r="N5" s="34"/>
      <c r="O5" s="34"/>
      <c r="P5" s="34"/>
      <c r="Q5" s="32"/>
      <c r="R5" s="32"/>
      <c r="S5" s="35"/>
      <c r="T5" s="32"/>
      <c r="U5" s="32"/>
      <c r="V5" s="32"/>
      <c r="W5" s="32"/>
      <c r="X5" s="33"/>
      <c r="Y5" s="33"/>
      <c r="Z5" s="33"/>
      <c r="AA5" s="33"/>
      <c r="AB5" s="34"/>
      <c r="AC5" s="34"/>
      <c r="AD5" s="34"/>
      <c r="AE5" s="32"/>
      <c r="AF5" s="32"/>
      <c r="AG5" s="35"/>
      <c r="AH5" s="32"/>
      <c r="AI5" s="36"/>
      <c r="AJ5" s="36"/>
      <c r="AK5" s="36"/>
      <c r="AL5" s="32"/>
      <c r="AM5" s="32"/>
      <c r="AN5" s="32"/>
      <c r="AO5" s="32"/>
      <c r="AV5" s="30"/>
      <c r="AW5" s="40" t="s">
        <v>55</v>
      </c>
      <c r="AX5" s="41">
        <f>测试单元格颜色(AV5)</f>
        <v>192</v>
      </c>
    </row>
    <row r="6" spans="1:50" ht="22.5" customHeight="1" x14ac:dyDescent="0.15">
      <c r="A6" s="39">
        <v>3</v>
      </c>
      <c r="C6" s="32"/>
      <c r="D6" s="32"/>
      <c r="E6" s="32"/>
      <c r="F6" s="32"/>
      <c r="G6" s="32"/>
      <c r="H6" s="32"/>
      <c r="I6" s="32"/>
      <c r="J6" s="33"/>
      <c r="K6" s="33"/>
      <c r="L6" s="33"/>
      <c r="M6" s="33"/>
      <c r="N6" s="34"/>
      <c r="O6" s="34"/>
      <c r="P6" s="34"/>
      <c r="Q6" s="32"/>
      <c r="R6" s="32"/>
      <c r="S6" s="32"/>
      <c r="T6" s="32"/>
      <c r="U6" s="32"/>
      <c r="V6" s="32"/>
      <c r="W6" s="32"/>
      <c r="X6" s="33"/>
      <c r="Y6" s="33"/>
      <c r="Z6" s="33"/>
      <c r="AA6" s="33"/>
      <c r="AB6" s="34"/>
      <c r="AC6" s="34"/>
      <c r="AD6" s="34"/>
      <c r="AE6" s="32"/>
      <c r="AF6" s="32"/>
      <c r="AG6" s="37">
        <v>30</v>
      </c>
      <c r="AH6" s="32"/>
      <c r="AI6" s="36"/>
      <c r="AJ6" s="36"/>
      <c r="AK6" s="36"/>
      <c r="AL6" s="32"/>
      <c r="AM6" s="32"/>
      <c r="AN6" s="32"/>
      <c r="AO6" s="32"/>
      <c r="AV6" s="27"/>
      <c r="AW6" s="40" t="s">
        <v>57</v>
      </c>
      <c r="AX6" s="41">
        <f>测试单元格颜色(AV6)</f>
        <v>65535</v>
      </c>
    </row>
    <row r="7" spans="1:50" ht="22.5" customHeight="1" x14ac:dyDescent="0.15">
      <c r="A7" s="39">
        <v>4</v>
      </c>
      <c r="C7" s="32"/>
      <c r="D7" s="32"/>
      <c r="F7" s="32"/>
      <c r="G7" s="32"/>
      <c r="H7" s="35"/>
      <c r="I7" s="32"/>
      <c r="J7" s="33"/>
      <c r="K7" s="33"/>
      <c r="L7" s="33"/>
      <c r="M7" s="33"/>
      <c r="N7" s="34"/>
      <c r="O7" s="34"/>
      <c r="P7" s="34"/>
      <c r="Q7" s="32"/>
      <c r="R7" s="32"/>
      <c r="S7" s="37">
        <v>30</v>
      </c>
      <c r="T7" s="32"/>
      <c r="U7" s="32"/>
      <c r="V7" s="32"/>
      <c r="W7" s="32"/>
      <c r="X7" s="33"/>
      <c r="Y7" s="33"/>
      <c r="Z7" s="33"/>
      <c r="AA7" s="33"/>
      <c r="AB7" s="34"/>
      <c r="AC7" s="34"/>
      <c r="AD7" s="34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V7" s="28"/>
      <c r="AW7" s="42" t="s">
        <v>71</v>
      </c>
      <c r="AX7" s="43">
        <f>测试单元格颜色(AV7)</f>
        <v>5880731</v>
      </c>
    </row>
    <row r="8" spans="1:50" ht="22.5" customHeight="1" x14ac:dyDescent="0.15">
      <c r="A8" s="39">
        <v>5</v>
      </c>
      <c r="C8" s="32"/>
      <c r="D8" s="32"/>
      <c r="E8" s="32"/>
      <c r="F8" s="32"/>
      <c r="G8" s="32"/>
      <c r="H8" s="32"/>
      <c r="I8" s="32"/>
      <c r="J8" s="33"/>
      <c r="K8" s="33"/>
      <c r="L8" s="33"/>
      <c r="M8" s="33"/>
      <c r="N8" s="34"/>
      <c r="O8" s="34"/>
      <c r="P8" s="34"/>
      <c r="Q8" s="32"/>
      <c r="R8" s="36"/>
      <c r="S8" s="36"/>
      <c r="T8" s="36"/>
      <c r="U8" s="32"/>
      <c r="V8" s="35"/>
      <c r="W8" s="32"/>
      <c r="X8" s="33"/>
      <c r="Y8" s="33"/>
      <c r="Z8" s="33"/>
      <c r="AA8" s="33"/>
      <c r="AB8" s="34"/>
      <c r="AC8" s="34"/>
      <c r="AD8" s="34"/>
      <c r="AE8" s="36"/>
      <c r="AF8" s="36"/>
      <c r="AG8" s="36"/>
      <c r="AH8" s="38"/>
      <c r="AI8" s="38"/>
      <c r="AJ8" s="38"/>
      <c r="AK8" s="38"/>
      <c r="AL8" s="38"/>
      <c r="AM8" s="32"/>
      <c r="AN8" s="32"/>
      <c r="AO8" s="32"/>
    </row>
    <row r="9" spans="1:50" ht="22.5" customHeight="1" x14ac:dyDescent="0.15">
      <c r="A9" s="39">
        <v>6</v>
      </c>
      <c r="C9" s="32"/>
      <c r="D9" s="32"/>
      <c r="E9" s="33"/>
      <c r="F9" s="33"/>
      <c r="G9" s="33"/>
      <c r="H9" s="33"/>
      <c r="I9" s="32"/>
      <c r="J9" s="32"/>
      <c r="K9" s="32"/>
      <c r="L9" s="32"/>
      <c r="M9" s="32"/>
      <c r="N9" s="34"/>
      <c r="O9" s="34"/>
      <c r="P9" s="34"/>
      <c r="Q9" s="32"/>
      <c r="R9" s="36"/>
      <c r="S9" s="36"/>
      <c r="T9" s="36"/>
      <c r="U9" s="32"/>
      <c r="V9" s="32"/>
      <c r="W9" s="32"/>
      <c r="X9" s="32"/>
      <c r="Y9" s="32"/>
      <c r="Z9" s="32"/>
      <c r="AA9" s="32"/>
      <c r="AB9" s="34"/>
      <c r="AC9" s="34"/>
      <c r="AD9" s="34"/>
      <c r="AE9" s="36"/>
      <c r="AF9" s="36"/>
      <c r="AG9" s="36"/>
      <c r="AH9" s="38"/>
      <c r="AI9" s="38"/>
      <c r="AJ9" s="38"/>
      <c r="AK9" s="38"/>
      <c r="AL9" s="38"/>
      <c r="AM9" s="32"/>
      <c r="AN9" s="35"/>
      <c r="AO9" s="32"/>
    </row>
    <row r="10" spans="1:50" ht="22.5" customHeight="1" x14ac:dyDescent="0.15">
      <c r="A10" s="39">
        <v>7</v>
      </c>
      <c r="C10" s="32"/>
      <c r="D10" s="32"/>
      <c r="E10" s="33"/>
      <c r="F10" s="33"/>
      <c r="G10" s="33"/>
      <c r="H10" s="33"/>
      <c r="I10" s="32"/>
      <c r="J10" s="32"/>
      <c r="K10" s="32"/>
      <c r="L10" s="32"/>
      <c r="M10" s="32"/>
      <c r="N10" s="34"/>
      <c r="O10" s="34"/>
      <c r="P10" s="34"/>
      <c r="Q10" s="32"/>
      <c r="R10" s="36"/>
      <c r="S10" s="36"/>
      <c r="T10" s="36"/>
      <c r="U10" s="32"/>
      <c r="V10" s="32"/>
      <c r="W10" s="32"/>
      <c r="X10" s="32"/>
      <c r="Y10" s="37">
        <v>20</v>
      </c>
      <c r="Z10" s="32"/>
      <c r="AA10" s="32"/>
      <c r="AB10" s="34"/>
      <c r="AC10" s="34"/>
      <c r="AD10" s="34"/>
      <c r="AE10" s="36"/>
      <c r="AF10" s="36"/>
      <c r="AG10" s="36"/>
      <c r="AH10" s="38"/>
      <c r="AI10" s="35"/>
      <c r="AJ10" s="38"/>
      <c r="AK10" s="38"/>
      <c r="AL10" s="38"/>
      <c r="AM10" s="32"/>
      <c r="AN10" s="35"/>
      <c r="AO10" s="32"/>
    </row>
    <row r="11" spans="1:50" ht="22.5" customHeight="1" x14ac:dyDescent="0.15">
      <c r="A11" s="39">
        <v>8</v>
      </c>
      <c r="C11" s="32"/>
      <c r="D11" s="32"/>
      <c r="E11" s="33"/>
      <c r="F11" s="33"/>
      <c r="G11" s="33"/>
      <c r="H11" s="33"/>
      <c r="I11" s="32"/>
      <c r="J11" s="37">
        <v>20</v>
      </c>
      <c r="K11" s="38"/>
      <c r="L11" s="38"/>
      <c r="M11" s="38"/>
      <c r="N11" s="34"/>
      <c r="O11" s="34"/>
      <c r="P11" s="34"/>
      <c r="Q11" s="32"/>
      <c r="R11" s="36"/>
      <c r="S11" s="36"/>
      <c r="T11" s="36"/>
      <c r="U11" s="32"/>
      <c r="V11" s="32"/>
      <c r="W11" s="32"/>
      <c r="X11" s="32"/>
      <c r="Y11" s="35"/>
      <c r="Z11" s="32"/>
      <c r="AA11" s="32"/>
      <c r="AB11" s="34"/>
      <c r="AC11" s="34"/>
      <c r="AD11" s="34"/>
      <c r="AE11" s="32"/>
      <c r="AF11" s="32"/>
      <c r="AG11" s="32"/>
      <c r="AH11" s="38"/>
      <c r="AI11" s="38"/>
      <c r="AJ11" s="38"/>
      <c r="AK11" s="38"/>
      <c r="AL11" s="38"/>
      <c r="AM11" s="32"/>
      <c r="AN11" s="32"/>
      <c r="AO11" s="32"/>
    </row>
    <row r="12" spans="1:50" ht="22.5" customHeight="1" x14ac:dyDescent="0.15">
      <c r="A12" s="39">
        <v>9</v>
      </c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4"/>
      <c r="O12" s="34"/>
      <c r="P12" s="34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4"/>
      <c r="AC12" s="34"/>
      <c r="AD12" s="34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</row>
    <row r="13" spans="1:50" ht="22.5" customHeight="1" x14ac:dyDescent="0.15">
      <c r="A13" s="39">
        <v>10</v>
      </c>
      <c r="C13" s="32"/>
      <c r="D13" s="35"/>
      <c r="E13" s="32"/>
      <c r="F13" s="32"/>
      <c r="G13" s="32"/>
      <c r="H13" s="32"/>
      <c r="I13" s="32"/>
      <c r="J13" s="38"/>
      <c r="K13" s="38"/>
      <c r="L13" s="38"/>
      <c r="M13" s="38"/>
      <c r="N13" s="34"/>
      <c r="O13" s="34"/>
      <c r="P13" s="34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4"/>
      <c r="AC13" s="34"/>
      <c r="AD13" s="34"/>
      <c r="AE13" s="32"/>
      <c r="AF13" s="32"/>
      <c r="AG13" s="32"/>
      <c r="AH13" s="32"/>
      <c r="AI13" s="32"/>
      <c r="AJ13" s="32"/>
      <c r="AK13" s="32"/>
      <c r="AL13" s="32"/>
      <c r="AM13" s="37">
        <v>7</v>
      </c>
      <c r="AN13" s="32"/>
      <c r="AO13" s="32"/>
    </row>
    <row r="14" spans="1:50" ht="22.5" customHeight="1" x14ac:dyDescent="0.15">
      <c r="A14" s="39">
        <v>11</v>
      </c>
      <c r="C14" s="32"/>
      <c r="D14" s="35"/>
      <c r="E14" s="32"/>
      <c r="F14" s="32"/>
      <c r="G14" s="32"/>
      <c r="H14" s="32"/>
      <c r="I14" s="32"/>
      <c r="J14" s="38"/>
      <c r="K14" s="38"/>
      <c r="L14" s="38"/>
      <c r="M14" s="38"/>
      <c r="N14" s="34"/>
      <c r="O14" s="34"/>
      <c r="P14" s="34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4"/>
      <c r="AC14" s="34"/>
      <c r="AD14" s="34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</row>
    <row r="15" spans="1:50" ht="22.5" customHeight="1" x14ac:dyDescent="0.15">
      <c r="A15" s="39">
        <v>12</v>
      </c>
      <c r="C15" s="32"/>
      <c r="D15" s="32"/>
      <c r="E15" s="32"/>
      <c r="F15" s="37">
        <v>10</v>
      </c>
      <c r="G15" s="32"/>
      <c r="H15" s="32"/>
      <c r="I15" s="32"/>
      <c r="J15" s="32"/>
      <c r="K15" s="32"/>
      <c r="L15" s="32"/>
      <c r="M15" s="32"/>
      <c r="N15" s="34"/>
      <c r="O15" s="34"/>
      <c r="P15" s="34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4"/>
      <c r="AC15" s="34"/>
      <c r="AD15" s="34"/>
      <c r="AE15" s="32"/>
      <c r="AF15" s="32"/>
      <c r="AG15" s="37">
        <v>7</v>
      </c>
      <c r="AH15" s="32"/>
      <c r="AI15" s="32"/>
      <c r="AJ15" s="32"/>
      <c r="AK15" s="32"/>
      <c r="AL15" s="32"/>
      <c r="AM15" s="32"/>
      <c r="AN15" s="32"/>
      <c r="AO15" s="32"/>
    </row>
    <row r="16" spans="1:50" ht="22.5" customHeight="1" x14ac:dyDescent="0.15">
      <c r="A16" s="39">
        <v>13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4"/>
      <c r="O16" s="34"/>
      <c r="P16" s="34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4"/>
      <c r="AC16" s="34"/>
      <c r="AD16" s="34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</row>
    <row r="17" spans="1:41" ht="22.5" customHeight="1" x14ac:dyDescent="0.15">
      <c r="A17" s="39">
        <v>14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4"/>
      <c r="O17" s="34"/>
      <c r="P17" s="34"/>
      <c r="Q17" s="32"/>
      <c r="R17" s="32"/>
      <c r="S17" s="32"/>
      <c r="T17" s="32"/>
      <c r="U17" s="32"/>
      <c r="V17" s="37">
        <v>10</v>
      </c>
      <c r="W17" s="32"/>
      <c r="X17" s="32"/>
      <c r="Y17" s="32"/>
      <c r="Z17" s="32"/>
      <c r="AA17" s="32"/>
      <c r="AB17" s="34"/>
      <c r="AC17" s="34"/>
      <c r="AD17" s="34"/>
      <c r="AE17" s="36"/>
      <c r="AF17" s="36"/>
      <c r="AG17" s="36"/>
      <c r="AH17" s="32"/>
      <c r="AI17" s="32"/>
      <c r="AJ17" s="32"/>
      <c r="AK17" s="32"/>
      <c r="AL17" s="32"/>
      <c r="AM17" s="32"/>
      <c r="AN17" s="32"/>
      <c r="AO17" s="32"/>
    </row>
    <row r="18" spans="1:41" ht="22.5" customHeight="1" x14ac:dyDescent="0.15">
      <c r="A18" s="39">
        <v>15</v>
      </c>
      <c r="C18" s="32"/>
      <c r="D18" s="32"/>
      <c r="E18" s="32"/>
      <c r="F18" s="32"/>
      <c r="G18" s="32"/>
      <c r="H18" s="32"/>
      <c r="I18" s="32"/>
      <c r="J18" s="35"/>
      <c r="K18" s="32"/>
      <c r="L18" s="32"/>
      <c r="M18" s="32"/>
      <c r="N18" s="34"/>
      <c r="O18" s="34"/>
      <c r="P18" s="34"/>
      <c r="Q18" s="32"/>
      <c r="R18" s="32"/>
      <c r="S18" s="32"/>
      <c r="T18" s="32"/>
      <c r="U18" s="32"/>
      <c r="V18" s="32"/>
      <c r="W18" s="32"/>
      <c r="X18" s="36"/>
      <c r="Y18" s="36"/>
      <c r="Z18" s="36"/>
      <c r="AA18" s="32"/>
      <c r="AB18" s="34"/>
      <c r="AC18" s="34"/>
      <c r="AD18" s="34"/>
      <c r="AE18" s="36"/>
      <c r="AF18" s="36"/>
      <c r="AG18" s="36"/>
      <c r="AH18" s="32"/>
      <c r="AI18" s="32"/>
      <c r="AJ18" s="32"/>
      <c r="AK18" s="32"/>
      <c r="AL18" s="32"/>
      <c r="AM18" s="32"/>
      <c r="AN18" s="32"/>
      <c r="AO18" s="32"/>
    </row>
    <row r="19" spans="1:41" ht="22.5" customHeight="1" x14ac:dyDescent="0.15">
      <c r="A19" s="39">
        <v>16</v>
      </c>
      <c r="C19" s="32"/>
      <c r="D19" s="32"/>
      <c r="E19" s="32"/>
      <c r="F19" s="32"/>
      <c r="G19" s="32"/>
      <c r="H19" s="32"/>
      <c r="I19" s="32"/>
      <c r="J19" s="32"/>
      <c r="K19" s="35"/>
      <c r="L19" s="32"/>
      <c r="M19" s="32"/>
      <c r="N19" s="34"/>
      <c r="O19" s="34"/>
      <c r="P19" s="34"/>
      <c r="Q19" s="32"/>
      <c r="R19" s="32"/>
      <c r="S19" s="32"/>
      <c r="T19" s="32"/>
      <c r="U19" s="32"/>
      <c r="V19" s="32"/>
      <c r="W19" s="32"/>
      <c r="X19" s="36"/>
      <c r="Y19" s="36"/>
      <c r="Z19" s="36"/>
      <c r="AA19" s="32"/>
      <c r="AB19" s="34"/>
      <c r="AC19" s="34"/>
      <c r="AD19" s="34"/>
      <c r="AE19" s="36"/>
      <c r="AF19" s="36"/>
      <c r="AG19" s="36"/>
      <c r="AH19" s="32"/>
      <c r="AI19" s="32"/>
      <c r="AJ19" s="32"/>
      <c r="AK19" s="32"/>
      <c r="AL19" s="32"/>
      <c r="AM19" s="32"/>
      <c r="AN19" s="32"/>
      <c r="AO19" s="32"/>
    </row>
    <row r="20" spans="1:41" ht="22.5" customHeight="1" x14ac:dyDescent="0.15">
      <c r="A20" s="39">
        <v>17</v>
      </c>
      <c r="C20" s="32"/>
      <c r="E20" s="32"/>
      <c r="F20" s="32"/>
      <c r="H20" s="32"/>
      <c r="I20" s="37">
        <v>20</v>
      </c>
      <c r="K20" s="32"/>
      <c r="L20" s="32"/>
      <c r="M20" s="32"/>
      <c r="N20" s="34"/>
      <c r="O20" s="34"/>
      <c r="P20" s="34"/>
      <c r="Q20" s="32"/>
      <c r="R20" s="32"/>
      <c r="S20" s="36"/>
      <c r="T20" s="36"/>
      <c r="U20" s="36"/>
      <c r="V20" s="36"/>
      <c r="W20" s="36"/>
      <c r="X20" s="36"/>
      <c r="Y20" s="36"/>
      <c r="Z20" s="36"/>
      <c r="AA20" s="32"/>
      <c r="AB20" s="34"/>
      <c r="AC20" s="34"/>
      <c r="AD20" s="34"/>
      <c r="AE20" s="36"/>
      <c r="AF20" s="36"/>
      <c r="AG20" s="36"/>
      <c r="AH20" s="32"/>
      <c r="AI20" s="32"/>
      <c r="AJ20" s="32"/>
      <c r="AK20" s="38"/>
      <c r="AL20" s="38"/>
      <c r="AM20" s="38"/>
      <c r="AN20" s="38"/>
      <c r="AO20" s="32"/>
    </row>
    <row r="21" spans="1:41" ht="22.5" customHeight="1" x14ac:dyDescent="0.15">
      <c r="A21" s="39">
        <v>18</v>
      </c>
      <c r="C21" s="32"/>
      <c r="D21" s="32"/>
      <c r="E21" s="32"/>
      <c r="F21" s="33"/>
      <c r="G21" s="33"/>
      <c r="H21" s="33"/>
      <c r="I21" s="33"/>
      <c r="J21" s="33"/>
      <c r="K21" s="38"/>
      <c r="L21" s="38"/>
      <c r="M21" s="38"/>
      <c r="N21" s="34"/>
      <c r="O21" s="34"/>
      <c r="P21" s="34"/>
      <c r="Q21" s="32"/>
      <c r="R21" s="32"/>
      <c r="S21" s="36"/>
      <c r="T21" s="36"/>
      <c r="U21" s="36"/>
      <c r="V21" s="36"/>
      <c r="W21" s="36"/>
      <c r="X21" s="36"/>
      <c r="Y21" s="36"/>
      <c r="Z21" s="36"/>
      <c r="AA21" s="32"/>
      <c r="AB21" s="34"/>
      <c r="AC21" s="34"/>
      <c r="AD21" s="34"/>
      <c r="AE21" s="32"/>
      <c r="AF21" s="32"/>
      <c r="AG21" s="32"/>
      <c r="AH21" s="32"/>
      <c r="AI21" s="35"/>
      <c r="AJ21" s="32"/>
      <c r="AK21" s="38"/>
      <c r="AL21" s="38"/>
      <c r="AM21" s="37">
        <v>27</v>
      </c>
      <c r="AN21" s="38"/>
      <c r="AO21" s="32"/>
    </row>
    <row r="22" spans="1:41" ht="22.5" customHeight="1" x14ac:dyDescent="0.15">
      <c r="A22" s="39">
        <v>19</v>
      </c>
      <c r="C22" s="32"/>
      <c r="D22" s="32"/>
      <c r="E22" s="32"/>
      <c r="F22" s="33"/>
      <c r="G22" s="33"/>
      <c r="H22" s="33"/>
      <c r="I22" s="33"/>
      <c r="J22" s="33"/>
      <c r="K22" s="38"/>
      <c r="L22" s="38"/>
      <c r="M22" s="38"/>
      <c r="N22" s="34"/>
      <c r="O22" s="34"/>
      <c r="P22" s="34"/>
      <c r="Q22" s="32"/>
      <c r="R22" s="32"/>
      <c r="S22" s="36"/>
      <c r="T22" s="36"/>
      <c r="U22" s="36"/>
      <c r="V22" s="36"/>
      <c r="W22" s="36"/>
      <c r="X22" s="32"/>
      <c r="Y22" s="35"/>
      <c r="Z22" s="32"/>
      <c r="AA22" s="32"/>
      <c r="AB22" s="34"/>
      <c r="AC22" s="34"/>
      <c r="AD22" s="34"/>
      <c r="AE22" s="32"/>
      <c r="AF22" s="32"/>
      <c r="AG22" s="32"/>
      <c r="AH22" s="38"/>
      <c r="AI22" s="38"/>
      <c r="AJ22" s="38"/>
      <c r="AK22" s="38"/>
      <c r="AL22" s="38"/>
      <c r="AM22" s="38"/>
      <c r="AN22" s="38"/>
      <c r="AO22" s="32"/>
    </row>
    <row r="23" spans="1:41" ht="22.5" customHeight="1" x14ac:dyDescent="0.15">
      <c r="A23" s="39">
        <v>20</v>
      </c>
      <c r="C23" s="32"/>
      <c r="D23" s="35"/>
      <c r="E23" s="32"/>
      <c r="F23" s="33"/>
      <c r="G23" s="33"/>
      <c r="H23" s="33"/>
      <c r="I23" s="33"/>
      <c r="J23" s="33"/>
      <c r="K23" s="38"/>
      <c r="L23" s="38"/>
      <c r="M23" s="38"/>
      <c r="N23" s="34"/>
      <c r="O23" s="34"/>
      <c r="P23" s="34"/>
      <c r="Q23" s="32"/>
      <c r="R23" s="32"/>
      <c r="S23" s="36"/>
      <c r="T23" s="36"/>
      <c r="U23" s="36"/>
      <c r="V23" s="37">
        <v>25</v>
      </c>
      <c r="W23" s="36"/>
      <c r="X23" s="32"/>
      <c r="Y23" s="35"/>
      <c r="Z23" s="32"/>
      <c r="AA23" s="32"/>
      <c r="AB23" s="34"/>
      <c r="AC23" s="34"/>
      <c r="AD23" s="34"/>
      <c r="AE23" s="32"/>
      <c r="AF23" s="32"/>
      <c r="AG23" s="32"/>
      <c r="AH23" s="38"/>
      <c r="AI23" s="38"/>
      <c r="AJ23" s="38"/>
      <c r="AK23" s="38"/>
      <c r="AL23" s="38"/>
      <c r="AM23" s="38"/>
      <c r="AN23" s="38"/>
      <c r="AO23" s="32"/>
    </row>
    <row r="24" spans="1:41" ht="22.5" customHeight="1" x14ac:dyDescent="0.15">
      <c r="A24" s="39">
        <v>21</v>
      </c>
      <c r="C24" s="32"/>
      <c r="D24" s="32"/>
      <c r="E24" s="32"/>
      <c r="F24" s="33"/>
      <c r="G24" s="33"/>
      <c r="H24" s="33"/>
      <c r="I24" s="33"/>
      <c r="J24" s="33"/>
      <c r="L24" s="32"/>
      <c r="M24" s="32"/>
      <c r="N24" s="34"/>
      <c r="O24" s="34"/>
      <c r="P24" s="34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4"/>
      <c r="AC24" s="34"/>
      <c r="AD24" s="34"/>
      <c r="AE24" s="32"/>
      <c r="AF24" s="35"/>
      <c r="AG24" s="35"/>
      <c r="AH24" s="32"/>
      <c r="AI24" s="38"/>
      <c r="AJ24" s="38"/>
      <c r="AK24" s="38"/>
      <c r="AL24" s="38"/>
      <c r="AM24" s="38"/>
      <c r="AN24" s="38"/>
      <c r="AO24" s="32"/>
    </row>
    <row r="25" spans="1:41" ht="22.5" customHeight="1" x14ac:dyDescent="0.15">
      <c r="A25" s="39">
        <v>22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4"/>
      <c r="O25" s="34"/>
      <c r="P25" s="34"/>
      <c r="Q25" s="32"/>
      <c r="R25" s="32"/>
      <c r="S25" s="35"/>
      <c r="T25" s="32"/>
      <c r="U25" s="32"/>
      <c r="V25" s="32"/>
      <c r="W25" s="32"/>
      <c r="X25" s="32"/>
      <c r="Y25" s="32"/>
      <c r="Z25" s="32"/>
      <c r="AA25" s="32"/>
      <c r="AB25" s="34"/>
      <c r="AC25" s="34"/>
      <c r="AD25" s="34"/>
      <c r="AE25" s="32"/>
      <c r="AF25" s="32"/>
      <c r="AG25" s="32"/>
      <c r="AH25" s="32"/>
      <c r="AI25" s="38"/>
      <c r="AJ25" s="38"/>
      <c r="AK25" s="38"/>
      <c r="AL25" s="38"/>
      <c r="AM25" s="38"/>
      <c r="AN25" s="38"/>
      <c r="AO25" s="32"/>
    </row>
    <row r="26" spans="1:41" ht="22.5" customHeight="1" x14ac:dyDescent="0.15">
      <c r="A26" s="39">
        <v>23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4"/>
      <c r="O26" s="34"/>
      <c r="P26" s="34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4"/>
      <c r="AC26" s="34"/>
      <c r="AD26" s="34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</row>
  </sheetData>
  <mergeCells count="1">
    <mergeCell ref="AV2:AX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5" r:id="rId4" name="CommandButton1">
          <controlPr defaultSize="0" autoLine="0" r:id="rId5">
            <anchor moveWithCells="1">
              <from>
                <xdr:col>0</xdr:col>
                <xdr:colOff>38100</xdr:colOff>
                <xdr:row>0</xdr:row>
                <xdr:rowOff>9525</xdr:rowOff>
              </from>
              <to>
                <xdr:col>2</xdr:col>
                <xdr:colOff>38100</xdr:colOff>
                <xdr:row>1</xdr:row>
                <xdr:rowOff>38100</xdr:rowOff>
              </to>
            </anchor>
          </controlPr>
        </control>
      </mc:Choice>
      <mc:Fallback>
        <control shapeId="615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</vt:i4>
      </vt:variant>
    </vt:vector>
  </HeadingPairs>
  <TitlesOfParts>
    <vt:vector size="7" baseType="lpstr">
      <vt:lpstr>芯片</vt:lpstr>
      <vt:lpstr>芯片盘</vt:lpstr>
      <vt:lpstr>枚举</vt:lpstr>
      <vt:lpstr>形状描述</vt:lpstr>
      <vt:lpstr>芯片盘矩阵</vt:lpstr>
      <vt:lpstr>ChipGrid</vt:lpstr>
      <vt:lpstr>使用形状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2017-12-17T10:15:03Z</dcterms:modified>
</cp:coreProperties>
</file>