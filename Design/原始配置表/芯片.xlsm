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1" defaultThemeVersion="124226"/>
  <bookViews>
    <workbookView xWindow="240" yWindow="105" windowWidth="14805" windowHeight="8010" activeTab="2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D209" i="1"/>
  <c r="D137" i="1"/>
  <c r="D42" i="1"/>
  <c r="AX6" i="6"/>
  <c r="D76" i="1"/>
  <c r="D27" i="1"/>
  <c r="D48" i="1"/>
  <c r="D47" i="1"/>
  <c r="D215" i="1"/>
  <c r="D121" i="1"/>
  <c r="D108" i="1"/>
  <c r="D119" i="1"/>
  <c r="D59" i="1"/>
  <c r="D72" i="1"/>
  <c r="D176" i="1"/>
  <c r="D136" i="1"/>
  <c r="D105" i="1"/>
  <c r="D134" i="1"/>
  <c r="D86" i="1"/>
  <c r="D147" i="1"/>
  <c r="D127" i="1"/>
  <c r="D221" i="1"/>
  <c r="D83" i="1"/>
  <c r="D79" i="1"/>
  <c r="AX3" i="6"/>
  <c r="D206" i="1"/>
  <c r="D114" i="1"/>
  <c r="D151" i="1"/>
  <c r="D224" i="1"/>
  <c r="D43" i="1"/>
  <c r="D57" i="1"/>
  <c r="D63" i="1"/>
  <c r="D168" i="1"/>
  <c r="D126" i="1"/>
  <c r="D35" i="1"/>
  <c r="D192" i="1"/>
  <c r="D232" i="1"/>
  <c r="D67" i="1"/>
  <c r="D173" i="1"/>
  <c r="D155" i="1"/>
  <c r="D160" i="1"/>
  <c r="D39" i="1"/>
  <c r="D62" i="1"/>
  <c r="D38" i="1"/>
  <c r="D229" i="1"/>
  <c r="D96" i="1"/>
  <c r="D203" i="1"/>
  <c r="D140" i="1"/>
  <c r="D41" i="1"/>
  <c r="D225" i="1"/>
  <c r="D226" i="1"/>
  <c r="D208" i="1"/>
  <c r="D32" i="1"/>
  <c r="D51" i="1"/>
  <c r="D56" i="1"/>
  <c r="D190" i="1"/>
  <c r="D71" i="1"/>
  <c r="D163" i="1"/>
  <c r="D124" i="1"/>
  <c r="D183" i="1"/>
  <c r="D148" i="1"/>
  <c r="D165" i="1"/>
  <c r="D111" i="1"/>
  <c r="D24" i="1"/>
  <c r="D6" i="1"/>
  <c r="D149" i="1"/>
  <c r="D8" i="1"/>
  <c r="AX7" i="6"/>
  <c r="D189" i="1"/>
  <c r="D167" i="1"/>
  <c r="D58" i="1"/>
  <c r="D21" i="1"/>
  <c r="D171" i="1"/>
  <c r="D120" i="1"/>
  <c r="D170" i="1"/>
  <c r="D78" i="1"/>
  <c r="D53" i="1"/>
  <c r="D109" i="1"/>
  <c r="D131" i="1"/>
  <c r="D87" i="1"/>
  <c r="D104" i="1"/>
  <c r="D73" i="1"/>
  <c r="D214" i="1"/>
  <c r="D196" i="1"/>
  <c r="D28" i="1"/>
  <c r="D223" i="1"/>
  <c r="D61" i="1"/>
  <c r="D193" i="1"/>
  <c r="D166" i="1"/>
  <c r="D107" i="1"/>
  <c r="D125" i="1"/>
  <c r="D40" i="1"/>
  <c r="D66" i="1"/>
  <c r="D12" i="1"/>
  <c r="D117" i="1"/>
  <c r="D65" i="1"/>
  <c r="D18" i="1"/>
  <c r="D13" i="1"/>
  <c r="D184" i="1"/>
  <c r="D199" i="1"/>
  <c r="D29" i="1"/>
  <c r="D139" i="1"/>
  <c r="D115" i="1"/>
  <c r="D33" i="1"/>
  <c r="D130" i="1"/>
  <c r="D154" i="1"/>
  <c r="D7" i="1"/>
  <c r="D187" i="1"/>
  <c r="D88" i="1"/>
  <c r="D50" i="1"/>
  <c r="D81" i="1"/>
  <c r="AX4" i="6"/>
  <c r="D84" i="1"/>
  <c r="D68" i="1"/>
  <c r="D25" i="1"/>
  <c r="D17" i="1"/>
  <c r="D95" i="1"/>
  <c r="D69" i="1"/>
  <c r="D219" i="1"/>
  <c r="D16" i="1"/>
  <c r="D142" i="1"/>
  <c r="D197" i="1"/>
  <c r="D4" i="1"/>
  <c r="D129" i="1"/>
  <c r="D217" i="1"/>
  <c r="D135" i="1"/>
  <c r="D54" i="1"/>
  <c r="D204" i="1"/>
  <c r="D5" i="1"/>
  <c r="D11" i="1"/>
  <c r="D164" i="1"/>
  <c r="D146" i="1"/>
  <c r="D101" i="1"/>
  <c r="D10" i="1"/>
  <c r="D144" i="1"/>
  <c r="D34" i="1"/>
  <c r="D106" i="1"/>
  <c r="D200" i="1"/>
  <c r="D202" i="1"/>
  <c r="D212" i="1"/>
  <c r="D98" i="1"/>
  <c r="D77" i="1"/>
  <c r="D90" i="1"/>
  <c r="D216" i="1"/>
  <c r="D80" i="1"/>
  <c r="D110" i="1"/>
  <c r="D172" i="1"/>
  <c r="D157" i="1"/>
  <c r="D188" i="1"/>
  <c r="D174" i="1"/>
  <c r="D70" i="1"/>
  <c r="D82" i="1"/>
  <c r="D55" i="1"/>
  <c r="D180" i="1"/>
  <c r="D97" i="1"/>
  <c r="D118" i="1"/>
  <c r="D102" i="1"/>
  <c r="D49" i="1"/>
  <c r="D52" i="1"/>
  <c r="D64" i="1"/>
  <c r="D185" i="1"/>
  <c r="D175" i="1"/>
  <c r="D156" i="1"/>
  <c r="D45" i="1"/>
  <c r="D15" i="1"/>
  <c r="D123" i="1"/>
  <c r="D89" i="1"/>
  <c r="D113" i="1"/>
  <c r="D181" i="1"/>
  <c r="D143" i="1"/>
  <c r="D150" i="1"/>
  <c r="D195" i="1"/>
  <c r="D169" i="1"/>
  <c r="D161" i="1"/>
  <c r="D92" i="1"/>
  <c r="D36" i="1"/>
  <c r="D133" i="1"/>
  <c r="D162" i="1"/>
  <c r="D20" i="1"/>
  <c r="D75" i="1"/>
  <c r="D153" i="1"/>
  <c r="D46" i="1"/>
  <c r="D22" i="1"/>
  <c r="D23" i="1"/>
  <c r="D44" i="1"/>
  <c r="D211" i="1"/>
  <c r="D60" i="1"/>
  <c r="D85" i="1"/>
  <c r="D222" i="1"/>
  <c r="D9" i="1"/>
  <c r="D218" i="1"/>
  <c r="D182" i="1"/>
  <c r="D26" i="1"/>
  <c r="D158" i="1"/>
  <c r="D30" i="1"/>
  <c r="D94" i="1"/>
  <c r="D227" i="1"/>
  <c r="D116" i="1"/>
  <c r="D220" i="1"/>
  <c r="D210" i="1"/>
  <c r="D177" i="1"/>
  <c r="D152" i="1"/>
  <c r="AX5" i="6"/>
  <c r="D14" i="1"/>
  <c r="D194" i="1"/>
  <c r="D93" i="1"/>
  <c r="D159" i="1"/>
  <c r="D141" i="1"/>
  <c r="D122" i="1"/>
  <c r="D205" i="1"/>
  <c r="D112" i="1"/>
  <c r="D138" i="1"/>
  <c r="D191" i="1"/>
  <c r="D19" i="1"/>
  <c r="D207" i="1"/>
  <c r="D198" i="1"/>
  <c r="D100" i="1"/>
  <c r="D201" i="1"/>
  <c r="D231" i="1"/>
  <c r="D228" i="1"/>
  <c r="D230" i="1"/>
  <c r="D31" i="1"/>
  <c r="D179" i="1"/>
  <c r="D91" i="1"/>
  <c r="D99" i="1"/>
  <c r="D132" i="1"/>
  <c r="D103" i="1"/>
  <c r="D74" i="1"/>
  <c r="D213" i="1"/>
  <c r="D37" i="1"/>
  <c r="D233" i="1"/>
  <c r="D145" i="1"/>
  <c r="D128" i="1"/>
  <c r="D178" i="1"/>
  <c r="D186" i="1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<sst xmlns="http://schemas.openxmlformats.org/spreadsheetml/2006/main" count="1302" uniqueCount="232">
  <si>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</si>
  <si>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</si>
  <si>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</si>
  <si>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</si>
  <si>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</si>
  <si>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</si>
  <si>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</si>
  <si>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</si>
  <si>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</si>
  <si>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</si>
  <si>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</si>
  <si>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</si>
  <si>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</si>
  <si>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</si>
  <si>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</si>
  <si>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</si>
  <si>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</si>
  <si>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</si>
  <si>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</si>
  <si>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</si>
  <si>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</si>
  <si>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</si>
  <si>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</si>
  <si>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</si>
  <si>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</si>
  <si>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</si>
  <si>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</si>
  <si>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</si>
  <si>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</si>
  <si>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</si>
  <si>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</si>
  <si>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</si>
  <si>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</si>
  <si>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</si>
  <si>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</si>
  <si>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</si>
  <si>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</si>
  <si>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</si>
  <si>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</si>
  <si>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</si>
  <si>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</si>
  <si>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</si>
  <si>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</si>
  <si>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</si>
  <si>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</si>
  <si>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</si>
  <si>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</si>
  <si>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</si>
  <si>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</si>
  <si>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</si>
  <si>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</si>
  <si>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</si>
  <si>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</si>
  <si>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</si>
  <si>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</si>
  <si>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</si>
  <si>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</si>
  <si>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</si>
  <si>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</si>
  <si>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</si>
  <si>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</si>
  <si>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</si>
  <si>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</si>
  <si>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</si>
  <si>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</si>
  <si>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</si>
  <si>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</si>
  <si>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</si>
  <si>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</si>
  <si>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</si>
  <si>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</si>
  <si>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</si>
  <si>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</si>
  <si>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</si>
  <si>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</si>
  <si>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</si>
  <si>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</si>
  <si>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</si>
  <si>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</si>
  <si>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</si>
  <si>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</si>
  <si>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</si>
  <si>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</si>
  <si>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</si>
  <si>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</si>
  <si>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</si>
  <si>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</si>
  <si>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</si>
  <si>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</si>
  <si>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</si>
  <si>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</si>
  <si>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</si>
  <si>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</si>
  <si>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</si>
  <si>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</si>
  <si>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</si>
  <si>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</si>
  <si>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</si>
  <si>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</si>
  <si>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</si>
  <si>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</si>
  <si>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</si>
  <si>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</si>
  <si>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</si>
  <si>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</si>
  <si>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</si>
  <si>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</si>
  <si>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p_mhp:-5|p_melee_percentd:0.1</t>
    <phoneticPr fontId="1" type="noConversion"/>
  </si>
  <si>
    <t>颜色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</si>
  <si>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</si>
  <si>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</si>
  <si>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</si>
  <si>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</si>
  <si>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</si>
  <si>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</si>
  <si>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</si>
  <si>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</si>
  <si>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</si>
  <si>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</si>
  <si>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</si>
  <si>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</si>
  <si>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</si>
  <si>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</si>
  <si>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</si>
  <si>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</si>
  <si>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propertyAddition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</si>
  <si>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</si>
  <si>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</si>
  <si>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</si>
  <si>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</si>
  <si>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</si>
  <si>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</si>
  <si>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</si>
  <si>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</si>
  <si>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</si>
  <si>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</si>
  <si>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</si>
  <si>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</si>
  <si>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</si>
  <si>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</si>
  <si>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ulong</t>
    <phoneticPr fontId="1" type="noConversion"/>
  </si>
  <si>
    <t>id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</si>
  <si>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</si>
  <si>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</si>
  <si>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</si>
  <si>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</si>
  <si>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</si>
  <si>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</si>
  <si>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</si>
  <si>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</si>
  <si>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</si>
  <si>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</si>
  <si>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</si>
  <si>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</si>
  <si>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</si>
  <si>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</si>
  <si>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</si>
  <si>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</si>
  <si>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</si>
  <si>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</si>
  <si>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</si>
  <si>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</si>
  <si>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</si>
  <si>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</si>
  <si>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</si>
  <si>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</si>
  <si>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</si>
  <si>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</si>
  <si>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</si>
  <si>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</si>
  <si>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</si>
  <si>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</si>
  <si>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ne;None;None;Blue;Blue;Blue;Blue|Normal;Normal;Normal;Power;None;None;None;Normal;Normal;Normal;Normal|Normal;Normal;Normal;Normal;None;None;None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</si>
  <si>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</si>
  <si>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ne;None;None;Normal;Normal;Normal;Normal|Normal;Normal;Normal;Normal;None;None;None;Normal;Normal;Normal;Normal|Normal;Normal;Normal;Normal;None;None;None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</si>
  <si>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</si>
  <si>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ne;None;None;Normal;Normal;Normal;Normal|Normal;Normal;Power;Normal;None;None;None;Normal;Normal;Normal;Normal|Normal;Normal;Normal;Normal;None;None;None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</si>
  <si>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</si>
  <si>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</si>
  <si>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</si>
  <si>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</si>
  <si>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</si>
  <si>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</si>
  <si>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</si>
  <si>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</si>
  <si>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</si>
  <si>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</si>
  <si>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</si>
  <si>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</si>
  <si>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</si>
  <si>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</si>
  <si>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</si>
  <si>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</si>
  <si>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</si>
  <si>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</si>
  <si>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</si>
  <si>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</si>
  <si>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</si>
  <si>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</si>
  <si>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</si>
  <si>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</si>
  <si>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</si>
  <si>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</si>
  <si>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</si>
  <si>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</si>
  <si>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</si>
  <si>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</si>
  <si>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</si>
  <si>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</si>
  <si>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</si>
  <si>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</si>
  <si>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</si>
  <si>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</si>
  <si>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</si>
  <si>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</si>
  <si>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</si>
  <si>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</si>
  <si>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</si>
  <si>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</si>
  <si>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</si>
  <si>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</si>
  <si>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</si>
  <si>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</si>
  <si>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r>
      <t>[2维]</t>
    </r>
    <r>
      <rPr>
        <sz val="11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</si>
  <si>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int[|:]</t>
    <phoneticPr fontId="1" type="noConversion"/>
  </si>
  <si>
    <t>生命值-1，物理伤害+1%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</si>
  <si>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</si>
  <si>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</si>
  <si>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</si>
  <si>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</si>
  <si>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</si>
  <si>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t>♂枚举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</si>
</sst>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5" fillId="0" borderId="0" xfId="0" applyFont="1"/>
  </cellXfs>
  <cellStyles count="2">
    <cellStyle name="常规" xfId="0" builtinId="0"/>
    <cellStyle name="超链接" xfId="1" builtinId="8"/>
  </cellStyles>
  <dxfs count="17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4" dataDxfId="173">
  <autoFilter ref="A3:L233"/>
  <tableColumns count="12">
    <tableColumn id="1" name="id" dataDxfId="172"/>
    <tableColumn id="2" name="name" dataDxfId="171">
      <calculatedColumnFormula>O4</calculatedColumnFormula>
    </tableColumn>
    <tableColumn id="3" name="descrip" dataDxfId="170"/>
    <tableColumn id="9" name="color" dataDxfId="169">
      <calculatedColumnFormula>[1]!颜色转换成内嵌函数()</calculatedColumnFormula>
    </tableColumn>
    <tableColumn id="4" name="level" dataDxfId="168"/>
    <tableColumn id="10" name="upgradeId" dataDxfId="167">
      <calculatedColumnFormula>IF(表1[[#This Row],[level]]+1=E5,A5,"")</calculatedColumnFormula>
    </tableColumn>
    <tableColumn id="7" name="stuffCost" dataDxfId="166"/>
    <tableColumn id="6" name="power" dataDxfId="165">
      <calculatedColumnFormula>ROUND(S4,0)&amp; "~" &amp; ROUND(T4,0)</calculatedColumnFormula>
    </tableColumn>
    <tableColumn id="5" name="skillPoint" dataDxfId="164"/>
    <tableColumn id="11" name="chipGridReqire" dataDxfId="163"/>
    <tableColumn id="12" name="propertyAddition" dataDxfId="162"/>
    <tableColumn id="8" name="model" dataDxfId="16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10" sqref="C10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13" t="s">
        <v>0</v>
      </c>
      <c r="B1" s="13" t="s">
        <v>3</v>
      </c>
      <c r="C1" s="13" t="s">
        <v>226</v>
      </c>
      <c r="D1" s="13" t="s">
        <v>108</v>
      </c>
      <c r="E1" s="13" t="s">
        <v>6</v>
      </c>
      <c r="F1" s="13" t="s">
        <v>110</v>
      </c>
      <c r="G1" s="14" t="s">
        <v>230</v>
      </c>
      <c r="H1" s="14" t="s">
        <v>227</v>
      </c>
      <c r="I1" s="14" t="s">
        <v>223</v>
      </c>
      <c r="J1" s="15" t="s">
        <v>131</v>
      </c>
      <c r="K1" s="14" t="s">
        <v>228</v>
      </c>
      <c r="L1" s="14" t="s">
        <v>229</v>
      </c>
      <c r="M1" s="6"/>
      <c r="N1" s="6"/>
      <c r="O1" s="51" t="s">
        <v>69</v>
      </c>
      <c r="P1" s="51" t="s">
        <v>71</v>
      </c>
      <c r="Q1" s="51" t="s">
        <v>9</v>
      </c>
      <c r="R1" s="51" t="s">
        <v>15</v>
      </c>
      <c r="S1" s="51" t="s">
        <v>16</v>
      </c>
      <c r="T1" s="51" t="s">
        <v>17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</v>
      </c>
      <c r="B2" s="16" t="s">
        <v>4</v>
      </c>
      <c r="C2" s="16" t="s">
        <v>4</v>
      </c>
      <c r="D2" s="16" t="s">
        <v>19</v>
      </c>
      <c r="E2" s="16" t="s">
        <v>7</v>
      </c>
      <c r="F2" s="16" t="s">
        <v>21</v>
      </c>
      <c r="G2" s="16" t="s">
        <v>112</v>
      </c>
      <c r="H2" s="16" t="s">
        <v>109</v>
      </c>
      <c r="I2" s="17" t="s">
        <v>224</v>
      </c>
      <c r="J2" s="23" t="s">
        <v>126</v>
      </c>
      <c r="K2" s="16" t="s">
        <v>23</v>
      </c>
      <c r="L2" s="16" t="s">
        <v>18</v>
      </c>
      <c r="M2" s="6"/>
      <c r="N2" s="6"/>
      <c r="O2" s="52"/>
      <c r="P2" s="52"/>
      <c r="Q2" s="52"/>
      <c r="R2" s="52"/>
      <c r="S2" s="52"/>
      <c r="T2" s="52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8" t="s">
        <v>2</v>
      </c>
      <c r="B3" s="18" t="s">
        <v>5</v>
      </c>
      <c r="C3" s="18" t="s">
        <v>135</v>
      </c>
      <c r="D3" s="18" t="s">
        <v>20</v>
      </c>
      <c r="E3" s="18" t="s">
        <v>8</v>
      </c>
      <c r="F3" s="18" t="s">
        <v>22</v>
      </c>
      <c r="G3" s="18" t="s">
        <v>111</v>
      </c>
      <c r="H3" s="18" t="s">
        <v>134</v>
      </c>
      <c r="I3" s="18" t="s">
        <v>70</v>
      </c>
      <c r="J3" s="24" t="s">
        <v>127</v>
      </c>
      <c r="K3" s="18" t="s">
        <v>125</v>
      </c>
      <c r="L3" s="18" t="s">
        <v>14</v>
      </c>
      <c r="M3" s="7"/>
      <c r="N3" s="7"/>
      <c r="O3" s="53"/>
      <c r="P3" s="53"/>
      <c r="Q3" s="53"/>
      <c r="R3" s="53"/>
      <c r="S3" s="53"/>
      <c r="T3" s="53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6">
        <v>100001</v>
      </c>
      <c r="B4" s="16" t="str">
        <f>O4</f>
        <v>南瓜</v>
      </c>
      <c r="C4" s="16" t="str">
        <f>表1[[#This Row],[name]]&amp;"+1"</f>
        <v>南瓜+1</v>
      </c>
      <c r="D4" s="45" t="str">
        <f>[1]!颜色转换成内嵌函数()</f>
        <v>※color(181,79,79)[]</v>
      </c>
      <c r="E4" s="16">
        <v>1</v>
      </c>
      <c r="F4" s="16">
        <f>IF(表1[[#This Row],[level]]+1=E5,A5,"")</f>
        <v>100002</v>
      </c>
      <c r="G4" s="16" t="s">
        <v>113</v>
      </c>
      <c r="H4" s="16" t="str">
        <f t="shared" ref="H4:H67" si="0">ROUND(S4,0)&amp; "~" &amp; ROUND(T4,0)</f>
        <v>5~12</v>
      </c>
      <c r="I4" s="17" t="s">
        <v>178</v>
      </c>
      <c r="J4" s="17" t="s">
        <v>117</v>
      </c>
      <c r="K4" s="16"/>
      <c r="L4" s="16" t="s">
        <v>146</v>
      </c>
      <c r="M4" s="7"/>
      <c r="N4" s="7"/>
      <c r="O4" s="8" t="s">
        <v>24</v>
      </c>
      <c r="P4" s="8" t="s">
        <v>82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6">
        <v>100002</v>
      </c>
      <c r="B5" s="16" t="str">
        <f t="shared" ref="B5:B68" si="1">O5</f>
        <v>南瓜</v>
      </c>
      <c r="C5" s="16" t="str">
        <f>表1[[#This Row],[name]]&amp;"+1"</f>
        <v>南瓜+1</v>
      </c>
      <c r="D5" s="45" t="str">
        <f>[1]!颜色转换成内嵌函数()</f>
        <v>※color(181,79,79)[]</v>
      </c>
      <c r="E5" s="16">
        <f t="shared" ref="E5:E68" si="2">IF(O5=O4,E4+1,1)</f>
        <v>2</v>
      </c>
      <c r="F5" s="16">
        <f>IF(表1[[#This Row],[level]]+1=E6,A6,"")</f>
        <v>100003</v>
      </c>
      <c r="G5" s="16" t="s">
        <v>113</v>
      </c>
      <c r="H5" s="16" t="str">
        <f t="shared" si="0"/>
        <v>10~17</v>
      </c>
      <c r="I5" s="17" t="s">
        <v>178</v>
      </c>
      <c r="J5" s="17" t="s">
        <v>117</v>
      </c>
      <c r="K5" s="16"/>
      <c r="L5" s="16" t="s">
        <v>147</v>
      </c>
      <c r="M5" s="7"/>
      <c r="N5" s="7"/>
      <c r="O5" s="8" t="s">
        <v>24</v>
      </c>
      <c r="P5" s="8" t="s">
        <v>82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10</v>
      </c>
      <c r="Y5" s="7" t="s">
        <v>10</v>
      </c>
      <c r="Z5" s="7" t="s">
        <v>11</v>
      </c>
      <c r="AA5" s="7" t="s">
        <v>12</v>
      </c>
      <c r="AB5" s="7" t="s">
        <v>13</v>
      </c>
    </row>
    <row r="6" spans="1:28" x14ac:dyDescent="0.3">
      <c r="A6" s="16">
        <v>100003</v>
      </c>
      <c r="B6" s="16" t="str">
        <f t="shared" si="1"/>
        <v>南瓜</v>
      </c>
      <c r="C6" s="16" t="str">
        <f>表1[[#This Row],[name]]&amp;"+1"</f>
        <v>南瓜+1</v>
      </c>
      <c r="D6" s="45" t="str">
        <f>[1]!颜色转换成内嵌函数()</f>
        <v>※color(181,79,79)[]</v>
      </c>
      <c r="E6" s="16">
        <f t="shared" si="2"/>
        <v>3</v>
      </c>
      <c r="F6" s="16">
        <f>IF(表1[[#This Row],[level]]+1=E7,A7,"")</f>
        <v>100004</v>
      </c>
      <c r="G6" s="16" t="s">
        <v>113</v>
      </c>
      <c r="H6" s="16" t="str">
        <f t="shared" si="0"/>
        <v>14~21</v>
      </c>
      <c r="I6" s="17" t="s">
        <v>178</v>
      </c>
      <c r="J6" s="17" t="s">
        <v>117</v>
      </c>
      <c r="K6" s="16"/>
      <c r="L6" s="16" t="s">
        <v>146</v>
      </c>
      <c r="M6" s="7"/>
      <c r="N6" s="7"/>
      <c r="O6" s="8" t="s">
        <v>24</v>
      </c>
      <c r="P6" s="8" t="s">
        <v>82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6">
        <v>100004</v>
      </c>
      <c r="B7" s="16" t="str">
        <f t="shared" si="1"/>
        <v>南瓜</v>
      </c>
      <c r="C7" s="16" t="str">
        <f>表1[[#This Row],[name]]&amp;"+1"</f>
        <v>南瓜+1</v>
      </c>
      <c r="D7" s="45" t="str">
        <f>[1]!颜色转换成内嵌函数()</f>
        <v>※color(181,79,79)[]</v>
      </c>
      <c r="E7" s="16">
        <f t="shared" si="2"/>
        <v>4</v>
      </c>
      <c r="F7" s="16">
        <f>IF(表1[[#This Row],[level]]+1=E8,A8,"")</f>
        <v>100005</v>
      </c>
      <c r="G7" s="16" t="s">
        <v>113</v>
      </c>
      <c r="H7" s="16" t="str">
        <f t="shared" si="0"/>
        <v>19~26</v>
      </c>
      <c r="I7" s="17" t="s">
        <v>178</v>
      </c>
      <c r="J7" s="17" t="s">
        <v>117</v>
      </c>
      <c r="K7" s="16"/>
      <c r="L7" s="16" t="s">
        <v>146</v>
      </c>
      <c r="M7" s="7"/>
      <c r="N7" s="7"/>
      <c r="O7" s="8" t="s">
        <v>24</v>
      </c>
      <c r="P7" s="8" t="s">
        <v>82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6">
        <v>100005</v>
      </c>
      <c r="B8" s="16" t="str">
        <f t="shared" si="1"/>
        <v>南瓜</v>
      </c>
      <c r="C8" s="16" t="str">
        <f>表1[[#This Row],[name]]&amp;"+1"</f>
        <v>南瓜+1</v>
      </c>
      <c r="D8" s="45" t="str">
        <f>[1]!颜色转换成内嵌函数()</f>
        <v>※color(181,79,79)[]</v>
      </c>
      <c r="E8" s="16">
        <f t="shared" si="2"/>
        <v>5</v>
      </c>
      <c r="F8" s="16" t="str">
        <f>IF(表1[[#This Row],[level]]+1=E9,A9,"")</f>
        <v/>
      </c>
      <c r="G8" s="16" t="s">
        <v>113</v>
      </c>
      <c r="H8" s="16" t="str">
        <f t="shared" si="0"/>
        <v>23~30</v>
      </c>
      <c r="I8" s="17" t="s">
        <v>178</v>
      </c>
      <c r="J8" s="17" t="s">
        <v>117</v>
      </c>
      <c r="K8" s="16"/>
      <c r="L8" s="16" t="s">
        <v>146</v>
      </c>
      <c r="M8" s="7"/>
      <c r="N8" s="7"/>
      <c r="O8" s="8" t="s">
        <v>24</v>
      </c>
      <c r="P8" s="8" t="s">
        <v>82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6">
        <v>100006</v>
      </c>
      <c r="B9" s="16" t="str">
        <f t="shared" si="1"/>
        <v>榴弹</v>
      </c>
      <c r="C9" s="16" t="str">
        <f>表1[[#This Row],[name]]&amp;"+1"</f>
        <v>榴弹+1</v>
      </c>
      <c r="D9" s="46" t="str">
        <f>[1]!颜色转换成内嵌函数()</f>
        <v>※color(181,79,162)[]</v>
      </c>
      <c r="E9" s="16">
        <f t="shared" si="2"/>
        <v>1</v>
      </c>
      <c r="F9" s="16">
        <f>IF(表1[[#This Row],[level]]+1=E10,A10,"")</f>
        <v>100007</v>
      </c>
      <c r="G9" s="16" t="s">
        <v>113</v>
      </c>
      <c r="H9" s="16" t="str">
        <f t="shared" si="0"/>
        <v>5~12</v>
      </c>
      <c r="I9" s="17" t="s">
        <v>179</v>
      </c>
      <c r="J9" s="17" t="s">
        <v>117</v>
      </c>
      <c r="K9" s="16"/>
      <c r="L9" s="16" t="s">
        <v>148</v>
      </c>
      <c r="M9" s="7"/>
      <c r="N9" s="7"/>
      <c r="O9" s="8" t="s">
        <v>25</v>
      </c>
      <c r="P9" s="8" t="s">
        <v>83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6">
        <v>100007</v>
      </c>
      <c r="B10" s="16" t="str">
        <f t="shared" si="1"/>
        <v>榴弹</v>
      </c>
      <c r="C10" s="16" t="str">
        <f>表1[[#This Row],[name]]&amp;"+1"</f>
        <v>榴弹+1</v>
      </c>
      <c r="D10" s="46" t="str">
        <f>[1]!颜色转换成内嵌函数()</f>
        <v>※color(181,79,162)[]</v>
      </c>
      <c r="E10" s="16">
        <f t="shared" si="2"/>
        <v>2</v>
      </c>
      <c r="F10" s="16">
        <f>IF(表1[[#This Row],[level]]+1=E11,A11,"")</f>
        <v>100008</v>
      </c>
      <c r="G10" s="16" t="s">
        <v>113</v>
      </c>
      <c r="H10" s="16" t="str">
        <f t="shared" si="0"/>
        <v>10~17</v>
      </c>
      <c r="I10" s="17" t="s">
        <v>179</v>
      </c>
      <c r="J10" s="17" t="s">
        <v>117</v>
      </c>
      <c r="K10" s="16"/>
      <c r="L10" s="16" t="s">
        <v>148</v>
      </c>
      <c r="M10" s="7"/>
      <c r="N10" s="7"/>
      <c r="O10" s="8" t="s">
        <v>25</v>
      </c>
      <c r="P10" s="8" t="s">
        <v>83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6">
        <v>100008</v>
      </c>
      <c r="B11" s="16" t="str">
        <f t="shared" si="1"/>
        <v>榴弹</v>
      </c>
      <c r="C11" s="16" t="str">
        <f>表1[[#This Row],[name]]&amp;"+1"</f>
        <v>榴弹+1</v>
      </c>
      <c r="D11" s="46" t="str">
        <f>[1]!颜色转换成内嵌函数()</f>
        <v>※color(181,79,162)[]</v>
      </c>
      <c r="E11" s="16">
        <f t="shared" si="2"/>
        <v>3</v>
      </c>
      <c r="F11" s="16">
        <f>IF(表1[[#This Row],[level]]+1=E12,A12,"")</f>
        <v>100009</v>
      </c>
      <c r="G11" s="16" t="s">
        <v>113</v>
      </c>
      <c r="H11" s="16" t="str">
        <f t="shared" si="0"/>
        <v>14~21</v>
      </c>
      <c r="I11" s="17" t="s">
        <v>179</v>
      </c>
      <c r="J11" s="17" t="s">
        <v>117</v>
      </c>
      <c r="K11" s="16"/>
      <c r="L11" s="16" t="s">
        <v>148</v>
      </c>
      <c r="M11" s="7"/>
      <c r="N11" s="7"/>
      <c r="O11" s="8" t="s">
        <v>25</v>
      </c>
      <c r="P11" s="8" t="s">
        <v>83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6">
        <v>100009</v>
      </c>
      <c r="B12" s="16" t="str">
        <f t="shared" si="1"/>
        <v>榴弹</v>
      </c>
      <c r="C12" s="16" t="str">
        <f>表1[[#This Row],[name]]&amp;"+1"</f>
        <v>榴弹+1</v>
      </c>
      <c r="D12" s="46" t="str">
        <f>[1]!颜色转换成内嵌函数()</f>
        <v>※color(181,79,162)[]</v>
      </c>
      <c r="E12" s="16">
        <f t="shared" si="2"/>
        <v>4</v>
      </c>
      <c r="F12" s="16">
        <f>IF(表1[[#This Row],[level]]+1=E13,A13,"")</f>
        <v>100010</v>
      </c>
      <c r="G12" s="16" t="s">
        <v>113</v>
      </c>
      <c r="H12" s="16" t="str">
        <f t="shared" si="0"/>
        <v>19~26</v>
      </c>
      <c r="I12" s="17" t="s">
        <v>179</v>
      </c>
      <c r="J12" s="17" t="s">
        <v>117</v>
      </c>
      <c r="K12" s="16"/>
      <c r="L12" s="16" t="s">
        <v>148</v>
      </c>
      <c r="M12" s="7"/>
      <c r="N12" s="7"/>
      <c r="O12" s="8" t="s">
        <v>25</v>
      </c>
      <c r="P12" s="8" t="s">
        <v>83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6">
        <v>100010</v>
      </c>
      <c r="B13" s="16" t="str">
        <f t="shared" si="1"/>
        <v>榴弹</v>
      </c>
      <c r="C13" s="16" t="str">
        <f>表1[[#This Row],[name]]&amp;"+1"</f>
        <v>榴弹+1</v>
      </c>
      <c r="D13" s="46" t="str">
        <f>[1]!颜色转换成内嵌函数()</f>
        <v>※color(181,79,162)[]</v>
      </c>
      <c r="E13" s="16">
        <f t="shared" si="2"/>
        <v>5</v>
      </c>
      <c r="F13" s="16" t="str">
        <f>IF(表1[[#This Row],[level]]+1=E14,A14,"")</f>
        <v/>
      </c>
      <c r="G13" s="16" t="s">
        <v>113</v>
      </c>
      <c r="H13" s="16" t="str">
        <f t="shared" si="0"/>
        <v>23~30</v>
      </c>
      <c r="I13" s="17" t="s">
        <v>179</v>
      </c>
      <c r="J13" s="17" t="s">
        <v>117</v>
      </c>
      <c r="K13" s="16"/>
      <c r="L13" s="16" t="s">
        <v>148</v>
      </c>
      <c r="M13" s="7"/>
      <c r="N13" s="7"/>
      <c r="O13" s="8" t="s">
        <v>25</v>
      </c>
      <c r="P13" s="8" t="s">
        <v>83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6">
        <v>100011</v>
      </c>
      <c r="B14" s="16" t="str">
        <f t="shared" si="1"/>
        <v>贯通射线</v>
      </c>
      <c r="C14" s="16" t="str">
        <f>表1[[#This Row],[name]]&amp;"+1"</f>
        <v>贯通射线+1</v>
      </c>
      <c r="D14" s="47" t="str">
        <f>[1]!颜色转换成内嵌函数()</f>
        <v>※color(195,213,89)[]</v>
      </c>
      <c r="E14" s="16">
        <f t="shared" si="2"/>
        <v>1</v>
      </c>
      <c r="F14" s="16">
        <f>IF(表1[[#This Row],[level]]+1=E15,A15,"")</f>
        <v>100012</v>
      </c>
      <c r="G14" s="16" t="s">
        <v>113</v>
      </c>
      <c r="H14" s="16" t="str">
        <f t="shared" si="0"/>
        <v>5~12</v>
      </c>
      <c r="I14" s="17" t="s">
        <v>180</v>
      </c>
      <c r="J14" s="17" t="s">
        <v>117</v>
      </c>
      <c r="K14" s="16"/>
      <c r="L14" s="16" t="s">
        <v>149</v>
      </c>
      <c r="M14" s="7"/>
      <c r="N14" s="7"/>
      <c r="O14" s="8" t="s">
        <v>26</v>
      </c>
      <c r="P14" s="8" t="s">
        <v>84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6">
        <v>100012</v>
      </c>
      <c r="B15" s="16" t="str">
        <f t="shared" si="1"/>
        <v>贯通射线</v>
      </c>
      <c r="C15" s="16" t="str">
        <f>表1[[#This Row],[name]]&amp;"+1"</f>
        <v>贯通射线+1</v>
      </c>
      <c r="D15" s="47" t="str">
        <f>[1]!颜色转换成内嵌函数()</f>
        <v>※color(195,213,89)[]</v>
      </c>
      <c r="E15" s="16">
        <f t="shared" si="2"/>
        <v>2</v>
      </c>
      <c r="F15" s="16">
        <f>IF(表1[[#This Row],[level]]+1=E16,A16,"")</f>
        <v>100013</v>
      </c>
      <c r="G15" s="16" t="s">
        <v>113</v>
      </c>
      <c r="H15" s="16" t="str">
        <f t="shared" si="0"/>
        <v>10~17</v>
      </c>
      <c r="I15" s="17" t="s">
        <v>180</v>
      </c>
      <c r="J15" s="17" t="s">
        <v>117</v>
      </c>
      <c r="K15" s="16"/>
      <c r="L15" s="16" t="s">
        <v>149</v>
      </c>
      <c r="M15" s="7"/>
      <c r="N15" s="7"/>
      <c r="O15" s="8" t="s">
        <v>26</v>
      </c>
      <c r="P15" s="8" t="s">
        <v>84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6">
        <v>100013</v>
      </c>
      <c r="B16" s="16" t="str">
        <f t="shared" si="1"/>
        <v>贯通射线</v>
      </c>
      <c r="C16" s="16" t="str">
        <f>表1[[#This Row],[name]]&amp;"+1"</f>
        <v>贯通射线+1</v>
      </c>
      <c r="D16" s="47" t="str">
        <f>[1]!颜色转换成内嵌函数()</f>
        <v>※color(195,213,89)[]</v>
      </c>
      <c r="E16" s="16">
        <f t="shared" si="2"/>
        <v>3</v>
      </c>
      <c r="F16" s="16">
        <f>IF(表1[[#This Row],[level]]+1=E17,A17,"")</f>
        <v>100014</v>
      </c>
      <c r="G16" s="16" t="s">
        <v>113</v>
      </c>
      <c r="H16" s="16" t="str">
        <f t="shared" si="0"/>
        <v>14~21</v>
      </c>
      <c r="I16" s="17" t="s">
        <v>180</v>
      </c>
      <c r="J16" s="17" t="s">
        <v>117</v>
      </c>
      <c r="K16" s="16"/>
      <c r="L16" s="16" t="s">
        <v>149</v>
      </c>
      <c r="M16" s="7"/>
      <c r="N16" s="7"/>
      <c r="O16" s="8" t="s">
        <v>26</v>
      </c>
      <c r="P16" s="8" t="s">
        <v>84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>
        <v>100014</v>
      </c>
      <c r="B17" s="16" t="str">
        <f t="shared" si="1"/>
        <v>贯通射线</v>
      </c>
      <c r="C17" s="16" t="str">
        <f>表1[[#This Row],[name]]&amp;"+1"</f>
        <v>贯通射线+1</v>
      </c>
      <c r="D17" s="47" t="str">
        <f>[1]!颜色转换成内嵌函数()</f>
        <v>※color(195,213,89)[]</v>
      </c>
      <c r="E17" s="16">
        <f t="shared" si="2"/>
        <v>4</v>
      </c>
      <c r="F17" s="16">
        <f>IF(表1[[#This Row],[level]]+1=E18,A18,"")</f>
        <v>100015</v>
      </c>
      <c r="G17" s="16" t="s">
        <v>113</v>
      </c>
      <c r="H17" s="16" t="str">
        <f t="shared" si="0"/>
        <v>19~26</v>
      </c>
      <c r="I17" s="17" t="s">
        <v>180</v>
      </c>
      <c r="J17" s="17" t="s">
        <v>117</v>
      </c>
      <c r="K17" s="16"/>
      <c r="L17" s="16" t="s">
        <v>149</v>
      </c>
      <c r="M17" s="7"/>
      <c r="N17" s="7"/>
      <c r="O17" s="8" t="s">
        <v>26</v>
      </c>
      <c r="P17" s="8" t="s">
        <v>84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6">
        <v>100015</v>
      </c>
      <c r="B18" s="16" t="str">
        <f t="shared" si="1"/>
        <v>贯通射线</v>
      </c>
      <c r="C18" s="16" t="str">
        <f>表1[[#This Row],[name]]&amp;"+1"</f>
        <v>贯通射线+1</v>
      </c>
      <c r="D18" s="47" t="str">
        <f>[1]!颜色转换成内嵌函数()</f>
        <v>※color(195,213,89)[]</v>
      </c>
      <c r="E18" s="16">
        <f t="shared" si="2"/>
        <v>5</v>
      </c>
      <c r="F18" s="16" t="str">
        <f>IF(表1[[#This Row],[level]]+1=E19,A19,"")</f>
        <v/>
      </c>
      <c r="G18" s="16" t="s">
        <v>113</v>
      </c>
      <c r="H18" s="16" t="str">
        <f t="shared" si="0"/>
        <v>23~30</v>
      </c>
      <c r="I18" s="17" t="s">
        <v>180</v>
      </c>
      <c r="J18" s="17" t="s">
        <v>117</v>
      </c>
      <c r="K18" s="16"/>
      <c r="L18" s="16" t="s">
        <v>150</v>
      </c>
      <c r="M18" s="7"/>
      <c r="N18" s="7"/>
      <c r="O18" s="8" t="s">
        <v>26</v>
      </c>
      <c r="P18" s="8" t="s">
        <v>84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6">
        <v>100016</v>
      </c>
      <c r="B19" s="16" t="str">
        <f t="shared" si="1"/>
        <v>全弹齐发</v>
      </c>
      <c r="C19" s="16" t="str">
        <f>表1[[#This Row],[name]]&amp;"+1"</f>
        <v>全弹齐发+1</v>
      </c>
      <c r="D19" s="48" t="str">
        <f>[1]!颜色转换成内嵌函数()</f>
        <v>※color(88,214,202)[]</v>
      </c>
      <c r="E19" s="16">
        <f t="shared" si="2"/>
        <v>1</v>
      </c>
      <c r="F19" s="16">
        <f>IF(表1[[#This Row],[level]]+1=E20,A20,"")</f>
        <v>100017</v>
      </c>
      <c r="G19" s="16" t="s">
        <v>113</v>
      </c>
      <c r="H19" s="16" t="str">
        <f t="shared" si="0"/>
        <v>5~12</v>
      </c>
      <c r="I19" s="17" t="s">
        <v>181</v>
      </c>
      <c r="J19" s="17" t="s">
        <v>117</v>
      </c>
      <c r="K19" s="16"/>
      <c r="L19" s="16" t="s">
        <v>151</v>
      </c>
      <c r="M19" s="7"/>
      <c r="N19" s="7"/>
      <c r="O19" s="8" t="s">
        <v>27</v>
      </c>
      <c r="P19" s="8" t="s">
        <v>85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6">
        <v>100017</v>
      </c>
      <c r="B20" s="16" t="str">
        <f t="shared" si="1"/>
        <v>全弹齐发</v>
      </c>
      <c r="C20" s="16" t="str">
        <f>表1[[#This Row],[name]]&amp;"+1"</f>
        <v>全弹齐发+1</v>
      </c>
      <c r="D20" s="48" t="str">
        <f>[1]!颜色转换成内嵌函数()</f>
        <v>※color(88,214,202)[]</v>
      </c>
      <c r="E20" s="16">
        <f t="shared" si="2"/>
        <v>2</v>
      </c>
      <c r="F20" s="16">
        <f>IF(表1[[#This Row],[level]]+1=E21,A21,"")</f>
        <v>100018</v>
      </c>
      <c r="G20" s="16" t="s">
        <v>113</v>
      </c>
      <c r="H20" s="16" t="str">
        <f t="shared" si="0"/>
        <v>10~17</v>
      </c>
      <c r="I20" s="17" t="s">
        <v>181</v>
      </c>
      <c r="J20" s="17" t="s">
        <v>117</v>
      </c>
      <c r="K20" s="16"/>
      <c r="L20" s="16" t="s">
        <v>151</v>
      </c>
      <c r="M20" s="7"/>
      <c r="N20" s="7"/>
      <c r="O20" s="8" t="s">
        <v>27</v>
      </c>
      <c r="P20" s="8" t="s">
        <v>85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6">
        <v>100018</v>
      </c>
      <c r="B21" s="16" t="str">
        <f t="shared" si="1"/>
        <v>全弹齐发</v>
      </c>
      <c r="C21" s="16" t="str">
        <f>表1[[#This Row],[name]]&amp;"+1"</f>
        <v>全弹齐发+1</v>
      </c>
      <c r="D21" s="48" t="str">
        <f>[1]!颜色转换成内嵌函数()</f>
        <v>※color(88,214,202)[]</v>
      </c>
      <c r="E21" s="16">
        <f t="shared" si="2"/>
        <v>3</v>
      </c>
      <c r="F21" s="16">
        <f>IF(表1[[#This Row],[level]]+1=E22,A22,"")</f>
        <v>100019</v>
      </c>
      <c r="G21" s="16" t="s">
        <v>113</v>
      </c>
      <c r="H21" s="16" t="str">
        <f t="shared" si="0"/>
        <v>14~21</v>
      </c>
      <c r="I21" s="17" t="s">
        <v>181</v>
      </c>
      <c r="J21" s="17" t="s">
        <v>117</v>
      </c>
      <c r="K21" s="16"/>
      <c r="L21" s="16" t="s">
        <v>151</v>
      </c>
      <c r="M21" s="7"/>
      <c r="N21" s="7"/>
      <c r="O21" s="8" t="s">
        <v>27</v>
      </c>
      <c r="P21" s="8" t="s">
        <v>86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6">
        <v>100019</v>
      </c>
      <c r="B22" s="16" t="str">
        <f t="shared" si="1"/>
        <v>全弹齐发</v>
      </c>
      <c r="C22" s="16" t="str">
        <f>表1[[#This Row],[name]]&amp;"+1"</f>
        <v>全弹齐发+1</v>
      </c>
      <c r="D22" s="48" t="str">
        <f>[1]!颜色转换成内嵌函数()</f>
        <v>※color(88,214,202)[]</v>
      </c>
      <c r="E22" s="16">
        <f t="shared" si="2"/>
        <v>4</v>
      </c>
      <c r="F22" s="16">
        <f>IF(表1[[#This Row],[level]]+1=E23,A23,"")</f>
        <v>100020</v>
      </c>
      <c r="G22" s="16" t="s">
        <v>113</v>
      </c>
      <c r="H22" s="16" t="str">
        <f t="shared" si="0"/>
        <v>19~26</v>
      </c>
      <c r="I22" s="17" t="s">
        <v>181</v>
      </c>
      <c r="J22" s="17" t="s">
        <v>117</v>
      </c>
      <c r="K22" s="16"/>
      <c r="L22" s="16" t="s">
        <v>152</v>
      </c>
      <c r="M22" s="7"/>
      <c r="N22" s="7"/>
      <c r="O22" s="8" t="s">
        <v>27</v>
      </c>
      <c r="P22" s="8" t="s">
        <v>85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6">
        <v>100020</v>
      </c>
      <c r="B23" s="16" t="str">
        <f t="shared" si="1"/>
        <v>全弹齐发</v>
      </c>
      <c r="C23" s="16" t="str">
        <f>表1[[#This Row],[name]]&amp;"+1"</f>
        <v>全弹齐发+1</v>
      </c>
      <c r="D23" s="48" t="str">
        <f>[1]!颜色转换成内嵌函数()</f>
        <v>※color(88,214,202)[]</v>
      </c>
      <c r="E23" s="16">
        <f t="shared" si="2"/>
        <v>5</v>
      </c>
      <c r="F23" s="16" t="str">
        <f>IF(表1[[#This Row],[level]]+1=E24,A24,"")</f>
        <v/>
      </c>
      <c r="G23" s="16" t="s">
        <v>113</v>
      </c>
      <c r="H23" s="16" t="str">
        <f t="shared" si="0"/>
        <v>23~30</v>
      </c>
      <c r="I23" s="17" t="s">
        <v>181</v>
      </c>
      <c r="J23" s="17" t="s">
        <v>117</v>
      </c>
      <c r="K23" s="16"/>
      <c r="L23" s="16" t="s">
        <v>152</v>
      </c>
      <c r="M23" s="7"/>
      <c r="N23" s="7"/>
      <c r="O23" s="8" t="s">
        <v>27</v>
      </c>
      <c r="P23" s="8" t="s">
        <v>85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6">
        <v>100021</v>
      </c>
      <c r="B24" s="16" t="str">
        <f t="shared" si="1"/>
        <v>散射</v>
      </c>
      <c r="C24" s="16" t="str">
        <f>表1[[#This Row],[name]]&amp;"+1"</f>
        <v>散射+1</v>
      </c>
      <c r="D24" s="49" t="str">
        <f>[1]!颜色转换成内嵌函数()</f>
        <v>※color(93,152,171)[]</v>
      </c>
      <c r="E24" s="16">
        <f t="shared" si="2"/>
        <v>1</v>
      </c>
      <c r="F24" s="16">
        <f>IF(表1[[#This Row],[level]]+1=E25,A25,"")</f>
        <v>100022</v>
      </c>
      <c r="G24" s="16" t="s">
        <v>113</v>
      </c>
      <c r="H24" s="16" t="str">
        <f t="shared" si="0"/>
        <v>5~12</v>
      </c>
      <c r="I24" s="17" t="s">
        <v>182</v>
      </c>
      <c r="J24" s="17" t="s">
        <v>117</v>
      </c>
      <c r="K24" s="16"/>
      <c r="L24" s="16" t="s">
        <v>153</v>
      </c>
      <c r="M24" s="7"/>
      <c r="N24" s="7"/>
      <c r="O24" s="8" t="s">
        <v>28</v>
      </c>
      <c r="P24" s="8" t="s">
        <v>87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6">
        <v>100022</v>
      </c>
      <c r="B25" s="16" t="str">
        <f t="shared" si="1"/>
        <v>散射</v>
      </c>
      <c r="C25" s="16" t="str">
        <f>表1[[#This Row],[name]]&amp;"+1"</f>
        <v>散射+1</v>
      </c>
      <c r="D25" s="49" t="str">
        <f>[1]!颜色转换成内嵌函数()</f>
        <v>※color(93,152,171)[]</v>
      </c>
      <c r="E25" s="16">
        <f t="shared" si="2"/>
        <v>2</v>
      </c>
      <c r="F25" s="16">
        <f>IF(表1[[#This Row],[level]]+1=E26,A26,"")</f>
        <v>100023</v>
      </c>
      <c r="G25" s="16" t="s">
        <v>113</v>
      </c>
      <c r="H25" s="16" t="str">
        <f t="shared" si="0"/>
        <v>10~17</v>
      </c>
      <c r="I25" s="17" t="s">
        <v>182</v>
      </c>
      <c r="J25" s="17" t="s">
        <v>117</v>
      </c>
      <c r="K25" s="16"/>
      <c r="L25" s="16" t="s">
        <v>153</v>
      </c>
      <c r="M25" s="7"/>
      <c r="N25" s="7"/>
      <c r="O25" s="8" t="s">
        <v>28</v>
      </c>
      <c r="P25" s="8" t="s">
        <v>88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6">
        <v>100023</v>
      </c>
      <c r="B26" s="16" t="str">
        <f t="shared" si="1"/>
        <v>散射</v>
      </c>
      <c r="C26" s="16" t="str">
        <f>表1[[#This Row],[name]]&amp;"+1"</f>
        <v>散射+1</v>
      </c>
      <c r="D26" s="49" t="str">
        <f>[1]!颜色转换成内嵌函数()</f>
        <v>※color(93,152,171)[]</v>
      </c>
      <c r="E26" s="16">
        <f t="shared" si="2"/>
        <v>3</v>
      </c>
      <c r="F26" s="16">
        <f>IF(表1[[#This Row],[level]]+1=E27,A27,"")</f>
        <v>100024</v>
      </c>
      <c r="G26" s="16" t="s">
        <v>113</v>
      </c>
      <c r="H26" s="16" t="str">
        <f t="shared" si="0"/>
        <v>14~21</v>
      </c>
      <c r="I26" s="17" t="s">
        <v>182</v>
      </c>
      <c r="J26" s="17" t="s">
        <v>117</v>
      </c>
      <c r="K26" s="16"/>
      <c r="L26" s="16" t="s">
        <v>153</v>
      </c>
      <c r="M26" s="7"/>
      <c r="N26" s="7"/>
      <c r="O26" s="8" t="s">
        <v>28</v>
      </c>
      <c r="P26" s="8" t="s">
        <v>87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6">
        <v>100024</v>
      </c>
      <c r="B27" s="16" t="str">
        <f t="shared" si="1"/>
        <v>散射</v>
      </c>
      <c r="C27" s="16" t="str">
        <f>表1[[#This Row],[name]]&amp;"+1"</f>
        <v>散射+1</v>
      </c>
      <c r="D27" s="49" t="str">
        <f>[1]!颜色转换成内嵌函数()</f>
        <v>※color(93,152,171)[]</v>
      </c>
      <c r="E27" s="16">
        <f t="shared" si="2"/>
        <v>4</v>
      </c>
      <c r="F27" s="16">
        <f>IF(表1[[#This Row],[level]]+1=E28,A28,"")</f>
        <v>100025</v>
      </c>
      <c r="G27" s="16" t="s">
        <v>113</v>
      </c>
      <c r="H27" s="16" t="str">
        <f t="shared" si="0"/>
        <v>19~26</v>
      </c>
      <c r="I27" s="17" t="s">
        <v>182</v>
      </c>
      <c r="J27" s="17" t="s">
        <v>117</v>
      </c>
      <c r="K27" s="16"/>
      <c r="L27" s="16" t="s">
        <v>154</v>
      </c>
      <c r="M27" s="7"/>
      <c r="N27" s="7"/>
      <c r="O27" s="8" t="s">
        <v>28</v>
      </c>
      <c r="P27" s="8" t="s">
        <v>89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6">
        <v>100025</v>
      </c>
      <c r="B28" s="16" t="str">
        <f t="shared" si="1"/>
        <v>散射</v>
      </c>
      <c r="C28" s="16" t="str">
        <f>表1[[#This Row],[name]]&amp;"+1"</f>
        <v>散射+1</v>
      </c>
      <c r="D28" s="49" t="str">
        <f>[1]!颜色转换成内嵌函数()</f>
        <v>※color(93,152,171)[]</v>
      </c>
      <c r="E28" s="16">
        <f t="shared" si="2"/>
        <v>5</v>
      </c>
      <c r="F28" s="16" t="str">
        <f>IF(表1[[#This Row],[level]]+1=E29,A29,"")</f>
        <v/>
      </c>
      <c r="G28" s="16" t="s">
        <v>113</v>
      </c>
      <c r="H28" s="16" t="str">
        <f t="shared" si="0"/>
        <v>23~30</v>
      </c>
      <c r="I28" s="17" t="s">
        <v>182</v>
      </c>
      <c r="J28" s="17" t="s">
        <v>117</v>
      </c>
      <c r="K28" s="16"/>
      <c r="L28" s="16" t="s">
        <v>154</v>
      </c>
      <c r="M28" s="7"/>
      <c r="N28" s="7"/>
      <c r="O28" s="8" t="s">
        <v>28</v>
      </c>
      <c r="P28" s="8" t="s">
        <v>89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6">
        <v>100026</v>
      </c>
      <c r="B29" s="16" t="str">
        <f t="shared" si="1"/>
        <v>汽油弹</v>
      </c>
      <c r="C29" s="16" t="str">
        <f>表1[[#This Row],[name]]&amp;"+1"</f>
        <v>汽油弹+1</v>
      </c>
      <c r="D29" s="50" t="str">
        <f>[1]!颜色转换成内嵌函数()</f>
        <v>※color(186,122,36)[]</v>
      </c>
      <c r="E29" s="16">
        <f t="shared" si="2"/>
        <v>1</v>
      </c>
      <c r="F29" s="16">
        <f>IF(表1[[#This Row],[level]]+1=E30,A30,"")</f>
        <v>100027</v>
      </c>
      <c r="G29" s="16" t="s">
        <v>113</v>
      </c>
      <c r="H29" s="16" t="str">
        <f t="shared" si="0"/>
        <v>5~12</v>
      </c>
      <c r="I29" s="17" t="s">
        <v>183</v>
      </c>
      <c r="J29" s="17" t="s">
        <v>117</v>
      </c>
      <c r="K29" s="16"/>
      <c r="L29" s="16" t="s">
        <v>155</v>
      </c>
      <c r="M29" s="7"/>
      <c r="N29" s="7"/>
      <c r="O29" s="8" t="s">
        <v>29</v>
      </c>
      <c r="P29" s="8" t="s">
        <v>90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6">
        <v>100027</v>
      </c>
      <c r="B30" s="16" t="str">
        <f t="shared" si="1"/>
        <v>汽油弹</v>
      </c>
      <c r="C30" s="16" t="str">
        <f>表1[[#This Row],[name]]&amp;"+1"</f>
        <v>汽油弹+1</v>
      </c>
      <c r="D30" s="50" t="str">
        <f>[1]!颜色转换成内嵌函数()</f>
        <v>※color(186,122,36)[]</v>
      </c>
      <c r="E30" s="16">
        <f t="shared" si="2"/>
        <v>2</v>
      </c>
      <c r="F30" s="16">
        <f>IF(表1[[#This Row],[level]]+1=E31,A31,"")</f>
        <v>100028</v>
      </c>
      <c r="G30" s="16" t="s">
        <v>113</v>
      </c>
      <c r="H30" s="16" t="str">
        <f t="shared" si="0"/>
        <v>10~17</v>
      </c>
      <c r="I30" s="17" t="s">
        <v>183</v>
      </c>
      <c r="J30" s="17" t="s">
        <v>117</v>
      </c>
      <c r="K30" s="16"/>
      <c r="L30" s="16" t="s">
        <v>155</v>
      </c>
      <c r="M30" s="7"/>
      <c r="N30" s="7"/>
      <c r="O30" s="8" t="s">
        <v>29</v>
      </c>
      <c r="P30" s="8" t="s">
        <v>91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6">
        <v>100028</v>
      </c>
      <c r="B31" s="16" t="str">
        <f t="shared" si="1"/>
        <v>汽油弹</v>
      </c>
      <c r="C31" s="16" t="str">
        <f>表1[[#This Row],[name]]&amp;"+1"</f>
        <v>汽油弹+1</v>
      </c>
      <c r="D31" s="50" t="str">
        <f>[1]!颜色转换成内嵌函数()</f>
        <v>※color(186,122,36)[]</v>
      </c>
      <c r="E31" s="16">
        <f t="shared" si="2"/>
        <v>3</v>
      </c>
      <c r="F31" s="16">
        <f>IF(表1[[#This Row],[level]]+1=E32,A32,"")</f>
        <v>100029</v>
      </c>
      <c r="G31" s="16" t="s">
        <v>113</v>
      </c>
      <c r="H31" s="16" t="str">
        <f t="shared" si="0"/>
        <v>14~21</v>
      </c>
      <c r="I31" s="17" t="s">
        <v>183</v>
      </c>
      <c r="J31" s="17" t="s">
        <v>117</v>
      </c>
      <c r="K31" s="16"/>
      <c r="L31" s="16" t="s">
        <v>155</v>
      </c>
      <c r="M31" s="7"/>
      <c r="N31" s="7"/>
      <c r="O31" s="8" t="s">
        <v>29</v>
      </c>
      <c r="P31" s="8" t="s">
        <v>92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6">
        <v>100029</v>
      </c>
      <c r="B32" s="16" t="str">
        <f t="shared" si="1"/>
        <v>汽油弹</v>
      </c>
      <c r="C32" s="16" t="str">
        <f>表1[[#This Row],[name]]&amp;"+1"</f>
        <v>汽油弹+1</v>
      </c>
      <c r="D32" s="50" t="str">
        <f>[1]!颜色转换成内嵌函数()</f>
        <v>※color(186,122,36)[]</v>
      </c>
      <c r="E32" s="16">
        <f t="shared" si="2"/>
        <v>4</v>
      </c>
      <c r="F32" s="16">
        <f>IF(表1[[#This Row],[level]]+1=E33,A33,"")</f>
        <v>100030</v>
      </c>
      <c r="G32" s="16" t="s">
        <v>113</v>
      </c>
      <c r="H32" s="16" t="str">
        <f t="shared" si="0"/>
        <v>19~26</v>
      </c>
      <c r="I32" s="17" t="s">
        <v>183</v>
      </c>
      <c r="J32" s="17" t="s">
        <v>117</v>
      </c>
      <c r="K32" s="16"/>
      <c r="L32" s="16" t="s">
        <v>155</v>
      </c>
      <c r="M32" s="7"/>
      <c r="N32" s="7"/>
      <c r="O32" s="8" t="s">
        <v>29</v>
      </c>
      <c r="P32" s="8" t="s">
        <v>92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6">
        <v>100030</v>
      </c>
      <c r="B33" s="16" t="str">
        <f t="shared" si="1"/>
        <v>汽油弹</v>
      </c>
      <c r="C33" s="16" t="str">
        <f>表1[[#This Row],[name]]&amp;"+1"</f>
        <v>汽油弹+1</v>
      </c>
      <c r="D33" s="50" t="str">
        <f>[1]!颜色转换成内嵌函数()</f>
        <v>※color(186,122,36)[]</v>
      </c>
      <c r="E33" s="16">
        <f t="shared" si="2"/>
        <v>5</v>
      </c>
      <c r="F33" s="16" t="str">
        <f>IF(表1[[#This Row],[level]]+1=E34,A34,"")</f>
        <v/>
      </c>
      <c r="G33" s="16" t="s">
        <v>113</v>
      </c>
      <c r="H33" s="16" t="str">
        <f t="shared" si="0"/>
        <v>23~30</v>
      </c>
      <c r="I33" s="17" t="s">
        <v>183</v>
      </c>
      <c r="J33" s="17" t="s">
        <v>117</v>
      </c>
      <c r="K33" s="16"/>
      <c r="L33" s="16" t="s">
        <v>155</v>
      </c>
      <c r="M33" s="7"/>
      <c r="N33" s="7"/>
      <c r="O33" s="8" t="s">
        <v>29</v>
      </c>
      <c r="P33" s="8" t="s">
        <v>93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6">
        <v>100031</v>
      </c>
      <c r="B34" s="16" t="str">
        <f t="shared" si="1"/>
        <v>炫光射线</v>
      </c>
      <c r="C34" s="16" t="str">
        <f>表1[[#This Row],[name]]&amp;"+1"</f>
        <v>炫光射线+1</v>
      </c>
      <c r="D34" s="45" t="str">
        <f>[1]!颜色转换成内嵌函数()</f>
        <v>※color(181,79,79)[]</v>
      </c>
      <c r="E34" s="16">
        <f t="shared" si="2"/>
        <v>1</v>
      </c>
      <c r="F34" s="16">
        <f>IF(表1[[#This Row],[level]]+1=E35,A35,"")</f>
        <v>100032</v>
      </c>
      <c r="G34" s="16" t="s">
        <v>113</v>
      </c>
      <c r="H34" s="16" t="str">
        <f t="shared" si="0"/>
        <v>5~12</v>
      </c>
      <c r="I34" s="17" t="s">
        <v>184</v>
      </c>
      <c r="J34" s="17" t="s">
        <v>117</v>
      </c>
      <c r="K34" s="16"/>
      <c r="L34" s="16" t="s">
        <v>156</v>
      </c>
      <c r="M34" s="7"/>
      <c r="N34" s="7"/>
      <c r="O34" s="8" t="s">
        <v>30</v>
      </c>
      <c r="P34" s="8" t="s">
        <v>94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6">
        <v>100032</v>
      </c>
      <c r="B35" s="16" t="str">
        <f t="shared" si="1"/>
        <v>炫光射线</v>
      </c>
      <c r="C35" s="16" t="str">
        <f>表1[[#This Row],[name]]&amp;"+1"</f>
        <v>炫光射线+1</v>
      </c>
      <c r="D35" s="45" t="str">
        <f>[1]!颜色转换成内嵌函数()</f>
        <v>※color(181,79,79)[]</v>
      </c>
      <c r="E35" s="16">
        <f t="shared" si="2"/>
        <v>2</v>
      </c>
      <c r="F35" s="16">
        <f>IF(表1[[#This Row],[level]]+1=E36,A36,"")</f>
        <v>100033</v>
      </c>
      <c r="G35" s="16" t="s">
        <v>113</v>
      </c>
      <c r="H35" s="16" t="str">
        <f t="shared" si="0"/>
        <v>10~17</v>
      </c>
      <c r="I35" s="17" t="s">
        <v>184</v>
      </c>
      <c r="J35" s="17" t="s">
        <v>117</v>
      </c>
      <c r="K35" s="16"/>
      <c r="L35" s="16" t="s">
        <v>156</v>
      </c>
      <c r="M35" s="7"/>
      <c r="N35" s="7"/>
      <c r="O35" s="8" t="s">
        <v>30</v>
      </c>
      <c r="P35" s="8" t="s">
        <v>95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6">
        <v>100033</v>
      </c>
      <c r="B36" s="16" t="str">
        <f t="shared" si="1"/>
        <v>炫光射线</v>
      </c>
      <c r="C36" s="16" t="str">
        <f>表1[[#This Row],[name]]&amp;"+1"</f>
        <v>炫光射线+1</v>
      </c>
      <c r="D36" s="45" t="str">
        <f>[1]!颜色转换成内嵌函数()</f>
        <v>※color(181,79,79)[]</v>
      </c>
      <c r="E36" s="16">
        <f t="shared" si="2"/>
        <v>3</v>
      </c>
      <c r="F36" s="16">
        <f>IF(表1[[#This Row],[level]]+1=E37,A37,"")</f>
        <v>100034</v>
      </c>
      <c r="G36" s="16" t="s">
        <v>113</v>
      </c>
      <c r="H36" s="16" t="str">
        <f t="shared" si="0"/>
        <v>14~21</v>
      </c>
      <c r="I36" s="17" t="s">
        <v>184</v>
      </c>
      <c r="J36" s="17" t="s">
        <v>117</v>
      </c>
      <c r="K36" s="16"/>
      <c r="L36" s="16" t="s">
        <v>157</v>
      </c>
      <c r="M36" s="7"/>
      <c r="N36" s="7"/>
      <c r="O36" s="8" t="s">
        <v>30</v>
      </c>
      <c r="P36" s="8" t="s">
        <v>96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6">
        <v>100034</v>
      </c>
      <c r="B37" s="16" t="str">
        <f t="shared" si="1"/>
        <v>炫光射线</v>
      </c>
      <c r="C37" s="16" t="str">
        <f>表1[[#This Row],[name]]&amp;"+1"</f>
        <v>炫光射线+1</v>
      </c>
      <c r="D37" s="45" t="str">
        <f>[1]!颜色转换成内嵌函数()</f>
        <v>※color(181,79,79)[]</v>
      </c>
      <c r="E37" s="16">
        <f t="shared" si="2"/>
        <v>4</v>
      </c>
      <c r="F37" s="16">
        <f>IF(表1[[#This Row],[level]]+1=E38,A38,"")</f>
        <v>100035</v>
      </c>
      <c r="G37" s="16" t="s">
        <v>113</v>
      </c>
      <c r="H37" s="16" t="str">
        <f t="shared" si="0"/>
        <v>19~26</v>
      </c>
      <c r="I37" s="17" t="s">
        <v>184</v>
      </c>
      <c r="J37" s="17" t="s">
        <v>117</v>
      </c>
      <c r="K37" s="16"/>
      <c r="L37" s="16" t="s">
        <v>156</v>
      </c>
      <c r="M37" s="7"/>
      <c r="N37" s="7"/>
      <c r="O37" s="8" t="s">
        <v>30</v>
      </c>
      <c r="P37" s="8" t="s">
        <v>94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6">
        <v>100035</v>
      </c>
      <c r="B38" s="16" t="str">
        <f t="shared" si="1"/>
        <v>炫光射线</v>
      </c>
      <c r="C38" s="16" t="str">
        <f>表1[[#This Row],[name]]&amp;"+1"</f>
        <v>炫光射线+1</v>
      </c>
      <c r="D38" s="45" t="str">
        <f>[1]!颜色转换成内嵌函数()</f>
        <v>※color(181,79,79)[]</v>
      </c>
      <c r="E38" s="16">
        <f t="shared" si="2"/>
        <v>5</v>
      </c>
      <c r="F38" s="16" t="str">
        <f>IF(表1[[#This Row],[level]]+1=E39,A39,"")</f>
        <v/>
      </c>
      <c r="G38" s="16" t="s">
        <v>113</v>
      </c>
      <c r="H38" s="16" t="str">
        <f t="shared" si="0"/>
        <v>23~30</v>
      </c>
      <c r="I38" s="17" t="s">
        <v>184</v>
      </c>
      <c r="J38" s="17" t="s">
        <v>117</v>
      </c>
      <c r="K38" s="16"/>
      <c r="L38" s="16" t="s">
        <v>157</v>
      </c>
      <c r="M38" s="7"/>
      <c r="N38" s="7"/>
      <c r="O38" s="8" t="s">
        <v>30</v>
      </c>
      <c r="P38" s="8" t="s">
        <v>97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6">
        <v>100036</v>
      </c>
      <c r="B39" s="16" t="str">
        <f t="shared" si="1"/>
        <v>精神错乱</v>
      </c>
      <c r="C39" s="16" t="str">
        <f>表1[[#This Row],[name]]&amp;"+1"</f>
        <v>精神错乱+1</v>
      </c>
      <c r="D39" s="46" t="str">
        <f>[1]!颜色转换成内嵌函数()</f>
        <v>※color(181,79,162)[]</v>
      </c>
      <c r="E39" s="16">
        <f t="shared" si="2"/>
        <v>1</v>
      </c>
      <c r="F39" s="16">
        <f>IF(表1[[#This Row],[level]]+1=E40,A40,"")</f>
        <v>100037</v>
      </c>
      <c r="G39" s="16" t="s">
        <v>113</v>
      </c>
      <c r="H39" s="16" t="str">
        <f t="shared" si="0"/>
        <v>5~12</v>
      </c>
      <c r="I39" s="17" t="s">
        <v>185</v>
      </c>
      <c r="J39" s="17" t="s">
        <v>117</v>
      </c>
      <c r="K39" s="16"/>
      <c r="L39" s="16" t="s">
        <v>158</v>
      </c>
      <c r="M39" s="7"/>
      <c r="N39" s="7"/>
      <c r="O39" s="8" t="s">
        <v>31</v>
      </c>
      <c r="P39" s="8" t="s">
        <v>98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6">
        <v>100037</v>
      </c>
      <c r="B40" s="16" t="str">
        <f t="shared" si="1"/>
        <v>精神错乱</v>
      </c>
      <c r="C40" s="16" t="str">
        <f>表1[[#This Row],[name]]&amp;"+1"</f>
        <v>精神错乱+1</v>
      </c>
      <c r="D40" s="46" t="str">
        <f>[1]!颜色转换成内嵌函数()</f>
        <v>※color(181,79,162)[]</v>
      </c>
      <c r="E40" s="16">
        <f t="shared" si="2"/>
        <v>2</v>
      </c>
      <c r="F40" s="16">
        <f>IF(表1[[#This Row],[level]]+1=E41,A41,"")</f>
        <v>100038</v>
      </c>
      <c r="G40" s="16" t="s">
        <v>113</v>
      </c>
      <c r="H40" s="16" t="str">
        <f t="shared" si="0"/>
        <v>10~17</v>
      </c>
      <c r="I40" s="17" t="s">
        <v>185</v>
      </c>
      <c r="J40" s="17" t="s">
        <v>117</v>
      </c>
      <c r="K40" s="16"/>
      <c r="L40" s="16" t="s">
        <v>158</v>
      </c>
      <c r="M40" s="7"/>
      <c r="N40" s="7"/>
      <c r="O40" s="8" t="s">
        <v>31</v>
      </c>
      <c r="P40" s="8" t="s">
        <v>98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6">
        <v>100038</v>
      </c>
      <c r="B41" s="16" t="str">
        <f t="shared" si="1"/>
        <v>精神错乱</v>
      </c>
      <c r="C41" s="16" t="str">
        <f>表1[[#This Row],[name]]&amp;"+1"</f>
        <v>精神错乱+1</v>
      </c>
      <c r="D41" s="46" t="str">
        <f>[1]!颜色转换成内嵌函数()</f>
        <v>※color(181,79,162)[]</v>
      </c>
      <c r="E41" s="16">
        <f t="shared" si="2"/>
        <v>3</v>
      </c>
      <c r="F41" s="16">
        <f>IF(表1[[#This Row],[level]]+1=E42,A42,"")</f>
        <v>100039</v>
      </c>
      <c r="G41" s="16" t="s">
        <v>113</v>
      </c>
      <c r="H41" s="16" t="str">
        <f t="shared" si="0"/>
        <v>14~21</v>
      </c>
      <c r="I41" s="17" t="s">
        <v>185</v>
      </c>
      <c r="J41" s="17" t="s">
        <v>117</v>
      </c>
      <c r="K41" s="16"/>
      <c r="L41" s="16" t="s">
        <v>158</v>
      </c>
      <c r="M41" s="7"/>
      <c r="N41" s="7"/>
      <c r="O41" s="8" t="s">
        <v>31</v>
      </c>
      <c r="P41" s="8" t="s">
        <v>98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6">
        <v>100039</v>
      </c>
      <c r="B42" s="16" t="str">
        <f t="shared" si="1"/>
        <v>精神错乱</v>
      </c>
      <c r="C42" s="16" t="str">
        <f>表1[[#This Row],[name]]&amp;"+1"</f>
        <v>精神错乱+1</v>
      </c>
      <c r="D42" s="46" t="str">
        <f>[1]!颜色转换成内嵌函数()</f>
        <v>※color(181,79,162)[]</v>
      </c>
      <c r="E42" s="16">
        <f t="shared" si="2"/>
        <v>4</v>
      </c>
      <c r="F42" s="16">
        <f>IF(表1[[#This Row],[level]]+1=E43,A43,"")</f>
        <v>100040</v>
      </c>
      <c r="G42" s="16" t="s">
        <v>113</v>
      </c>
      <c r="H42" s="16" t="str">
        <f t="shared" si="0"/>
        <v>19~26</v>
      </c>
      <c r="I42" s="17" t="s">
        <v>185</v>
      </c>
      <c r="J42" s="17" t="s">
        <v>117</v>
      </c>
      <c r="K42" s="16"/>
      <c r="L42" s="16" t="s">
        <v>158</v>
      </c>
      <c r="M42" s="7"/>
      <c r="N42" s="7"/>
      <c r="O42" s="8" t="s">
        <v>31</v>
      </c>
      <c r="P42" s="8" t="s">
        <v>98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6">
        <v>100040</v>
      </c>
      <c r="B43" s="16" t="str">
        <f t="shared" si="1"/>
        <v>精神错乱</v>
      </c>
      <c r="C43" s="16" t="str">
        <f>表1[[#This Row],[name]]&amp;"+1"</f>
        <v>精神错乱+1</v>
      </c>
      <c r="D43" s="46" t="str">
        <f>[1]!颜色转换成内嵌函数()</f>
        <v>※color(181,79,162)[]</v>
      </c>
      <c r="E43" s="16">
        <f t="shared" si="2"/>
        <v>5</v>
      </c>
      <c r="F43" s="16" t="str">
        <f>IF(表1[[#This Row],[level]]+1=E44,A44,"")</f>
        <v/>
      </c>
      <c r="G43" s="16" t="s">
        <v>113</v>
      </c>
      <c r="H43" s="16" t="str">
        <f t="shared" si="0"/>
        <v>23~30</v>
      </c>
      <c r="I43" s="17" t="s">
        <v>185</v>
      </c>
      <c r="J43" s="17" t="s">
        <v>117</v>
      </c>
      <c r="K43" s="16"/>
      <c r="L43" s="16" t="s">
        <v>158</v>
      </c>
      <c r="M43" s="7"/>
      <c r="N43" s="7"/>
      <c r="O43" s="8" t="s">
        <v>31</v>
      </c>
      <c r="P43" s="8" t="s">
        <v>98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6">
        <v>100041</v>
      </c>
      <c r="B44" s="16" t="str">
        <f t="shared" si="1"/>
        <v>变形</v>
      </c>
      <c r="C44" s="16" t="str">
        <f>表1[[#This Row],[name]]&amp;"+1"</f>
        <v>变形+1</v>
      </c>
      <c r="D44" s="47" t="str">
        <f>[1]!颜色转换成内嵌函数()</f>
        <v>※color(195,213,89)[]</v>
      </c>
      <c r="E44" s="16">
        <f t="shared" si="2"/>
        <v>1</v>
      </c>
      <c r="F44" s="16">
        <f>IF(表1[[#This Row],[level]]+1=E45,A45,"")</f>
        <v>100042</v>
      </c>
      <c r="G44" s="16" t="s">
        <v>113</v>
      </c>
      <c r="H44" s="16" t="str">
        <f t="shared" si="0"/>
        <v>5~12</v>
      </c>
      <c r="I44" s="17" t="s">
        <v>186</v>
      </c>
      <c r="J44" s="17" t="s">
        <v>117</v>
      </c>
      <c r="K44" s="16"/>
      <c r="L44" s="16" t="s">
        <v>159</v>
      </c>
      <c r="M44" s="7"/>
      <c r="N44" s="7"/>
      <c r="O44" s="8" t="s">
        <v>32</v>
      </c>
      <c r="P44" s="8" t="s">
        <v>100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6">
        <v>100042</v>
      </c>
      <c r="B45" s="16" t="str">
        <f t="shared" si="1"/>
        <v>变形</v>
      </c>
      <c r="C45" s="16" t="str">
        <f>表1[[#This Row],[name]]&amp;"+1"</f>
        <v>变形+1</v>
      </c>
      <c r="D45" s="47" t="str">
        <f>[1]!颜色转换成内嵌函数()</f>
        <v>※color(195,213,89)[]</v>
      </c>
      <c r="E45" s="16">
        <f t="shared" si="2"/>
        <v>2</v>
      </c>
      <c r="F45" s="16">
        <f>IF(表1[[#This Row],[level]]+1=E46,A46,"")</f>
        <v>100043</v>
      </c>
      <c r="G45" s="16" t="s">
        <v>113</v>
      </c>
      <c r="H45" s="16" t="str">
        <f t="shared" si="0"/>
        <v>10~17</v>
      </c>
      <c r="I45" s="17" t="s">
        <v>186</v>
      </c>
      <c r="J45" s="17" t="s">
        <v>117</v>
      </c>
      <c r="K45" s="16"/>
      <c r="L45" s="16" t="s">
        <v>159</v>
      </c>
      <c r="M45" s="7"/>
      <c r="N45" s="7"/>
      <c r="O45" s="8" t="s">
        <v>32</v>
      </c>
      <c r="P45" s="8" t="s">
        <v>99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6">
        <v>100043</v>
      </c>
      <c r="B46" s="16" t="str">
        <f t="shared" si="1"/>
        <v>变形</v>
      </c>
      <c r="C46" s="16" t="str">
        <f>表1[[#This Row],[name]]&amp;"+1"</f>
        <v>变形+1</v>
      </c>
      <c r="D46" s="47" t="str">
        <f>[1]!颜色转换成内嵌函数()</f>
        <v>※color(195,213,89)[]</v>
      </c>
      <c r="E46" s="16">
        <f t="shared" si="2"/>
        <v>3</v>
      </c>
      <c r="F46" s="16">
        <f>IF(表1[[#This Row],[level]]+1=E47,A47,"")</f>
        <v>100044</v>
      </c>
      <c r="G46" s="16" t="s">
        <v>113</v>
      </c>
      <c r="H46" s="16" t="str">
        <f t="shared" si="0"/>
        <v>14~21</v>
      </c>
      <c r="I46" s="17" t="s">
        <v>186</v>
      </c>
      <c r="J46" s="17" t="s">
        <v>117</v>
      </c>
      <c r="K46" s="16"/>
      <c r="L46" s="16" t="s">
        <v>159</v>
      </c>
      <c r="M46" s="7"/>
      <c r="N46" s="7"/>
      <c r="O46" s="8" t="s">
        <v>32</v>
      </c>
      <c r="P46" s="8" t="s">
        <v>101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6">
        <v>100044</v>
      </c>
      <c r="B47" s="16" t="str">
        <f t="shared" si="1"/>
        <v>变形</v>
      </c>
      <c r="C47" s="16" t="str">
        <f>表1[[#This Row],[name]]&amp;"+1"</f>
        <v>变形+1</v>
      </c>
      <c r="D47" s="47" t="str">
        <f>[1]!颜色转换成内嵌函数()</f>
        <v>※color(195,213,89)[]</v>
      </c>
      <c r="E47" s="16">
        <f t="shared" si="2"/>
        <v>4</v>
      </c>
      <c r="F47" s="16">
        <f>IF(表1[[#This Row],[level]]+1=E48,A48,"")</f>
        <v>100045</v>
      </c>
      <c r="G47" s="16" t="s">
        <v>113</v>
      </c>
      <c r="H47" s="16" t="str">
        <f t="shared" si="0"/>
        <v>19~26</v>
      </c>
      <c r="I47" s="17" t="s">
        <v>186</v>
      </c>
      <c r="J47" s="17" t="s">
        <v>117</v>
      </c>
      <c r="K47" s="16"/>
      <c r="L47" s="16" t="s">
        <v>160</v>
      </c>
      <c r="M47" s="7"/>
      <c r="N47" s="7"/>
      <c r="O47" s="8" t="s">
        <v>32</v>
      </c>
      <c r="P47" s="8" t="s">
        <v>102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6">
        <v>100045</v>
      </c>
      <c r="B48" s="16" t="str">
        <f t="shared" si="1"/>
        <v>变形</v>
      </c>
      <c r="C48" s="16" t="str">
        <f>表1[[#This Row],[name]]&amp;"+1"</f>
        <v>变形+1</v>
      </c>
      <c r="D48" s="47" t="str">
        <f>[1]!颜色转换成内嵌函数()</f>
        <v>※color(195,213,89)[]</v>
      </c>
      <c r="E48" s="16">
        <f t="shared" si="2"/>
        <v>5</v>
      </c>
      <c r="F48" s="16" t="str">
        <f>IF(表1[[#This Row],[level]]+1=E49,A49,"")</f>
        <v/>
      </c>
      <c r="G48" s="16" t="s">
        <v>113</v>
      </c>
      <c r="H48" s="16" t="str">
        <f t="shared" si="0"/>
        <v>23~30</v>
      </c>
      <c r="I48" s="17" t="s">
        <v>186</v>
      </c>
      <c r="J48" s="17" t="s">
        <v>117</v>
      </c>
      <c r="K48" s="16"/>
      <c r="L48" s="16" t="s">
        <v>159</v>
      </c>
      <c r="M48" s="7"/>
      <c r="N48" s="7"/>
      <c r="O48" s="8" t="s">
        <v>32</v>
      </c>
      <c r="P48" s="8" t="s">
        <v>103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6">
        <v>100046</v>
      </c>
      <c r="B49" s="16" t="str">
        <f t="shared" si="1"/>
        <v>奴役</v>
      </c>
      <c r="C49" s="16" t="str">
        <f>表1[[#This Row],[name]]&amp;"+1"</f>
        <v>奴役+1</v>
      </c>
      <c r="D49" s="48" t="str">
        <f>[1]!颜色转换成内嵌函数()</f>
        <v>※color(88,214,202)[]</v>
      </c>
      <c r="E49" s="16">
        <f t="shared" si="2"/>
        <v>1</v>
      </c>
      <c r="F49" s="16">
        <f>IF(表1[[#This Row],[level]]+1=E50,A50,"")</f>
        <v>100047</v>
      </c>
      <c r="G49" s="16" t="s">
        <v>113</v>
      </c>
      <c r="H49" s="16" t="str">
        <f t="shared" si="0"/>
        <v>5~12</v>
      </c>
      <c r="I49" s="17" t="s">
        <v>187</v>
      </c>
      <c r="J49" s="17" t="s">
        <v>119</v>
      </c>
      <c r="K49" s="16"/>
      <c r="L49" s="16" t="s">
        <v>161</v>
      </c>
      <c r="M49" s="7"/>
      <c r="N49" s="7"/>
      <c r="O49" s="8" t="s">
        <v>33</v>
      </c>
      <c r="P49" s="8" t="s">
        <v>104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6">
        <v>100047</v>
      </c>
      <c r="B50" s="16" t="str">
        <f t="shared" si="1"/>
        <v>奴役</v>
      </c>
      <c r="C50" s="16" t="str">
        <f>表1[[#This Row],[name]]&amp;"+1"</f>
        <v>奴役+1</v>
      </c>
      <c r="D50" s="48" t="str">
        <f>[1]!颜色转换成内嵌函数()</f>
        <v>※color(88,214,202)[]</v>
      </c>
      <c r="E50" s="16">
        <f t="shared" si="2"/>
        <v>2</v>
      </c>
      <c r="F50" s="16">
        <f>IF(表1[[#This Row],[level]]+1=E51,A51,"")</f>
        <v>100048</v>
      </c>
      <c r="G50" s="16" t="s">
        <v>113</v>
      </c>
      <c r="H50" s="16" t="str">
        <f t="shared" si="0"/>
        <v>10~17</v>
      </c>
      <c r="I50" s="17" t="s">
        <v>187</v>
      </c>
      <c r="J50" s="17" t="s">
        <v>119</v>
      </c>
      <c r="K50" s="16"/>
      <c r="L50" s="16" t="s">
        <v>162</v>
      </c>
      <c r="M50" s="7"/>
      <c r="N50" s="7"/>
      <c r="O50" s="8" t="s">
        <v>33</v>
      </c>
      <c r="P50" s="8" t="s">
        <v>105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6">
        <v>100048</v>
      </c>
      <c r="B51" s="16" t="str">
        <f t="shared" si="1"/>
        <v>奴役</v>
      </c>
      <c r="C51" s="16" t="str">
        <f>表1[[#This Row],[name]]&amp;"+1"</f>
        <v>奴役+1</v>
      </c>
      <c r="D51" s="48" t="str">
        <f>[1]!颜色转换成内嵌函数()</f>
        <v>※color(88,214,202)[]</v>
      </c>
      <c r="E51" s="16">
        <f t="shared" si="2"/>
        <v>3</v>
      </c>
      <c r="F51" s="16">
        <f>IF(表1[[#This Row],[level]]+1=E52,A52,"")</f>
        <v>100049</v>
      </c>
      <c r="G51" s="16" t="s">
        <v>113</v>
      </c>
      <c r="H51" s="16" t="str">
        <f t="shared" si="0"/>
        <v>14~21</v>
      </c>
      <c r="I51" s="17" t="s">
        <v>187</v>
      </c>
      <c r="J51" s="17" t="s">
        <v>119</v>
      </c>
      <c r="K51" s="16"/>
      <c r="L51" s="16" t="s">
        <v>161</v>
      </c>
      <c r="M51" s="7"/>
      <c r="N51" s="7"/>
      <c r="O51" s="8" t="s">
        <v>33</v>
      </c>
      <c r="P51" s="8" t="s">
        <v>104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6">
        <v>100049</v>
      </c>
      <c r="B52" s="16" t="str">
        <f t="shared" si="1"/>
        <v>奴役</v>
      </c>
      <c r="C52" s="16" t="str">
        <f>表1[[#This Row],[name]]&amp;"+1"</f>
        <v>奴役+1</v>
      </c>
      <c r="D52" s="48" t="str">
        <f>[1]!颜色转换成内嵌函数()</f>
        <v>※color(88,214,202)[]</v>
      </c>
      <c r="E52" s="16">
        <f t="shared" si="2"/>
        <v>4</v>
      </c>
      <c r="F52" s="16">
        <f>IF(表1[[#This Row],[level]]+1=E53,A53,"")</f>
        <v>100050</v>
      </c>
      <c r="G52" s="16" t="s">
        <v>113</v>
      </c>
      <c r="H52" s="16" t="str">
        <f t="shared" si="0"/>
        <v>19~26</v>
      </c>
      <c r="I52" s="17" t="s">
        <v>187</v>
      </c>
      <c r="J52" s="17" t="s">
        <v>119</v>
      </c>
      <c r="K52" s="16"/>
      <c r="L52" s="16" t="s">
        <v>161</v>
      </c>
      <c r="M52" s="7"/>
      <c r="N52" s="7"/>
      <c r="O52" s="8" t="s">
        <v>33</v>
      </c>
      <c r="P52" s="8" t="s">
        <v>104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6">
        <v>100050</v>
      </c>
      <c r="B53" s="16" t="str">
        <f t="shared" si="1"/>
        <v>奴役</v>
      </c>
      <c r="C53" s="16" t="str">
        <f>表1[[#This Row],[name]]&amp;"+1"</f>
        <v>奴役+1</v>
      </c>
      <c r="D53" s="48" t="str">
        <f>[1]!颜色转换成内嵌函数()</f>
        <v>※color(88,214,202)[]</v>
      </c>
      <c r="E53" s="16">
        <f t="shared" si="2"/>
        <v>5</v>
      </c>
      <c r="F53" s="16" t="str">
        <f>IF(表1[[#This Row],[level]]+1=E54,A54,"")</f>
        <v/>
      </c>
      <c r="G53" s="16" t="s">
        <v>113</v>
      </c>
      <c r="H53" s="16" t="str">
        <f t="shared" si="0"/>
        <v>23~30</v>
      </c>
      <c r="I53" s="17" t="s">
        <v>187</v>
      </c>
      <c r="J53" s="17" t="s">
        <v>119</v>
      </c>
      <c r="K53" s="16"/>
      <c r="L53" s="16" t="s">
        <v>162</v>
      </c>
      <c r="M53" s="7"/>
      <c r="N53" s="7"/>
      <c r="O53" s="8" t="s">
        <v>33</v>
      </c>
      <c r="P53" s="8" t="s">
        <v>104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6">
        <v>100051</v>
      </c>
      <c r="B54" s="16" t="str">
        <f t="shared" si="1"/>
        <v>催眠</v>
      </c>
      <c r="C54" s="16" t="str">
        <f>表1[[#This Row],[name]]&amp;"+1"</f>
        <v>催眠+1</v>
      </c>
      <c r="D54" s="49" t="str">
        <f>[1]!颜色转换成内嵌函数()</f>
        <v>※color(93,152,171)[]</v>
      </c>
      <c r="E54" s="16">
        <f t="shared" si="2"/>
        <v>1</v>
      </c>
      <c r="F54" s="16">
        <f>IF(表1[[#This Row],[level]]+1=E55,A55,"")</f>
        <v>100052</v>
      </c>
      <c r="G54" s="16" t="s">
        <v>113</v>
      </c>
      <c r="H54" s="16" t="str">
        <f t="shared" si="0"/>
        <v>5~12</v>
      </c>
      <c r="I54" s="19" t="s">
        <v>188</v>
      </c>
      <c r="J54" s="19" t="s">
        <v>117</v>
      </c>
      <c r="K54" s="20"/>
      <c r="L54" s="16" t="s">
        <v>163</v>
      </c>
      <c r="M54" s="7"/>
      <c r="N54" s="7"/>
      <c r="O54" s="8" t="s">
        <v>34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6">
        <v>100052</v>
      </c>
      <c r="B55" s="16" t="str">
        <f t="shared" si="1"/>
        <v>催眠</v>
      </c>
      <c r="C55" s="16" t="str">
        <f>表1[[#This Row],[name]]&amp;"+1"</f>
        <v>催眠+1</v>
      </c>
      <c r="D55" s="49" t="str">
        <f>[1]!颜色转换成内嵌函数()</f>
        <v>※color(93,152,171)[]</v>
      </c>
      <c r="E55" s="16">
        <f t="shared" si="2"/>
        <v>2</v>
      </c>
      <c r="F55" s="16">
        <f>IF(表1[[#This Row],[level]]+1=E56,A56,"")</f>
        <v>100053</v>
      </c>
      <c r="G55" s="16" t="s">
        <v>113</v>
      </c>
      <c r="H55" s="16" t="str">
        <f t="shared" si="0"/>
        <v>10~17</v>
      </c>
      <c r="I55" s="19" t="s">
        <v>188</v>
      </c>
      <c r="J55" s="19" t="s">
        <v>117</v>
      </c>
      <c r="K55" s="20"/>
      <c r="L55" s="16" t="s">
        <v>147</v>
      </c>
      <c r="M55" s="7"/>
      <c r="N55" s="7"/>
      <c r="O55" s="8" t="s">
        <v>34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6">
        <v>100053</v>
      </c>
      <c r="B56" s="16" t="str">
        <f t="shared" si="1"/>
        <v>催眠</v>
      </c>
      <c r="C56" s="16" t="str">
        <f>表1[[#This Row],[name]]&amp;"+1"</f>
        <v>催眠+1</v>
      </c>
      <c r="D56" s="49" t="str">
        <f>[1]!颜色转换成内嵌函数()</f>
        <v>※color(93,152,171)[]</v>
      </c>
      <c r="E56" s="16">
        <f t="shared" si="2"/>
        <v>3</v>
      </c>
      <c r="F56" s="16">
        <f>IF(表1[[#This Row],[level]]+1=E57,A57,"")</f>
        <v>100054</v>
      </c>
      <c r="G56" s="16" t="s">
        <v>113</v>
      </c>
      <c r="H56" s="16" t="str">
        <f t="shared" si="0"/>
        <v>14~21</v>
      </c>
      <c r="I56" s="19" t="s">
        <v>188</v>
      </c>
      <c r="J56" s="19" t="s">
        <v>117</v>
      </c>
      <c r="K56" s="20"/>
      <c r="L56" s="16" t="s">
        <v>146</v>
      </c>
      <c r="M56" s="7"/>
      <c r="N56" s="7"/>
      <c r="O56" s="8" t="s">
        <v>34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6">
        <v>100054</v>
      </c>
      <c r="B57" s="16" t="str">
        <f t="shared" si="1"/>
        <v>催眠</v>
      </c>
      <c r="C57" s="16" t="str">
        <f>表1[[#This Row],[name]]&amp;"+1"</f>
        <v>催眠+1</v>
      </c>
      <c r="D57" s="49" t="str">
        <f>[1]!颜色转换成内嵌函数()</f>
        <v>※color(93,152,171)[]</v>
      </c>
      <c r="E57" s="16">
        <f t="shared" si="2"/>
        <v>4</v>
      </c>
      <c r="F57" s="16">
        <f>IF(表1[[#This Row],[level]]+1=E58,A58,"")</f>
        <v>100055</v>
      </c>
      <c r="G57" s="16" t="s">
        <v>113</v>
      </c>
      <c r="H57" s="16" t="str">
        <f t="shared" si="0"/>
        <v>19~26</v>
      </c>
      <c r="I57" s="19" t="s">
        <v>188</v>
      </c>
      <c r="J57" s="19" t="s">
        <v>117</v>
      </c>
      <c r="K57" s="20"/>
      <c r="L57" s="16" t="s">
        <v>146</v>
      </c>
      <c r="M57" s="7"/>
      <c r="N57" s="7"/>
      <c r="O57" s="8" t="s">
        <v>34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6">
        <v>100055</v>
      </c>
      <c r="B58" s="16" t="str">
        <f>O58</f>
        <v>催眠</v>
      </c>
      <c r="C58" s="16" t="str">
        <f>表1[[#This Row],[name]]&amp;"+1"</f>
        <v>催眠+1</v>
      </c>
      <c r="D58" s="49" t="str">
        <f>[1]!颜色转换成内嵌函数()</f>
        <v>※color(93,152,171)[]</v>
      </c>
      <c r="E58" s="16">
        <f t="shared" si="2"/>
        <v>5</v>
      </c>
      <c r="F58" s="16" t="str">
        <f>IF(表1[[#This Row],[level]]+1=E59,A59,"")</f>
        <v/>
      </c>
      <c r="G58" s="16" t="s">
        <v>113</v>
      </c>
      <c r="H58" s="16" t="str">
        <f t="shared" si="0"/>
        <v>23~30</v>
      </c>
      <c r="I58" s="19" t="s">
        <v>188</v>
      </c>
      <c r="J58" s="19" t="s">
        <v>117</v>
      </c>
      <c r="K58" s="20"/>
      <c r="L58" s="16" t="s">
        <v>146</v>
      </c>
      <c r="M58" s="7"/>
      <c r="N58" s="7"/>
      <c r="O58" s="8" t="s">
        <v>34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6">
        <v>100056</v>
      </c>
      <c r="B59" s="16" t="str">
        <f t="shared" si="1"/>
        <v>沉默</v>
      </c>
      <c r="C59" s="16" t="str">
        <f>表1[[#This Row],[name]]&amp;"+1"</f>
        <v>沉默+1</v>
      </c>
      <c r="D59" s="50" t="str">
        <f>[1]!颜色转换成内嵌函数()</f>
        <v>※color(186,122,36)[]</v>
      </c>
      <c r="E59" s="16">
        <f t="shared" si="2"/>
        <v>1</v>
      </c>
      <c r="F59" s="16">
        <f>IF(表1[[#This Row],[level]]+1=E60,A60,"")</f>
        <v>100057</v>
      </c>
      <c r="G59" s="16" t="s">
        <v>113</v>
      </c>
      <c r="H59" s="16" t="str">
        <f t="shared" si="0"/>
        <v>5~12</v>
      </c>
      <c r="I59" s="19" t="s">
        <v>189</v>
      </c>
      <c r="J59" s="19" t="s">
        <v>117</v>
      </c>
      <c r="K59" s="20"/>
      <c r="L59" s="16" t="s">
        <v>164</v>
      </c>
      <c r="M59" s="7"/>
      <c r="N59" s="7"/>
      <c r="O59" s="8" t="s">
        <v>35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6">
        <v>100057</v>
      </c>
      <c r="B60" s="16" t="str">
        <f t="shared" si="1"/>
        <v>沉默</v>
      </c>
      <c r="C60" s="16" t="str">
        <f>表1[[#This Row],[name]]&amp;"+1"</f>
        <v>沉默+1</v>
      </c>
      <c r="D60" s="50" t="str">
        <f>[1]!颜色转换成内嵌函数()</f>
        <v>※color(186,122,36)[]</v>
      </c>
      <c r="E60" s="16">
        <f t="shared" si="2"/>
        <v>2</v>
      </c>
      <c r="F60" s="16">
        <f>IF(表1[[#This Row],[level]]+1=E61,A61,"")</f>
        <v>100058</v>
      </c>
      <c r="G60" s="16" t="s">
        <v>113</v>
      </c>
      <c r="H60" s="16" t="str">
        <f t="shared" si="0"/>
        <v>10~17</v>
      </c>
      <c r="I60" s="19" t="s">
        <v>189</v>
      </c>
      <c r="J60" s="19" t="s">
        <v>117</v>
      </c>
      <c r="K60" s="20"/>
      <c r="L60" s="16" t="s">
        <v>164</v>
      </c>
      <c r="M60" s="7"/>
      <c r="N60" s="7"/>
      <c r="O60" s="8" t="s">
        <v>35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6">
        <v>100058</v>
      </c>
      <c r="B61" s="16" t="str">
        <f t="shared" si="1"/>
        <v>沉默</v>
      </c>
      <c r="C61" s="16" t="str">
        <f>表1[[#This Row],[name]]&amp;"+1"</f>
        <v>沉默+1</v>
      </c>
      <c r="D61" s="50" t="str">
        <f>[1]!颜色转换成内嵌函数()</f>
        <v>※color(186,122,36)[]</v>
      </c>
      <c r="E61" s="16">
        <f t="shared" si="2"/>
        <v>3</v>
      </c>
      <c r="F61" s="16">
        <f>IF(表1[[#This Row],[level]]+1=E62,A62,"")</f>
        <v>100059</v>
      </c>
      <c r="G61" s="16" t="s">
        <v>113</v>
      </c>
      <c r="H61" s="16" t="str">
        <f t="shared" si="0"/>
        <v>14~21</v>
      </c>
      <c r="I61" s="19" t="s">
        <v>189</v>
      </c>
      <c r="J61" s="19" t="s">
        <v>117</v>
      </c>
      <c r="K61" s="20"/>
      <c r="L61" s="16" t="s">
        <v>164</v>
      </c>
      <c r="M61" s="7"/>
      <c r="N61" s="7"/>
      <c r="O61" s="8" t="s">
        <v>35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6">
        <v>100059</v>
      </c>
      <c r="B62" s="16" t="str">
        <f t="shared" si="1"/>
        <v>沉默</v>
      </c>
      <c r="C62" s="16" t="str">
        <f>表1[[#This Row],[name]]&amp;"+1"</f>
        <v>沉默+1</v>
      </c>
      <c r="D62" s="50" t="str">
        <f>[1]!颜色转换成内嵌函数()</f>
        <v>※color(186,122,36)[]</v>
      </c>
      <c r="E62" s="16">
        <f t="shared" si="2"/>
        <v>4</v>
      </c>
      <c r="F62" s="16">
        <f>IF(表1[[#This Row],[level]]+1=E63,A63,"")</f>
        <v>100060</v>
      </c>
      <c r="G62" s="16" t="s">
        <v>113</v>
      </c>
      <c r="H62" s="16" t="str">
        <f t="shared" si="0"/>
        <v>19~26</v>
      </c>
      <c r="I62" s="19" t="s">
        <v>189</v>
      </c>
      <c r="J62" s="19" t="s">
        <v>117</v>
      </c>
      <c r="K62" s="20"/>
      <c r="L62" s="16" t="s">
        <v>164</v>
      </c>
      <c r="M62" s="7"/>
      <c r="N62" s="7"/>
      <c r="O62" s="8" t="s">
        <v>35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6">
        <v>100060</v>
      </c>
      <c r="B63" s="16" t="str">
        <f t="shared" si="1"/>
        <v>沉默</v>
      </c>
      <c r="C63" s="16" t="str">
        <f>表1[[#This Row],[name]]&amp;"+1"</f>
        <v>沉默+1</v>
      </c>
      <c r="D63" s="50" t="str">
        <f>[1]!颜色转换成内嵌函数()</f>
        <v>※color(186,122,36)[]</v>
      </c>
      <c r="E63" s="16">
        <f t="shared" si="2"/>
        <v>5</v>
      </c>
      <c r="F63" s="16" t="str">
        <f>IF(表1[[#This Row],[level]]+1=E64,A64,"")</f>
        <v/>
      </c>
      <c r="G63" s="16" t="s">
        <v>113</v>
      </c>
      <c r="H63" s="16" t="str">
        <f t="shared" si="0"/>
        <v>23~30</v>
      </c>
      <c r="I63" s="19" t="s">
        <v>189</v>
      </c>
      <c r="J63" s="19" t="s">
        <v>117</v>
      </c>
      <c r="K63" s="20"/>
      <c r="L63" s="16" t="s">
        <v>164</v>
      </c>
      <c r="M63" s="7"/>
      <c r="N63" s="7"/>
      <c r="O63" s="8" t="s">
        <v>35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6">
        <v>100061</v>
      </c>
      <c r="B64" s="16" t="str">
        <f t="shared" si="1"/>
        <v>镜花水月</v>
      </c>
      <c r="C64" s="16" t="str">
        <f>表1[[#This Row],[name]]&amp;"+1"</f>
        <v>镜花水月+1</v>
      </c>
      <c r="D64" s="45" t="str">
        <f>[1]!颜色转换成内嵌函数()</f>
        <v>※color(181,79,79)[]</v>
      </c>
      <c r="E64" s="16">
        <f t="shared" si="2"/>
        <v>1</v>
      </c>
      <c r="F64" s="16">
        <f>IF(表1[[#This Row],[level]]+1=E65,A65,"")</f>
        <v>100062</v>
      </c>
      <c r="G64" s="16" t="s">
        <v>113</v>
      </c>
      <c r="H64" s="16" t="str">
        <f t="shared" si="0"/>
        <v>5~12</v>
      </c>
      <c r="I64" s="19" t="s">
        <v>190</v>
      </c>
      <c r="J64" s="19" t="s">
        <v>117</v>
      </c>
      <c r="K64" s="20"/>
      <c r="L64" s="16" t="s">
        <v>149</v>
      </c>
      <c r="M64" s="7"/>
      <c r="N64" s="7"/>
      <c r="O64" s="8" t="s">
        <v>36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6">
        <v>100062</v>
      </c>
      <c r="B65" s="16" t="str">
        <f t="shared" si="1"/>
        <v>镜花水月</v>
      </c>
      <c r="C65" s="16" t="str">
        <f>表1[[#This Row],[name]]&amp;"+1"</f>
        <v>镜花水月+1</v>
      </c>
      <c r="D65" s="45" t="str">
        <f>[1]!颜色转换成内嵌函数()</f>
        <v>※color(181,79,79)[]</v>
      </c>
      <c r="E65" s="16">
        <f t="shared" si="2"/>
        <v>2</v>
      </c>
      <c r="F65" s="16">
        <f>IF(表1[[#This Row],[level]]+1=E66,A66,"")</f>
        <v>100063</v>
      </c>
      <c r="G65" s="16" t="s">
        <v>113</v>
      </c>
      <c r="H65" s="16" t="str">
        <f t="shared" si="0"/>
        <v>10~17</v>
      </c>
      <c r="I65" s="19" t="s">
        <v>190</v>
      </c>
      <c r="J65" s="19" t="s">
        <v>117</v>
      </c>
      <c r="K65" s="20"/>
      <c r="L65" s="16" t="s">
        <v>149</v>
      </c>
      <c r="M65" s="7"/>
      <c r="N65" s="7"/>
      <c r="O65" s="8" t="s">
        <v>36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6">
        <v>100063</v>
      </c>
      <c r="B66" s="16" t="str">
        <f t="shared" si="1"/>
        <v>镜花水月</v>
      </c>
      <c r="C66" s="16" t="str">
        <f>表1[[#This Row],[name]]&amp;"+1"</f>
        <v>镜花水月+1</v>
      </c>
      <c r="D66" s="45" t="str">
        <f>[1]!颜色转换成内嵌函数()</f>
        <v>※color(181,79,79)[]</v>
      </c>
      <c r="E66" s="16">
        <f t="shared" si="2"/>
        <v>3</v>
      </c>
      <c r="F66" s="16">
        <f>IF(表1[[#This Row],[level]]+1=E67,A67,"")</f>
        <v>100064</v>
      </c>
      <c r="G66" s="16" t="s">
        <v>113</v>
      </c>
      <c r="H66" s="16" t="str">
        <f t="shared" si="0"/>
        <v>14~21</v>
      </c>
      <c r="I66" s="19" t="s">
        <v>190</v>
      </c>
      <c r="J66" s="19" t="s">
        <v>117</v>
      </c>
      <c r="K66" s="20"/>
      <c r="L66" s="16" t="s">
        <v>149</v>
      </c>
      <c r="M66" s="7"/>
      <c r="N66" s="7"/>
      <c r="O66" s="8" t="s">
        <v>36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6">
        <v>100064</v>
      </c>
      <c r="B67" s="16" t="str">
        <f t="shared" si="1"/>
        <v>镜花水月</v>
      </c>
      <c r="C67" s="16" t="str">
        <f>表1[[#This Row],[name]]&amp;"+1"</f>
        <v>镜花水月+1</v>
      </c>
      <c r="D67" s="45" t="str">
        <f>[1]!颜色转换成内嵌函数()</f>
        <v>※color(181,79,79)[]</v>
      </c>
      <c r="E67" s="16">
        <f t="shared" si="2"/>
        <v>4</v>
      </c>
      <c r="F67" s="16">
        <f>IF(表1[[#This Row],[level]]+1=E68,A68,"")</f>
        <v>100065</v>
      </c>
      <c r="G67" s="16" t="s">
        <v>113</v>
      </c>
      <c r="H67" s="16" t="str">
        <f t="shared" si="0"/>
        <v>19~26</v>
      </c>
      <c r="I67" s="19" t="s">
        <v>190</v>
      </c>
      <c r="J67" s="19" t="s">
        <v>117</v>
      </c>
      <c r="K67" s="20"/>
      <c r="L67" s="16" t="s">
        <v>149</v>
      </c>
      <c r="M67" s="7"/>
      <c r="N67" s="7"/>
      <c r="O67" s="8" t="s">
        <v>36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6">
        <v>100065</v>
      </c>
      <c r="B68" s="16" t="str">
        <f t="shared" si="1"/>
        <v>镜花水月</v>
      </c>
      <c r="C68" s="16" t="str">
        <f>表1[[#This Row],[name]]&amp;"+1"</f>
        <v>镜花水月+1</v>
      </c>
      <c r="D68" s="45" t="str">
        <f>[1]!颜色转换成内嵌函数()</f>
        <v>※color(181,79,79)[]</v>
      </c>
      <c r="E68" s="16">
        <f t="shared" si="2"/>
        <v>5</v>
      </c>
      <c r="F68" s="16" t="str">
        <f>IF(表1[[#This Row],[level]]+1=E69,A69,"")</f>
        <v/>
      </c>
      <c r="G68" s="16" t="s">
        <v>113</v>
      </c>
      <c r="H68" s="16" t="str">
        <f t="shared" ref="H68:H131" si="35">ROUND(S68,0)&amp; "~" &amp; ROUND(T68,0)</f>
        <v>23~30</v>
      </c>
      <c r="I68" s="19" t="s">
        <v>190</v>
      </c>
      <c r="J68" s="19" t="s">
        <v>117</v>
      </c>
      <c r="K68" s="20"/>
      <c r="L68" s="16" t="s">
        <v>149</v>
      </c>
      <c r="M68" s="7"/>
      <c r="N68" s="7"/>
      <c r="O68" s="8" t="s">
        <v>36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6">
        <v>100066</v>
      </c>
      <c r="B69" s="16" t="str">
        <f t="shared" ref="B69:B97" si="36">O69</f>
        <v>生命抽取</v>
      </c>
      <c r="C69" s="16" t="str">
        <f>表1[[#This Row],[name]]&amp;"+1"</f>
        <v>生命抽取+1</v>
      </c>
      <c r="D69" s="46" t="str">
        <f>[1]!颜色转换成内嵌函数()</f>
        <v>※color(181,79,162)[]</v>
      </c>
      <c r="E69" s="16">
        <f t="shared" ref="E69:E132" si="37">IF(O69=O68,E68+1,1)</f>
        <v>1</v>
      </c>
      <c r="F69" s="16">
        <f>IF(表1[[#This Row],[level]]+1=E70,A70,"")</f>
        <v>100067</v>
      </c>
      <c r="G69" s="16" t="s">
        <v>113</v>
      </c>
      <c r="H69" s="16" t="str">
        <f t="shared" si="35"/>
        <v>5~12</v>
      </c>
      <c r="I69" s="19" t="s">
        <v>191</v>
      </c>
      <c r="J69" s="19" t="s">
        <v>117</v>
      </c>
      <c r="K69" s="20"/>
      <c r="L69" s="16" t="s">
        <v>152</v>
      </c>
      <c r="M69" s="7"/>
      <c r="N69" s="7"/>
      <c r="O69" s="8" t="s">
        <v>37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6">
        <v>100067</v>
      </c>
      <c r="B70" s="16" t="str">
        <f t="shared" si="36"/>
        <v>生命抽取</v>
      </c>
      <c r="C70" s="16" t="str">
        <f>表1[[#This Row],[name]]&amp;"+1"</f>
        <v>生命抽取+1</v>
      </c>
      <c r="D70" s="46" t="str">
        <f>[1]!颜色转换成内嵌函数()</f>
        <v>※color(181,79,162)[]</v>
      </c>
      <c r="E70" s="16">
        <f t="shared" si="37"/>
        <v>2</v>
      </c>
      <c r="F70" s="16">
        <f>IF(表1[[#This Row],[level]]+1=E71,A71,"")</f>
        <v>100068</v>
      </c>
      <c r="G70" s="16" t="s">
        <v>113</v>
      </c>
      <c r="H70" s="16" t="str">
        <f t="shared" si="35"/>
        <v>10~17</v>
      </c>
      <c r="I70" s="19" t="s">
        <v>191</v>
      </c>
      <c r="J70" s="19" t="s">
        <v>117</v>
      </c>
      <c r="K70" s="20"/>
      <c r="L70" s="16" t="s">
        <v>152</v>
      </c>
      <c r="M70" s="7"/>
      <c r="N70" s="7"/>
      <c r="O70" s="8" t="s">
        <v>37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6">
        <v>100068</v>
      </c>
      <c r="B71" s="16" t="str">
        <f t="shared" si="36"/>
        <v>生命抽取</v>
      </c>
      <c r="C71" s="16" t="str">
        <f>表1[[#This Row],[name]]&amp;"+1"</f>
        <v>生命抽取+1</v>
      </c>
      <c r="D71" s="46" t="str">
        <f>[1]!颜色转换成内嵌函数()</f>
        <v>※color(181,79,162)[]</v>
      </c>
      <c r="E71" s="16">
        <f t="shared" si="37"/>
        <v>3</v>
      </c>
      <c r="F71" s="16">
        <f>IF(表1[[#This Row],[level]]+1=E72,A72,"")</f>
        <v>100069</v>
      </c>
      <c r="G71" s="16" t="s">
        <v>113</v>
      </c>
      <c r="H71" s="16" t="str">
        <f t="shared" si="35"/>
        <v>14~21</v>
      </c>
      <c r="I71" s="19" t="s">
        <v>191</v>
      </c>
      <c r="J71" s="19" t="s">
        <v>117</v>
      </c>
      <c r="K71" s="20"/>
      <c r="L71" s="16" t="s">
        <v>152</v>
      </c>
      <c r="M71" s="7"/>
      <c r="N71" s="7"/>
      <c r="O71" s="8" t="s">
        <v>37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6">
        <v>100069</v>
      </c>
      <c r="B72" s="16" t="str">
        <f t="shared" si="36"/>
        <v>生命抽取</v>
      </c>
      <c r="C72" s="16" t="str">
        <f>表1[[#This Row],[name]]&amp;"+1"</f>
        <v>生命抽取+1</v>
      </c>
      <c r="D72" s="46" t="str">
        <f>[1]!颜色转换成内嵌函数()</f>
        <v>※color(181,79,162)[]</v>
      </c>
      <c r="E72" s="16">
        <f t="shared" si="37"/>
        <v>4</v>
      </c>
      <c r="F72" s="16">
        <f>IF(表1[[#This Row],[level]]+1=E73,A73,"")</f>
        <v>100070</v>
      </c>
      <c r="G72" s="16" t="s">
        <v>113</v>
      </c>
      <c r="H72" s="16" t="str">
        <f t="shared" si="35"/>
        <v>19~26</v>
      </c>
      <c r="I72" s="19" t="s">
        <v>191</v>
      </c>
      <c r="J72" s="19" t="s">
        <v>117</v>
      </c>
      <c r="K72" s="20"/>
      <c r="L72" s="16" t="s">
        <v>152</v>
      </c>
      <c r="M72" s="7"/>
      <c r="N72" s="7"/>
      <c r="O72" s="8" t="s">
        <v>37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6">
        <v>100070</v>
      </c>
      <c r="B73" s="16" t="str">
        <f t="shared" si="36"/>
        <v>生命抽取</v>
      </c>
      <c r="C73" s="16" t="str">
        <f>表1[[#This Row],[name]]&amp;"+1"</f>
        <v>生命抽取+1</v>
      </c>
      <c r="D73" s="46" t="str">
        <f>[1]!颜色转换成内嵌函数()</f>
        <v>※color(181,79,162)[]</v>
      </c>
      <c r="E73" s="16">
        <f t="shared" si="37"/>
        <v>5</v>
      </c>
      <c r="F73" s="16" t="str">
        <f>IF(表1[[#This Row],[level]]+1=E74,A74,"")</f>
        <v/>
      </c>
      <c r="G73" s="16" t="s">
        <v>113</v>
      </c>
      <c r="H73" s="16" t="str">
        <f t="shared" si="35"/>
        <v>23~30</v>
      </c>
      <c r="I73" s="19" t="s">
        <v>191</v>
      </c>
      <c r="J73" s="19" t="s">
        <v>117</v>
      </c>
      <c r="K73" s="20"/>
      <c r="L73" s="16" t="s">
        <v>152</v>
      </c>
      <c r="M73" s="7"/>
      <c r="N73" s="7"/>
      <c r="O73" s="8" t="s">
        <v>37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6">
        <v>100071</v>
      </c>
      <c r="B74" s="16" t="str">
        <f t="shared" si="36"/>
        <v>中子弹</v>
      </c>
      <c r="C74" s="16" t="str">
        <f>表1[[#This Row],[name]]&amp;"+1"</f>
        <v>中子弹+1</v>
      </c>
      <c r="D74" s="47" t="str">
        <f>[1]!颜色转换成内嵌函数()</f>
        <v>※color(195,213,89)[]</v>
      </c>
      <c r="E74" s="16">
        <f t="shared" si="37"/>
        <v>1</v>
      </c>
      <c r="F74" s="16">
        <f>IF(表1[[#This Row],[level]]+1=E75,A75,"")</f>
        <v>100072</v>
      </c>
      <c r="G74" s="16" t="s">
        <v>113</v>
      </c>
      <c r="H74" s="16" t="str">
        <f t="shared" si="35"/>
        <v>5~12</v>
      </c>
      <c r="I74" s="19" t="s">
        <v>192</v>
      </c>
      <c r="J74" s="19" t="s">
        <v>117</v>
      </c>
      <c r="K74" s="20"/>
      <c r="L74" s="16" t="s">
        <v>153</v>
      </c>
      <c r="M74" s="7"/>
      <c r="N74" s="7"/>
      <c r="O74" s="8" t="s">
        <v>38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6">
        <v>100072</v>
      </c>
      <c r="B75" s="16" t="str">
        <f t="shared" si="36"/>
        <v>中子弹</v>
      </c>
      <c r="C75" s="16" t="str">
        <f>表1[[#This Row],[name]]&amp;"+1"</f>
        <v>中子弹+1</v>
      </c>
      <c r="D75" s="47" t="str">
        <f>[1]!颜色转换成内嵌函数()</f>
        <v>※color(195,213,89)[]</v>
      </c>
      <c r="E75" s="16">
        <f t="shared" si="37"/>
        <v>2</v>
      </c>
      <c r="F75" s="16">
        <f>IF(表1[[#This Row],[level]]+1=E76,A76,"")</f>
        <v>100073</v>
      </c>
      <c r="G75" s="16" t="s">
        <v>113</v>
      </c>
      <c r="H75" s="16" t="str">
        <f t="shared" si="35"/>
        <v>10~17</v>
      </c>
      <c r="I75" s="19" t="s">
        <v>192</v>
      </c>
      <c r="J75" s="19" t="s">
        <v>117</v>
      </c>
      <c r="K75" s="20"/>
      <c r="L75" s="16" t="s">
        <v>154</v>
      </c>
      <c r="M75" s="7"/>
      <c r="N75" s="7"/>
      <c r="O75" s="8" t="s">
        <v>38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6">
        <v>100073</v>
      </c>
      <c r="B76" s="16" t="str">
        <f t="shared" si="36"/>
        <v>中子弹</v>
      </c>
      <c r="C76" s="16" t="str">
        <f>表1[[#This Row],[name]]&amp;"+1"</f>
        <v>中子弹+1</v>
      </c>
      <c r="D76" s="47" t="str">
        <f>[1]!颜色转换成内嵌函数()</f>
        <v>※color(195,213,89)[]</v>
      </c>
      <c r="E76" s="16">
        <f t="shared" si="37"/>
        <v>3</v>
      </c>
      <c r="F76" s="16">
        <f>IF(表1[[#This Row],[level]]+1=E77,A77,"")</f>
        <v>100074</v>
      </c>
      <c r="G76" s="16" t="s">
        <v>113</v>
      </c>
      <c r="H76" s="16" t="str">
        <f t="shared" si="35"/>
        <v>14~21</v>
      </c>
      <c r="I76" s="19" t="s">
        <v>192</v>
      </c>
      <c r="J76" s="19" t="s">
        <v>117</v>
      </c>
      <c r="K76" s="20"/>
      <c r="L76" s="16" t="s">
        <v>154</v>
      </c>
      <c r="M76" s="7"/>
      <c r="N76" s="7"/>
      <c r="O76" s="8" t="s">
        <v>38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6">
        <v>100074</v>
      </c>
      <c r="B77" s="16" t="str">
        <f t="shared" si="36"/>
        <v>中子弹</v>
      </c>
      <c r="C77" s="16" t="str">
        <f>表1[[#This Row],[name]]&amp;"+1"</f>
        <v>中子弹+1</v>
      </c>
      <c r="D77" s="47" t="str">
        <f>[1]!颜色转换成内嵌函数()</f>
        <v>※color(195,213,89)[]</v>
      </c>
      <c r="E77" s="16">
        <f t="shared" si="37"/>
        <v>4</v>
      </c>
      <c r="F77" s="16">
        <f>IF(表1[[#This Row],[level]]+1=E78,A78,"")</f>
        <v>100075</v>
      </c>
      <c r="G77" s="16" t="s">
        <v>113</v>
      </c>
      <c r="H77" s="16" t="str">
        <f t="shared" si="35"/>
        <v>19~26</v>
      </c>
      <c r="I77" s="19" t="s">
        <v>192</v>
      </c>
      <c r="J77" s="19" t="s">
        <v>117</v>
      </c>
      <c r="K77" s="20"/>
      <c r="L77" s="16" t="s">
        <v>154</v>
      </c>
      <c r="M77" s="7"/>
      <c r="N77" s="7"/>
      <c r="O77" s="8" t="s">
        <v>38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6">
        <v>100075</v>
      </c>
      <c r="B78" s="16" t="str">
        <f t="shared" si="36"/>
        <v>中子弹</v>
      </c>
      <c r="C78" s="16" t="str">
        <f>表1[[#This Row],[name]]&amp;"+1"</f>
        <v>中子弹+1</v>
      </c>
      <c r="D78" s="47" t="str">
        <f>[1]!颜色转换成内嵌函数()</f>
        <v>※color(195,213,89)[]</v>
      </c>
      <c r="E78" s="16">
        <f t="shared" si="37"/>
        <v>5</v>
      </c>
      <c r="F78" s="16" t="str">
        <f>IF(表1[[#This Row],[level]]+1=E79,A79,"")</f>
        <v/>
      </c>
      <c r="G78" s="16" t="s">
        <v>113</v>
      </c>
      <c r="H78" s="16" t="str">
        <f t="shared" si="35"/>
        <v>23~30</v>
      </c>
      <c r="I78" s="19" t="s">
        <v>192</v>
      </c>
      <c r="J78" s="19" t="s">
        <v>117</v>
      </c>
      <c r="K78" s="20"/>
      <c r="L78" s="16" t="s">
        <v>154</v>
      </c>
      <c r="M78" s="7"/>
      <c r="N78" s="7"/>
      <c r="O78" s="8" t="s">
        <v>38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6">
        <v>100076</v>
      </c>
      <c r="B79" s="16" t="str">
        <f t="shared" si="36"/>
        <v>干扰弹</v>
      </c>
      <c r="C79" s="16" t="str">
        <f>表1[[#This Row],[name]]&amp;"+1"</f>
        <v>干扰弹+1</v>
      </c>
      <c r="D79" s="48" t="str">
        <f>[1]!颜色转换成内嵌函数()</f>
        <v>※color(88,214,202)[]</v>
      </c>
      <c r="E79" s="16">
        <f t="shared" si="37"/>
        <v>1</v>
      </c>
      <c r="F79" s="16">
        <f>IF(表1[[#This Row],[level]]+1=E80,A80,"")</f>
        <v>100077</v>
      </c>
      <c r="G79" s="16" t="s">
        <v>113</v>
      </c>
      <c r="H79" s="16" t="str">
        <f t="shared" si="35"/>
        <v>5~12</v>
      </c>
      <c r="I79" s="19" t="s">
        <v>193</v>
      </c>
      <c r="J79" s="19" t="s">
        <v>117</v>
      </c>
      <c r="K79" s="20"/>
      <c r="L79" s="16" t="s">
        <v>155</v>
      </c>
      <c r="M79" s="7"/>
      <c r="N79" s="7"/>
      <c r="O79" s="8" t="s">
        <v>39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6">
        <v>100077</v>
      </c>
      <c r="B80" s="16" t="str">
        <f t="shared" si="36"/>
        <v>干扰弹</v>
      </c>
      <c r="C80" s="16" t="str">
        <f>表1[[#This Row],[name]]&amp;"+1"</f>
        <v>干扰弹+1</v>
      </c>
      <c r="D80" s="48" t="str">
        <f>[1]!颜色转换成内嵌函数()</f>
        <v>※color(88,214,202)[]</v>
      </c>
      <c r="E80" s="16">
        <f t="shared" si="37"/>
        <v>2</v>
      </c>
      <c r="F80" s="16">
        <f>IF(表1[[#This Row],[level]]+1=E81,A81,"")</f>
        <v>100078</v>
      </c>
      <c r="G80" s="16" t="s">
        <v>113</v>
      </c>
      <c r="H80" s="16" t="str">
        <f t="shared" si="35"/>
        <v>10~17</v>
      </c>
      <c r="I80" s="19" t="s">
        <v>193</v>
      </c>
      <c r="J80" s="19" t="s">
        <v>117</v>
      </c>
      <c r="K80" s="20"/>
      <c r="L80" s="16" t="s">
        <v>155</v>
      </c>
      <c r="M80" s="7"/>
      <c r="N80" s="7"/>
      <c r="O80" s="8" t="s">
        <v>39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6">
        <v>100078</v>
      </c>
      <c r="B81" s="16" t="str">
        <f t="shared" si="36"/>
        <v>干扰弹</v>
      </c>
      <c r="C81" s="16" t="str">
        <f>表1[[#This Row],[name]]&amp;"+1"</f>
        <v>干扰弹+1</v>
      </c>
      <c r="D81" s="48" t="str">
        <f>[1]!颜色转换成内嵌函数()</f>
        <v>※color(88,214,202)[]</v>
      </c>
      <c r="E81" s="16">
        <f t="shared" si="37"/>
        <v>3</v>
      </c>
      <c r="F81" s="16">
        <f>IF(表1[[#This Row],[level]]+1=E82,A82,"")</f>
        <v>100079</v>
      </c>
      <c r="G81" s="16" t="s">
        <v>113</v>
      </c>
      <c r="H81" s="16" t="str">
        <f t="shared" si="35"/>
        <v>14~21</v>
      </c>
      <c r="I81" s="19" t="s">
        <v>193</v>
      </c>
      <c r="J81" s="19" t="s">
        <v>117</v>
      </c>
      <c r="K81" s="20"/>
      <c r="L81" s="16" t="s">
        <v>165</v>
      </c>
      <c r="M81" s="7"/>
      <c r="N81" s="7"/>
      <c r="O81" s="8" t="s">
        <v>39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6">
        <v>100079</v>
      </c>
      <c r="B82" s="16" t="str">
        <f t="shared" si="36"/>
        <v>干扰弹</v>
      </c>
      <c r="C82" s="16" t="str">
        <f>表1[[#This Row],[name]]&amp;"+1"</f>
        <v>干扰弹+1</v>
      </c>
      <c r="D82" s="48" t="str">
        <f>[1]!颜色转换成内嵌函数()</f>
        <v>※color(88,214,202)[]</v>
      </c>
      <c r="E82" s="16">
        <f t="shared" si="37"/>
        <v>4</v>
      </c>
      <c r="F82" s="16">
        <f>IF(表1[[#This Row],[level]]+1=E83,A83,"")</f>
        <v>100080</v>
      </c>
      <c r="G82" s="16" t="s">
        <v>113</v>
      </c>
      <c r="H82" s="16" t="str">
        <f t="shared" si="35"/>
        <v>19~26</v>
      </c>
      <c r="I82" s="19" t="s">
        <v>193</v>
      </c>
      <c r="J82" s="19" t="s">
        <v>117</v>
      </c>
      <c r="K82" s="20"/>
      <c r="L82" s="16" t="s">
        <v>165</v>
      </c>
      <c r="M82" s="7"/>
      <c r="N82" s="7"/>
      <c r="O82" s="8" t="s">
        <v>39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6">
        <v>100080</v>
      </c>
      <c r="B83" s="16" t="str">
        <f t="shared" si="36"/>
        <v>干扰弹</v>
      </c>
      <c r="C83" s="16" t="str">
        <f>表1[[#This Row],[name]]&amp;"+1"</f>
        <v>干扰弹+1</v>
      </c>
      <c r="D83" s="48" t="str">
        <f>[1]!颜色转换成内嵌函数()</f>
        <v>※color(88,214,202)[]</v>
      </c>
      <c r="E83" s="16">
        <f t="shared" si="37"/>
        <v>5</v>
      </c>
      <c r="F83" s="16" t="str">
        <f>IF(表1[[#This Row],[level]]+1=E84,A84,"")</f>
        <v/>
      </c>
      <c r="G83" s="16" t="s">
        <v>113</v>
      </c>
      <c r="H83" s="16" t="str">
        <f t="shared" si="35"/>
        <v>23~30</v>
      </c>
      <c r="I83" s="19" t="s">
        <v>193</v>
      </c>
      <c r="J83" s="19" t="s">
        <v>117</v>
      </c>
      <c r="K83" s="20"/>
      <c r="L83" s="16" t="s">
        <v>155</v>
      </c>
      <c r="M83" s="7"/>
      <c r="N83" s="7"/>
      <c r="O83" s="8" t="s">
        <v>39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6">
        <v>100081</v>
      </c>
      <c r="B84" s="16" t="str">
        <f t="shared" si="36"/>
        <v>神威</v>
      </c>
      <c r="C84" s="16" t="str">
        <f>表1[[#This Row],[name]]&amp;"+1"</f>
        <v>神威+1</v>
      </c>
      <c r="D84" s="49" t="str">
        <f>[1]!颜色转换成内嵌函数()</f>
        <v>※color(93,152,171)[]</v>
      </c>
      <c r="E84" s="16">
        <f t="shared" si="37"/>
        <v>1</v>
      </c>
      <c r="F84" s="16">
        <f>IF(表1[[#This Row],[level]]+1=E85,A85,"")</f>
        <v>100082</v>
      </c>
      <c r="G84" s="16" t="s">
        <v>113</v>
      </c>
      <c r="H84" s="16" t="str">
        <f t="shared" si="35"/>
        <v>5~12</v>
      </c>
      <c r="I84" s="19" t="s">
        <v>194</v>
      </c>
      <c r="J84" s="19" t="s">
        <v>117</v>
      </c>
      <c r="K84" s="20"/>
      <c r="L84" s="16" t="s">
        <v>156</v>
      </c>
      <c r="M84" s="7"/>
      <c r="N84" s="7"/>
      <c r="O84" s="8" t="s">
        <v>40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6">
        <v>100082</v>
      </c>
      <c r="B85" s="16" t="str">
        <f t="shared" si="36"/>
        <v>神威</v>
      </c>
      <c r="C85" s="16" t="str">
        <f>表1[[#This Row],[name]]&amp;"+1"</f>
        <v>神威+1</v>
      </c>
      <c r="D85" s="49" t="str">
        <f>[1]!颜色转换成内嵌函数()</f>
        <v>※color(93,152,171)[]</v>
      </c>
      <c r="E85" s="16">
        <f t="shared" si="37"/>
        <v>2</v>
      </c>
      <c r="F85" s="16">
        <f>IF(表1[[#This Row],[level]]+1=E86,A86,"")</f>
        <v>100083</v>
      </c>
      <c r="G85" s="16" t="s">
        <v>113</v>
      </c>
      <c r="H85" s="16" t="str">
        <f t="shared" si="35"/>
        <v>10~17</v>
      </c>
      <c r="I85" s="19" t="s">
        <v>194</v>
      </c>
      <c r="J85" s="19" t="s">
        <v>117</v>
      </c>
      <c r="K85" s="20"/>
      <c r="L85" s="16" t="s">
        <v>156</v>
      </c>
      <c r="M85" s="7"/>
      <c r="N85" s="7"/>
      <c r="O85" s="8" t="s">
        <v>40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6">
        <v>100083</v>
      </c>
      <c r="B86" s="16" t="str">
        <f t="shared" si="36"/>
        <v>神威</v>
      </c>
      <c r="C86" s="16" t="str">
        <f>表1[[#This Row],[name]]&amp;"+1"</f>
        <v>神威+1</v>
      </c>
      <c r="D86" s="49" t="str">
        <f>[1]!颜色转换成内嵌函数()</f>
        <v>※color(93,152,171)[]</v>
      </c>
      <c r="E86" s="16">
        <f t="shared" si="37"/>
        <v>3</v>
      </c>
      <c r="F86" s="16">
        <f>IF(表1[[#This Row],[level]]+1=E87,A87,"")</f>
        <v>100084</v>
      </c>
      <c r="G86" s="16" t="s">
        <v>113</v>
      </c>
      <c r="H86" s="16" t="str">
        <f t="shared" si="35"/>
        <v>14~21</v>
      </c>
      <c r="I86" s="19" t="s">
        <v>194</v>
      </c>
      <c r="J86" s="19" t="s">
        <v>117</v>
      </c>
      <c r="K86" s="20"/>
      <c r="L86" s="16" t="s">
        <v>166</v>
      </c>
      <c r="M86" s="7"/>
      <c r="N86" s="7"/>
      <c r="O86" s="8" t="s">
        <v>40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6">
        <v>100084</v>
      </c>
      <c r="B87" s="16" t="str">
        <f t="shared" si="36"/>
        <v>神威</v>
      </c>
      <c r="C87" s="16" t="str">
        <f>表1[[#This Row],[name]]&amp;"+1"</f>
        <v>神威+1</v>
      </c>
      <c r="D87" s="49" t="str">
        <f>[1]!颜色转换成内嵌函数()</f>
        <v>※color(93,152,171)[]</v>
      </c>
      <c r="E87" s="16">
        <f t="shared" si="37"/>
        <v>4</v>
      </c>
      <c r="F87" s="16">
        <f>IF(表1[[#This Row],[level]]+1=E88,A88,"")</f>
        <v>100085</v>
      </c>
      <c r="G87" s="16" t="s">
        <v>113</v>
      </c>
      <c r="H87" s="16" t="str">
        <f t="shared" si="35"/>
        <v>19~26</v>
      </c>
      <c r="I87" s="19" t="s">
        <v>194</v>
      </c>
      <c r="J87" s="19" t="s">
        <v>117</v>
      </c>
      <c r="K87" s="20"/>
      <c r="L87" s="16" t="s">
        <v>166</v>
      </c>
      <c r="M87" s="7"/>
      <c r="N87" s="7"/>
      <c r="O87" s="8" t="s">
        <v>40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6">
        <v>100085</v>
      </c>
      <c r="B88" s="16" t="str">
        <f t="shared" si="36"/>
        <v>神威</v>
      </c>
      <c r="C88" s="16" t="str">
        <f>表1[[#This Row],[name]]&amp;"+1"</f>
        <v>神威+1</v>
      </c>
      <c r="D88" s="49" t="str">
        <f>[1]!颜色转换成内嵌函数()</f>
        <v>※color(93,152,171)[]</v>
      </c>
      <c r="E88" s="16">
        <f t="shared" si="37"/>
        <v>5</v>
      </c>
      <c r="F88" s="16" t="str">
        <f>IF(表1[[#This Row],[level]]+1=E89,A89,"")</f>
        <v/>
      </c>
      <c r="G88" s="16" t="s">
        <v>113</v>
      </c>
      <c r="H88" s="16" t="str">
        <f t="shared" si="35"/>
        <v>23~30</v>
      </c>
      <c r="I88" s="19" t="s">
        <v>194</v>
      </c>
      <c r="J88" s="19" t="s">
        <v>117</v>
      </c>
      <c r="K88" s="20"/>
      <c r="L88" s="16" t="s">
        <v>156</v>
      </c>
      <c r="M88" s="7"/>
      <c r="N88" s="7"/>
      <c r="O88" s="8" t="s">
        <v>40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6">
        <v>100086</v>
      </c>
      <c r="B89" s="16" t="str">
        <f t="shared" si="36"/>
        <v>时空转移</v>
      </c>
      <c r="C89" s="16" t="str">
        <f>表1[[#This Row],[name]]&amp;"+1"</f>
        <v>时空转移+1</v>
      </c>
      <c r="D89" s="50" t="str">
        <f>[1]!颜色转换成内嵌函数()</f>
        <v>※color(186,122,36)[]</v>
      </c>
      <c r="E89" s="16">
        <f t="shared" si="37"/>
        <v>1</v>
      </c>
      <c r="F89" s="16">
        <f>IF(表1[[#This Row],[level]]+1=E90,A90,"")</f>
        <v>100087</v>
      </c>
      <c r="G89" s="16" t="s">
        <v>113</v>
      </c>
      <c r="H89" s="16" t="str">
        <f t="shared" si="35"/>
        <v>5~12</v>
      </c>
      <c r="I89" s="19" t="s">
        <v>195</v>
      </c>
      <c r="J89" s="19" t="s">
        <v>117</v>
      </c>
      <c r="K89" s="20"/>
      <c r="L89" s="16" t="s">
        <v>158</v>
      </c>
      <c r="M89" s="7"/>
      <c r="N89" s="7"/>
      <c r="O89" s="8" t="s">
        <v>41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6">
        <v>100087</v>
      </c>
      <c r="B90" s="16" t="str">
        <f t="shared" si="36"/>
        <v>时空转移</v>
      </c>
      <c r="C90" s="16" t="str">
        <f>表1[[#This Row],[name]]&amp;"+1"</f>
        <v>时空转移+1</v>
      </c>
      <c r="D90" s="50" t="str">
        <f>[1]!颜色转换成内嵌函数()</f>
        <v>※color(186,122,36)[]</v>
      </c>
      <c r="E90" s="16">
        <f t="shared" si="37"/>
        <v>2</v>
      </c>
      <c r="F90" s="16">
        <f>IF(表1[[#This Row],[level]]+1=E91,A91,"")</f>
        <v>100088</v>
      </c>
      <c r="G90" s="16" t="s">
        <v>113</v>
      </c>
      <c r="H90" s="16" t="str">
        <f t="shared" si="35"/>
        <v>10~17</v>
      </c>
      <c r="I90" s="19" t="s">
        <v>195</v>
      </c>
      <c r="J90" s="19" t="s">
        <v>117</v>
      </c>
      <c r="K90" s="20"/>
      <c r="L90" s="16" t="s">
        <v>158</v>
      </c>
      <c r="M90" s="7"/>
      <c r="N90" s="7"/>
      <c r="O90" s="8" t="s">
        <v>41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6">
        <v>100088</v>
      </c>
      <c r="B91" s="16" t="str">
        <f t="shared" si="36"/>
        <v>时空转移</v>
      </c>
      <c r="C91" s="16" t="str">
        <f>表1[[#This Row],[name]]&amp;"+1"</f>
        <v>时空转移+1</v>
      </c>
      <c r="D91" s="50" t="str">
        <f>[1]!颜色转换成内嵌函数()</f>
        <v>※color(186,122,36)[]</v>
      </c>
      <c r="E91" s="16">
        <f t="shared" si="37"/>
        <v>3</v>
      </c>
      <c r="F91" s="16">
        <f>IF(表1[[#This Row],[level]]+1=E92,A92,"")</f>
        <v>100089</v>
      </c>
      <c r="G91" s="16" t="s">
        <v>113</v>
      </c>
      <c r="H91" s="16" t="str">
        <f t="shared" si="35"/>
        <v>14~21</v>
      </c>
      <c r="I91" s="19" t="s">
        <v>195</v>
      </c>
      <c r="J91" s="19" t="s">
        <v>117</v>
      </c>
      <c r="K91" s="20"/>
      <c r="L91" s="16" t="s">
        <v>158</v>
      </c>
      <c r="M91" s="7"/>
      <c r="N91" s="7"/>
      <c r="O91" s="8" t="s">
        <v>41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6">
        <v>100089</v>
      </c>
      <c r="B92" s="16" t="str">
        <f t="shared" si="36"/>
        <v>时空转移</v>
      </c>
      <c r="C92" s="16" t="str">
        <f>表1[[#This Row],[name]]&amp;"+1"</f>
        <v>时空转移+1</v>
      </c>
      <c r="D92" s="50" t="str">
        <f>[1]!颜色转换成内嵌函数()</f>
        <v>※color(186,122,36)[]</v>
      </c>
      <c r="E92" s="16">
        <f t="shared" si="37"/>
        <v>4</v>
      </c>
      <c r="F92" s="16">
        <f>IF(表1[[#This Row],[level]]+1=E93,A93,"")</f>
        <v>100090</v>
      </c>
      <c r="G92" s="16" t="s">
        <v>113</v>
      </c>
      <c r="H92" s="16" t="str">
        <f t="shared" si="35"/>
        <v>19~26</v>
      </c>
      <c r="I92" s="19" t="s">
        <v>195</v>
      </c>
      <c r="J92" s="19" t="s">
        <v>117</v>
      </c>
      <c r="K92" s="20"/>
      <c r="L92" s="16" t="s">
        <v>158</v>
      </c>
      <c r="M92" s="7"/>
      <c r="N92" s="7"/>
      <c r="O92" s="8" t="s">
        <v>41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6">
        <v>100090</v>
      </c>
      <c r="B93" s="16" t="str">
        <f t="shared" si="36"/>
        <v>时空转移</v>
      </c>
      <c r="C93" s="16" t="str">
        <f>表1[[#This Row],[name]]&amp;"+1"</f>
        <v>时空转移+1</v>
      </c>
      <c r="D93" s="50" t="str">
        <f>[1]!颜色转换成内嵌函数()</f>
        <v>※color(186,122,36)[]</v>
      </c>
      <c r="E93" s="16">
        <f t="shared" si="37"/>
        <v>5</v>
      </c>
      <c r="F93" s="16" t="str">
        <f>IF(表1[[#This Row],[level]]+1=E94,A94,"")</f>
        <v/>
      </c>
      <c r="G93" s="16" t="s">
        <v>113</v>
      </c>
      <c r="H93" s="16" t="str">
        <f t="shared" si="35"/>
        <v>23~30</v>
      </c>
      <c r="I93" s="19" t="s">
        <v>195</v>
      </c>
      <c r="J93" s="19" t="s">
        <v>117</v>
      </c>
      <c r="K93" s="20"/>
      <c r="L93" s="16" t="s">
        <v>167</v>
      </c>
      <c r="M93" s="7"/>
      <c r="N93" s="7"/>
      <c r="O93" s="8" t="s">
        <v>41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6">
        <v>100091</v>
      </c>
      <c r="B94" s="16" t="str">
        <f t="shared" si="36"/>
        <v>死亡标记</v>
      </c>
      <c r="C94" s="16" t="str">
        <f>表1[[#This Row],[name]]&amp;"+1"</f>
        <v>死亡标记+1</v>
      </c>
      <c r="D94" s="45" t="str">
        <f>[1]!颜色转换成内嵌函数()</f>
        <v>※color(181,79,79)[]</v>
      </c>
      <c r="E94" s="16">
        <f t="shared" si="37"/>
        <v>1</v>
      </c>
      <c r="F94" s="16">
        <f>IF(表1[[#This Row],[level]]+1=E95,A95,"")</f>
        <v>100092</v>
      </c>
      <c r="G94" s="16" t="s">
        <v>113</v>
      </c>
      <c r="H94" s="16" t="str">
        <f t="shared" si="35"/>
        <v>5~12</v>
      </c>
      <c r="I94" s="19" t="s">
        <v>196</v>
      </c>
      <c r="J94" s="19" t="s">
        <v>117</v>
      </c>
      <c r="K94" s="20"/>
      <c r="L94" s="16" t="s">
        <v>160</v>
      </c>
      <c r="M94" s="7"/>
      <c r="N94" s="7"/>
      <c r="O94" s="8" t="s">
        <v>42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6">
        <v>100092</v>
      </c>
      <c r="B95" s="16" t="str">
        <f t="shared" si="36"/>
        <v>死亡标记</v>
      </c>
      <c r="C95" s="16" t="str">
        <f>表1[[#This Row],[name]]&amp;"+1"</f>
        <v>死亡标记+1</v>
      </c>
      <c r="D95" s="45" t="str">
        <f>[1]!颜色转换成内嵌函数()</f>
        <v>※color(181,79,79)[]</v>
      </c>
      <c r="E95" s="16">
        <f t="shared" si="37"/>
        <v>2</v>
      </c>
      <c r="F95" s="16">
        <f>IF(表1[[#This Row],[level]]+1=E96,A96,"")</f>
        <v>100093</v>
      </c>
      <c r="G95" s="16" t="s">
        <v>113</v>
      </c>
      <c r="H95" s="16" t="str">
        <f t="shared" si="35"/>
        <v>10~17</v>
      </c>
      <c r="I95" s="19" t="s">
        <v>196</v>
      </c>
      <c r="J95" s="19" t="s">
        <v>117</v>
      </c>
      <c r="K95" s="20"/>
      <c r="L95" s="16" t="s">
        <v>159</v>
      </c>
      <c r="M95" s="7"/>
      <c r="N95" s="7"/>
      <c r="O95" s="8" t="s">
        <v>42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6">
        <v>100093</v>
      </c>
      <c r="B96" s="16" t="str">
        <f t="shared" si="36"/>
        <v>死亡标记</v>
      </c>
      <c r="C96" s="16" t="str">
        <f>表1[[#This Row],[name]]&amp;"+1"</f>
        <v>死亡标记+1</v>
      </c>
      <c r="D96" s="45" t="str">
        <f>[1]!颜色转换成内嵌函数()</f>
        <v>※color(181,79,79)[]</v>
      </c>
      <c r="E96" s="16">
        <f t="shared" si="37"/>
        <v>3</v>
      </c>
      <c r="F96" s="16">
        <f>IF(表1[[#This Row],[level]]+1=E97,A97,"")</f>
        <v>100094</v>
      </c>
      <c r="G96" s="16" t="s">
        <v>113</v>
      </c>
      <c r="H96" s="16" t="str">
        <f t="shared" si="35"/>
        <v>14~21</v>
      </c>
      <c r="I96" s="19" t="s">
        <v>196</v>
      </c>
      <c r="J96" s="19" t="s">
        <v>117</v>
      </c>
      <c r="K96" s="20"/>
      <c r="L96" s="16" t="s">
        <v>159</v>
      </c>
      <c r="M96" s="7"/>
      <c r="N96" s="7"/>
      <c r="O96" s="8" t="s">
        <v>42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6">
        <v>100094</v>
      </c>
      <c r="B97" s="16" t="str">
        <f t="shared" si="36"/>
        <v>死亡标记</v>
      </c>
      <c r="C97" s="16" t="str">
        <f>表1[[#This Row],[name]]&amp;"+1"</f>
        <v>死亡标记+1</v>
      </c>
      <c r="D97" s="45" t="str">
        <f>[1]!颜色转换成内嵌函数()</f>
        <v>※color(181,79,79)[]</v>
      </c>
      <c r="E97" s="16">
        <f t="shared" si="37"/>
        <v>4</v>
      </c>
      <c r="F97" s="16">
        <f>IF(表1[[#This Row],[level]]+1=E98,A98,"")</f>
        <v>100095</v>
      </c>
      <c r="G97" s="16" t="s">
        <v>113</v>
      </c>
      <c r="H97" s="16" t="str">
        <f t="shared" si="35"/>
        <v>19~26</v>
      </c>
      <c r="I97" s="19" t="s">
        <v>196</v>
      </c>
      <c r="J97" s="19" t="s">
        <v>117</v>
      </c>
      <c r="K97" s="20"/>
      <c r="L97" s="16" t="s">
        <v>159</v>
      </c>
      <c r="M97" s="7"/>
      <c r="N97" s="7"/>
      <c r="O97" s="8" t="s">
        <v>42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6">
        <v>100095</v>
      </c>
      <c r="B98" s="16" t="str">
        <f>O98</f>
        <v>死亡标记</v>
      </c>
      <c r="C98" s="16" t="str">
        <f>表1[[#This Row],[name]]&amp;"+1"</f>
        <v>死亡标记+1</v>
      </c>
      <c r="D98" s="45" t="str">
        <f>[1]!颜色转换成内嵌函数()</f>
        <v>※color(181,79,79)[]</v>
      </c>
      <c r="E98" s="16">
        <f t="shared" si="37"/>
        <v>5</v>
      </c>
      <c r="F98" s="16" t="str">
        <f>IF(表1[[#This Row],[level]]+1=E99,A99,"")</f>
        <v/>
      </c>
      <c r="G98" s="16" t="s">
        <v>113</v>
      </c>
      <c r="H98" s="16" t="str">
        <f t="shared" si="35"/>
        <v>23~30</v>
      </c>
      <c r="I98" s="19" t="s">
        <v>196</v>
      </c>
      <c r="J98" s="19" t="s">
        <v>117</v>
      </c>
      <c r="K98" s="20"/>
      <c r="L98" s="16" t="s">
        <v>160</v>
      </c>
      <c r="M98" s="7"/>
      <c r="N98" s="7"/>
      <c r="O98" s="8" t="s">
        <v>42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6">
        <v>100096</v>
      </c>
      <c r="B99" s="16" t="str">
        <f t="shared" ref="B99:B116" si="50">O99</f>
        <v>虫洞</v>
      </c>
      <c r="C99" s="16" t="str">
        <f>表1[[#This Row],[name]]&amp;"+1"</f>
        <v>虫洞+1</v>
      </c>
      <c r="D99" s="46" t="str">
        <f>[1]!颜色转换成内嵌函数()</f>
        <v>※color(181,79,162)[]</v>
      </c>
      <c r="E99" s="16">
        <f t="shared" si="37"/>
        <v>1</v>
      </c>
      <c r="F99" s="16">
        <f>IF(表1[[#This Row],[level]]+1=E100,A100,"")</f>
        <v>100097</v>
      </c>
      <c r="G99" s="16" t="s">
        <v>113</v>
      </c>
      <c r="H99" s="16" t="str">
        <f t="shared" si="35"/>
        <v>5~12</v>
      </c>
      <c r="I99" s="19" t="s">
        <v>197</v>
      </c>
      <c r="J99" s="19" t="s">
        <v>117</v>
      </c>
      <c r="K99" s="20"/>
      <c r="L99" s="16" t="s">
        <v>162</v>
      </c>
      <c r="M99" s="7"/>
      <c r="N99" s="7"/>
      <c r="O99" s="8" t="s">
        <v>43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6">
        <v>100097</v>
      </c>
      <c r="B100" s="16" t="str">
        <f t="shared" si="50"/>
        <v>虫洞</v>
      </c>
      <c r="C100" s="16" t="str">
        <f>表1[[#This Row],[name]]&amp;"+1"</f>
        <v>虫洞+1</v>
      </c>
      <c r="D100" s="46" t="str">
        <f>[1]!颜色转换成内嵌函数()</f>
        <v>※color(181,79,162)[]</v>
      </c>
      <c r="E100" s="16">
        <f t="shared" si="37"/>
        <v>2</v>
      </c>
      <c r="F100" s="16">
        <f>IF(表1[[#This Row],[level]]+1=E101,A101,"")</f>
        <v>100098</v>
      </c>
      <c r="G100" s="16" t="s">
        <v>113</v>
      </c>
      <c r="H100" s="16" t="str">
        <f t="shared" si="35"/>
        <v>10~17</v>
      </c>
      <c r="I100" s="19" t="s">
        <v>197</v>
      </c>
      <c r="J100" s="19" t="s">
        <v>117</v>
      </c>
      <c r="K100" s="20"/>
      <c r="L100" s="16" t="s">
        <v>162</v>
      </c>
      <c r="M100" s="7"/>
      <c r="N100" s="7"/>
      <c r="O100" s="8" t="s">
        <v>43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6">
        <v>100098</v>
      </c>
      <c r="B101" s="16" t="str">
        <f t="shared" si="50"/>
        <v>虫洞</v>
      </c>
      <c r="C101" s="16" t="str">
        <f>表1[[#This Row],[name]]&amp;"+1"</f>
        <v>虫洞+1</v>
      </c>
      <c r="D101" s="46" t="str">
        <f>[1]!颜色转换成内嵌函数()</f>
        <v>※color(181,79,162)[]</v>
      </c>
      <c r="E101" s="16">
        <f t="shared" si="37"/>
        <v>3</v>
      </c>
      <c r="F101" s="16">
        <f>IF(表1[[#This Row],[level]]+1=E102,A102,"")</f>
        <v>100099</v>
      </c>
      <c r="G101" s="16" t="s">
        <v>113</v>
      </c>
      <c r="H101" s="16" t="str">
        <f t="shared" si="35"/>
        <v>14~21</v>
      </c>
      <c r="I101" s="19" t="s">
        <v>197</v>
      </c>
      <c r="J101" s="19" t="s">
        <v>117</v>
      </c>
      <c r="K101" s="20"/>
      <c r="L101" s="16" t="s">
        <v>162</v>
      </c>
      <c r="M101" s="7"/>
      <c r="N101" s="7"/>
      <c r="O101" s="8" t="s">
        <v>43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6">
        <v>100099</v>
      </c>
      <c r="B102" s="16" t="str">
        <f t="shared" si="50"/>
        <v>虫洞</v>
      </c>
      <c r="C102" s="16" t="str">
        <f>表1[[#This Row],[name]]&amp;"+1"</f>
        <v>虫洞+1</v>
      </c>
      <c r="D102" s="46" t="str">
        <f>[1]!颜色转换成内嵌函数()</f>
        <v>※color(181,79,162)[]</v>
      </c>
      <c r="E102" s="16">
        <f t="shared" si="37"/>
        <v>4</v>
      </c>
      <c r="F102" s="16">
        <f>IF(表1[[#This Row],[level]]+1=E103,A103,"")</f>
        <v>100100</v>
      </c>
      <c r="G102" s="16" t="s">
        <v>113</v>
      </c>
      <c r="H102" s="16" t="str">
        <f t="shared" si="35"/>
        <v>19~26</v>
      </c>
      <c r="I102" s="19" t="s">
        <v>197</v>
      </c>
      <c r="J102" s="19" t="s">
        <v>117</v>
      </c>
      <c r="K102" s="20"/>
      <c r="L102" s="16" t="s">
        <v>161</v>
      </c>
      <c r="M102" s="7"/>
      <c r="N102" s="7"/>
      <c r="O102" s="8" t="s">
        <v>43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6">
        <v>100100</v>
      </c>
      <c r="B103" s="16" t="str">
        <f t="shared" si="50"/>
        <v>虫洞</v>
      </c>
      <c r="C103" s="16" t="str">
        <f>表1[[#This Row],[name]]&amp;"+1"</f>
        <v>虫洞+1</v>
      </c>
      <c r="D103" s="46" t="str">
        <f>[1]!颜色转换成内嵌函数()</f>
        <v>※color(181,79,162)[]</v>
      </c>
      <c r="E103" s="16">
        <f t="shared" si="37"/>
        <v>5</v>
      </c>
      <c r="F103" s="16" t="str">
        <f>IF(表1[[#This Row],[level]]+1=E104,A104,"")</f>
        <v/>
      </c>
      <c r="G103" s="16" t="s">
        <v>113</v>
      </c>
      <c r="H103" s="16" t="str">
        <f t="shared" si="35"/>
        <v>23~30</v>
      </c>
      <c r="I103" s="19" t="s">
        <v>197</v>
      </c>
      <c r="J103" s="19" t="s">
        <v>117</v>
      </c>
      <c r="K103" s="20"/>
      <c r="L103" s="16" t="s">
        <v>161</v>
      </c>
      <c r="M103" s="7"/>
      <c r="N103" s="7"/>
      <c r="O103" s="8" t="s">
        <v>43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6">
        <v>100101</v>
      </c>
      <c r="B104" s="16" t="str">
        <f t="shared" si="50"/>
        <v>偏转涂层</v>
      </c>
      <c r="C104" s="16" t="str">
        <f>表1[[#This Row],[name]]&amp;"+1"</f>
        <v>偏转涂层+1</v>
      </c>
      <c r="D104" s="47" t="str">
        <f>[1]!颜色转换成内嵌函数()</f>
        <v>※color(195,213,89)[]</v>
      </c>
      <c r="E104" s="16">
        <f t="shared" si="37"/>
        <v>1</v>
      </c>
      <c r="F104" s="16">
        <f>IF(表1[[#This Row],[level]]+1=E105,A105,"")</f>
        <v>100102</v>
      </c>
      <c r="G104" s="16" t="s">
        <v>113</v>
      </c>
      <c r="H104" s="16" t="str">
        <f t="shared" si="35"/>
        <v>5~12</v>
      </c>
      <c r="I104" s="19" t="s">
        <v>198</v>
      </c>
      <c r="J104" s="19" t="s">
        <v>117</v>
      </c>
      <c r="K104" s="20"/>
      <c r="L104" s="16" t="s">
        <v>146</v>
      </c>
      <c r="M104" s="7"/>
      <c r="N104" s="7"/>
      <c r="O104" s="8" t="s">
        <v>44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6">
        <v>100102</v>
      </c>
      <c r="B105" s="16" t="str">
        <f t="shared" si="50"/>
        <v>偏转涂层</v>
      </c>
      <c r="C105" s="16" t="str">
        <f>表1[[#This Row],[name]]&amp;"+1"</f>
        <v>偏转涂层+1</v>
      </c>
      <c r="D105" s="47" t="str">
        <f>[1]!颜色转换成内嵌函数()</f>
        <v>※color(195,213,89)[]</v>
      </c>
      <c r="E105" s="16">
        <f t="shared" si="37"/>
        <v>2</v>
      </c>
      <c r="F105" s="16">
        <f>IF(表1[[#This Row],[level]]+1=E106,A106,"")</f>
        <v>100103</v>
      </c>
      <c r="G105" s="16" t="s">
        <v>113</v>
      </c>
      <c r="H105" s="16" t="str">
        <f t="shared" si="35"/>
        <v>10~17</v>
      </c>
      <c r="I105" s="19" t="s">
        <v>198</v>
      </c>
      <c r="J105" s="19" t="s">
        <v>117</v>
      </c>
      <c r="K105" s="20"/>
      <c r="L105" s="16" t="s">
        <v>146</v>
      </c>
      <c r="M105" s="7"/>
      <c r="N105" s="7"/>
      <c r="O105" s="8" t="s">
        <v>44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6">
        <v>100103</v>
      </c>
      <c r="B106" s="16" t="str">
        <f t="shared" si="50"/>
        <v>偏转涂层</v>
      </c>
      <c r="C106" s="16" t="str">
        <f>表1[[#This Row],[name]]&amp;"+1"</f>
        <v>偏转涂层+1</v>
      </c>
      <c r="D106" s="47" t="str">
        <f>[1]!颜色转换成内嵌函数()</f>
        <v>※color(195,213,89)[]</v>
      </c>
      <c r="E106" s="16">
        <f t="shared" si="37"/>
        <v>3</v>
      </c>
      <c r="F106" s="16">
        <f>IF(表1[[#This Row],[level]]+1=E107,A107,"")</f>
        <v>100104</v>
      </c>
      <c r="G106" s="16" t="s">
        <v>113</v>
      </c>
      <c r="H106" s="16" t="str">
        <f t="shared" si="35"/>
        <v>14~21</v>
      </c>
      <c r="I106" s="19" t="s">
        <v>198</v>
      </c>
      <c r="J106" s="19" t="s">
        <v>117</v>
      </c>
      <c r="K106" s="20"/>
      <c r="L106" s="16" t="s">
        <v>147</v>
      </c>
      <c r="M106" s="7"/>
      <c r="N106" s="7"/>
      <c r="O106" s="8" t="s">
        <v>44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6">
        <v>100104</v>
      </c>
      <c r="B107" s="16" t="str">
        <f t="shared" si="50"/>
        <v>偏转涂层</v>
      </c>
      <c r="C107" s="16" t="str">
        <f>表1[[#This Row],[name]]&amp;"+1"</f>
        <v>偏转涂层+1</v>
      </c>
      <c r="D107" s="47" t="str">
        <f>[1]!颜色转换成内嵌函数()</f>
        <v>※color(195,213,89)[]</v>
      </c>
      <c r="E107" s="16">
        <f t="shared" si="37"/>
        <v>4</v>
      </c>
      <c r="F107" s="16">
        <f>IF(表1[[#This Row],[level]]+1=E108,A108,"")</f>
        <v>100105</v>
      </c>
      <c r="G107" s="16" t="s">
        <v>113</v>
      </c>
      <c r="H107" s="16" t="str">
        <f t="shared" si="35"/>
        <v>19~26</v>
      </c>
      <c r="I107" s="19" t="s">
        <v>198</v>
      </c>
      <c r="J107" s="19" t="s">
        <v>117</v>
      </c>
      <c r="K107" s="20"/>
      <c r="L107" s="16" t="s">
        <v>147</v>
      </c>
      <c r="M107" s="7"/>
      <c r="N107" s="7"/>
      <c r="O107" s="8" t="s">
        <v>44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6">
        <v>100105</v>
      </c>
      <c r="B108" s="16" t="str">
        <f t="shared" si="50"/>
        <v>偏转涂层</v>
      </c>
      <c r="C108" s="16" t="str">
        <f>表1[[#This Row],[name]]&amp;"+1"</f>
        <v>偏转涂层+1</v>
      </c>
      <c r="D108" s="47" t="str">
        <f>[1]!颜色转换成内嵌函数()</f>
        <v>※color(195,213,89)[]</v>
      </c>
      <c r="E108" s="16">
        <f t="shared" si="37"/>
        <v>5</v>
      </c>
      <c r="F108" s="16" t="str">
        <f>IF(表1[[#This Row],[level]]+1=E109,A109,"")</f>
        <v/>
      </c>
      <c r="G108" s="16" t="s">
        <v>113</v>
      </c>
      <c r="H108" s="16" t="str">
        <f t="shared" si="35"/>
        <v>23~30</v>
      </c>
      <c r="I108" s="19" t="s">
        <v>198</v>
      </c>
      <c r="J108" s="19" t="s">
        <v>117</v>
      </c>
      <c r="K108" s="20"/>
      <c r="L108" s="16" t="s">
        <v>147</v>
      </c>
      <c r="M108" s="7"/>
      <c r="N108" s="7"/>
      <c r="O108" s="8" t="s">
        <v>44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6">
        <v>100106</v>
      </c>
      <c r="B109" s="16" t="str">
        <f t="shared" si="50"/>
        <v>伤痛记忆</v>
      </c>
      <c r="C109" s="16" t="str">
        <f>表1[[#This Row],[name]]&amp;"+1"</f>
        <v>伤痛记忆+1</v>
      </c>
      <c r="D109" s="48" t="str">
        <f>[1]!颜色转换成内嵌函数()</f>
        <v>※color(88,214,202)[]</v>
      </c>
      <c r="E109" s="16">
        <f t="shared" si="37"/>
        <v>1</v>
      </c>
      <c r="F109" s="16">
        <f>IF(表1[[#This Row],[level]]+1=E110,A110,"")</f>
        <v>100107</v>
      </c>
      <c r="G109" s="16" t="s">
        <v>113</v>
      </c>
      <c r="H109" s="16" t="str">
        <f t="shared" si="35"/>
        <v>5~12</v>
      </c>
      <c r="I109" s="19" t="s">
        <v>199</v>
      </c>
      <c r="J109" s="19" t="s">
        <v>117</v>
      </c>
      <c r="K109" s="20"/>
      <c r="L109" s="16" t="s">
        <v>164</v>
      </c>
      <c r="M109" s="7"/>
      <c r="N109" s="7"/>
      <c r="O109" s="8" t="s">
        <v>45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6">
        <v>100107</v>
      </c>
      <c r="B110" s="16" t="str">
        <f t="shared" si="50"/>
        <v>伤痛记忆</v>
      </c>
      <c r="C110" s="16" t="str">
        <f>表1[[#This Row],[name]]&amp;"+1"</f>
        <v>伤痛记忆+1</v>
      </c>
      <c r="D110" s="48" t="str">
        <f>[1]!颜色转换成内嵌函数()</f>
        <v>※color(88,214,202)[]</v>
      </c>
      <c r="E110" s="16">
        <f t="shared" si="37"/>
        <v>2</v>
      </c>
      <c r="F110" s="16">
        <f>IF(表1[[#This Row],[level]]+1=E111,A111,"")</f>
        <v>100108</v>
      </c>
      <c r="G110" s="16" t="s">
        <v>113</v>
      </c>
      <c r="H110" s="16" t="str">
        <f t="shared" si="35"/>
        <v>10~17</v>
      </c>
      <c r="I110" s="19" t="s">
        <v>199</v>
      </c>
      <c r="J110" s="19" t="s">
        <v>117</v>
      </c>
      <c r="K110" s="20"/>
      <c r="L110" s="16" t="s">
        <v>168</v>
      </c>
      <c r="M110" s="7"/>
      <c r="N110" s="7"/>
      <c r="O110" s="8" t="s">
        <v>45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6">
        <v>100108</v>
      </c>
      <c r="B111" s="16" t="str">
        <f t="shared" si="50"/>
        <v>伤痛记忆</v>
      </c>
      <c r="C111" s="16" t="str">
        <f>表1[[#This Row],[name]]&amp;"+1"</f>
        <v>伤痛记忆+1</v>
      </c>
      <c r="D111" s="48" t="str">
        <f>[1]!颜色转换成内嵌函数()</f>
        <v>※color(88,214,202)[]</v>
      </c>
      <c r="E111" s="16">
        <f t="shared" si="37"/>
        <v>3</v>
      </c>
      <c r="F111" s="16">
        <f>IF(表1[[#This Row],[level]]+1=E112,A112,"")</f>
        <v>100109</v>
      </c>
      <c r="G111" s="16" t="s">
        <v>113</v>
      </c>
      <c r="H111" s="16" t="str">
        <f t="shared" si="35"/>
        <v>14~21</v>
      </c>
      <c r="I111" s="19" t="s">
        <v>199</v>
      </c>
      <c r="J111" s="19" t="s">
        <v>117</v>
      </c>
      <c r="K111" s="20"/>
      <c r="L111" s="16" t="s">
        <v>164</v>
      </c>
      <c r="M111" s="7"/>
      <c r="N111" s="7"/>
      <c r="O111" s="8" t="s">
        <v>45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6">
        <v>100109</v>
      </c>
      <c r="B112" s="16" t="str">
        <f t="shared" si="50"/>
        <v>伤痛记忆</v>
      </c>
      <c r="C112" s="16" t="str">
        <f>表1[[#This Row],[name]]&amp;"+1"</f>
        <v>伤痛记忆+1</v>
      </c>
      <c r="D112" s="48" t="str">
        <f>[1]!颜色转换成内嵌函数()</f>
        <v>※color(88,214,202)[]</v>
      </c>
      <c r="E112" s="16">
        <f t="shared" si="37"/>
        <v>4</v>
      </c>
      <c r="F112" s="16">
        <f>IF(表1[[#This Row],[level]]+1=E113,A113,"")</f>
        <v>100110</v>
      </c>
      <c r="G112" s="16" t="s">
        <v>113</v>
      </c>
      <c r="H112" s="16" t="str">
        <f t="shared" si="35"/>
        <v>19~26</v>
      </c>
      <c r="I112" s="19" t="s">
        <v>199</v>
      </c>
      <c r="J112" s="19" t="s">
        <v>117</v>
      </c>
      <c r="K112" s="20"/>
      <c r="L112" s="16" t="s">
        <v>168</v>
      </c>
      <c r="M112" s="7"/>
      <c r="N112" s="7"/>
      <c r="O112" s="8" t="s">
        <v>45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6">
        <v>100110</v>
      </c>
      <c r="B113" s="16" t="str">
        <f t="shared" si="50"/>
        <v>伤痛记忆</v>
      </c>
      <c r="C113" s="16" t="str">
        <f>表1[[#This Row],[name]]&amp;"+1"</f>
        <v>伤痛记忆+1</v>
      </c>
      <c r="D113" s="48" t="str">
        <f>[1]!颜色转换成内嵌函数()</f>
        <v>※color(88,214,202)[]</v>
      </c>
      <c r="E113" s="16">
        <f t="shared" si="37"/>
        <v>5</v>
      </c>
      <c r="F113" s="16" t="str">
        <f>IF(表1[[#This Row],[level]]+1=E114,A114,"")</f>
        <v/>
      </c>
      <c r="G113" s="16" t="s">
        <v>113</v>
      </c>
      <c r="H113" s="16" t="str">
        <f t="shared" si="35"/>
        <v>23~30</v>
      </c>
      <c r="I113" s="19" t="s">
        <v>199</v>
      </c>
      <c r="J113" s="19" t="s">
        <v>117</v>
      </c>
      <c r="K113" s="20"/>
      <c r="L113" s="16" t="s">
        <v>164</v>
      </c>
      <c r="M113" s="7"/>
      <c r="N113" s="7"/>
      <c r="O113" s="8" t="s">
        <v>45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6">
        <v>100111</v>
      </c>
      <c r="B114" s="16" t="str">
        <f t="shared" si="50"/>
        <v>急速填装</v>
      </c>
      <c r="C114" s="16" t="str">
        <f>表1[[#This Row],[name]]&amp;"+1"</f>
        <v>急速填装+1</v>
      </c>
      <c r="D114" s="49" t="str">
        <f>[1]!颜色转换成内嵌函数()</f>
        <v>※color(93,152,171)[]</v>
      </c>
      <c r="E114" s="16">
        <f t="shared" si="37"/>
        <v>1</v>
      </c>
      <c r="F114" s="16">
        <f>IF(表1[[#This Row],[level]]+1=E115,A115,"")</f>
        <v>100112</v>
      </c>
      <c r="G114" s="16" t="s">
        <v>113</v>
      </c>
      <c r="H114" s="16" t="str">
        <f t="shared" si="35"/>
        <v>5~12</v>
      </c>
      <c r="I114" s="19" t="s">
        <v>200</v>
      </c>
      <c r="J114" s="19" t="s">
        <v>117</v>
      </c>
      <c r="K114" s="20"/>
      <c r="L114" s="16" t="s">
        <v>149</v>
      </c>
      <c r="M114" s="7"/>
      <c r="N114" s="7"/>
      <c r="O114" s="8" t="s">
        <v>46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6">
        <v>100112</v>
      </c>
      <c r="B115" s="16" t="str">
        <f t="shared" si="50"/>
        <v>急速填装</v>
      </c>
      <c r="C115" s="16" t="str">
        <f>表1[[#This Row],[name]]&amp;"+1"</f>
        <v>急速填装+1</v>
      </c>
      <c r="D115" s="49" t="str">
        <f>[1]!颜色转换成内嵌函数()</f>
        <v>※color(93,152,171)[]</v>
      </c>
      <c r="E115" s="16">
        <f t="shared" si="37"/>
        <v>2</v>
      </c>
      <c r="F115" s="16">
        <f>IF(表1[[#This Row],[level]]+1=E116,A116,"")</f>
        <v>100113</v>
      </c>
      <c r="G115" s="16" t="s">
        <v>113</v>
      </c>
      <c r="H115" s="16" t="str">
        <f t="shared" si="35"/>
        <v>10~17</v>
      </c>
      <c r="I115" s="19" t="s">
        <v>200</v>
      </c>
      <c r="J115" s="19" t="s">
        <v>117</v>
      </c>
      <c r="K115" s="20"/>
      <c r="L115" s="16" t="s">
        <v>149</v>
      </c>
      <c r="M115" s="7"/>
      <c r="N115" s="7"/>
      <c r="O115" s="8" t="s">
        <v>46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6">
        <v>100113</v>
      </c>
      <c r="B116" s="16" t="str">
        <f t="shared" si="50"/>
        <v>急速填装</v>
      </c>
      <c r="C116" s="16" t="str">
        <f>表1[[#This Row],[name]]&amp;"+1"</f>
        <v>急速填装+1</v>
      </c>
      <c r="D116" s="49" t="str">
        <f>[1]!颜色转换成内嵌函数()</f>
        <v>※color(93,152,171)[]</v>
      </c>
      <c r="E116" s="16">
        <f t="shared" si="37"/>
        <v>3</v>
      </c>
      <c r="F116" s="16">
        <f>IF(表1[[#This Row],[level]]+1=E117,A117,"")</f>
        <v>100114</v>
      </c>
      <c r="G116" s="16" t="s">
        <v>113</v>
      </c>
      <c r="H116" s="16" t="str">
        <f t="shared" si="35"/>
        <v>14~21</v>
      </c>
      <c r="I116" s="19" t="s">
        <v>200</v>
      </c>
      <c r="J116" s="19" t="s">
        <v>117</v>
      </c>
      <c r="K116" s="20"/>
      <c r="L116" s="16" t="s">
        <v>149</v>
      </c>
      <c r="M116" s="7"/>
      <c r="N116" s="7"/>
      <c r="O116" s="8" t="s">
        <v>46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6">
        <v>100114</v>
      </c>
      <c r="B117" s="16" t="str">
        <f>O117</f>
        <v>急速填装</v>
      </c>
      <c r="C117" s="16" t="str">
        <f>表1[[#This Row],[name]]&amp;"+1"</f>
        <v>急速填装+1</v>
      </c>
      <c r="D117" s="49" t="str">
        <f>[1]!颜色转换成内嵌函数()</f>
        <v>※color(93,152,171)[]</v>
      </c>
      <c r="E117" s="16">
        <f t="shared" si="37"/>
        <v>4</v>
      </c>
      <c r="F117" s="16">
        <f>IF(表1[[#This Row],[level]]+1=E118,A118,"")</f>
        <v>100115</v>
      </c>
      <c r="G117" s="16" t="s">
        <v>113</v>
      </c>
      <c r="H117" s="16" t="str">
        <f t="shared" si="35"/>
        <v>19~26</v>
      </c>
      <c r="I117" s="19" t="s">
        <v>200</v>
      </c>
      <c r="J117" s="19" t="s">
        <v>117</v>
      </c>
      <c r="K117" s="20"/>
      <c r="L117" s="16" t="s">
        <v>149</v>
      </c>
      <c r="M117" s="7"/>
      <c r="N117" s="7"/>
      <c r="O117" s="8" t="s">
        <v>46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6">
        <v>100115</v>
      </c>
      <c r="B118" s="16" t="str">
        <f t="shared" ref="B118:B138" si="60">O118</f>
        <v>急速填装</v>
      </c>
      <c r="C118" s="16" t="str">
        <f>表1[[#This Row],[name]]&amp;"+1"</f>
        <v>急速填装+1</v>
      </c>
      <c r="D118" s="49" t="str">
        <f>[1]!颜色转换成内嵌函数()</f>
        <v>※color(93,152,171)[]</v>
      </c>
      <c r="E118" s="16">
        <f t="shared" si="37"/>
        <v>5</v>
      </c>
      <c r="F118" s="16" t="str">
        <f>IF(表1[[#This Row],[level]]+1=E119,A119,"")</f>
        <v/>
      </c>
      <c r="G118" s="16" t="s">
        <v>113</v>
      </c>
      <c r="H118" s="16" t="str">
        <f t="shared" si="35"/>
        <v>23~30</v>
      </c>
      <c r="I118" s="19" t="s">
        <v>200</v>
      </c>
      <c r="J118" s="19" t="s">
        <v>117</v>
      </c>
      <c r="K118" s="20"/>
      <c r="L118" s="16" t="s">
        <v>150</v>
      </c>
      <c r="M118" s="7"/>
      <c r="N118" s="7"/>
      <c r="O118" s="8" t="s">
        <v>46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6">
        <v>100116</v>
      </c>
      <c r="B119" s="16" t="str">
        <f t="shared" si="60"/>
        <v>召唤炮台</v>
      </c>
      <c r="C119" s="16" t="str">
        <f>表1[[#This Row],[name]]&amp;"+1"</f>
        <v>召唤炮台+1</v>
      </c>
      <c r="D119" s="50" t="str">
        <f>[1]!颜色转换成内嵌函数()</f>
        <v>※color(186,122,36)[]</v>
      </c>
      <c r="E119" s="16">
        <f t="shared" si="37"/>
        <v>1</v>
      </c>
      <c r="F119" s="16">
        <f>IF(表1[[#This Row],[level]]+1=E120,A120,"")</f>
        <v>100117</v>
      </c>
      <c r="G119" s="16" t="s">
        <v>113</v>
      </c>
      <c r="H119" s="16" t="str">
        <f t="shared" si="35"/>
        <v>5~12</v>
      </c>
      <c r="I119" s="19" t="s">
        <v>201</v>
      </c>
      <c r="J119" s="19" t="s">
        <v>117</v>
      </c>
      <c r="K119" s="20"/>
      <c r="L119" s="16" t="s">
        <v>169</v>
      </c>
      <c r="M119" s="7"/>
      <c r="N119" s="7"/>
      <c r="O119" s="8" t="s">
        <v>47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6">
        <v>100117</v>
      </c>
      <c r="B120" s="16" t="str">
        <f t="shared" si="60"/>
        <v>召唤炮台</v>
      </c>
      <c r="C120" s="16" t="str">
        <f>表1[[#This Row],[name]]&amp;"+1"</f>
        <v>召唤炮台+1</v>
      </c>
      <c r="D120" s="50" t="str">
        <f>[1]!颜色转换成内嵌函数()</f>
        <v>※color(186,122,36)[]</v>
      </c>
      <c r="E120" s="16">
        <f t="shared" si="37"/>
        <v>2</v>
      </c>
      <c r="F120" s="16">
        <f>IF(表1[[#This Row],[level]]+1=E121,A121,"")</f>
        <v>100118</v>
      </c>
      <c r="G120" s="16" t="s">
        <v>113</v>
      </c>
      <c r="H120" s="16" t="str">
        <f t="shared" si="35"/>
        <v>10~17</v>
      </c>
      <c r="I120" s="19" t="s">
        <v>201</v>
      </c>
      <c r="J120" s="19" t="s">
        <v>117</v>
      </c>
      <c r="K120" s="20"/>
      <c r="L120" s="16" t="s">
        <v>152</v>
      </c>
      <c r="M120" s="7"/>
      <c r="N120" s="7"/>
      <c r="O120" s="8" t="s">
        <v>47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6">
        <v>100118</v>
      </c>
      <c r="B121" s="16" t="str">
        <f t="shared" si="60"/>
        <v>召唤炮台</v>
      </c>
      <c r="C121" s="16" t="str">
        <f>表1[[#This Row],[name]]&amp;"+1"</f>
        <v>召唤炮台+1</v>
      </c>
      <c r="D121" s="50" t="str">
        <f>[1]!颜色转换成内嵌函数()</f>
        <v>※color(186,122,36)[]</v>
      </c>
      <c r="E121" s="16">
        <f t="shared" si="37"/>
        <v>3</v>
      </c>
      <c r="F121" s="16">
        <f>IF(表1[[#This Row],[level]]+1=E122,A122,"")</f>
        <v>100119</v>
      </c>
      <c r="G121" s="16" t="s">
        <v>113</v>
      </c>
      <c r="H121" s="16" t="str">
        <f t="shared" si="35"/>
        <v>14~21</v>
      </c>
      <c r="I121" s="19" t="s">
        <v>201</v>
      </c>
      <c r="J121" s="19" t="s">
        <v>117</v>
      </c>
      <c r="K121" s="20"/>
      <c r="L121" s="16" t="s">
        <v>169</v>
      </c>
      <c r="M121" s="7"/>
      <c r="N121" s="7"/>
      <c r="O121" s="8" t="s">
        <v>47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6">
        <v>100119</v>
      </c>
      <c r="B122" s="16" t="str">
        <f t="shared" si="60"/>
        <v>召唤炮台</v>
      </c>
      <c r="C122" s="16" t="str">
        <f>表1[[#This Row],[name]]&amp;"+1"</f>
        <v>召唤炮台+1</v>
      </c>
      <c r="D122" s="50" t="str">
        <f>[1]!颜色转换成内嵌函数()</f>
        <v>※color(186,122,36)[]</v>
      </c>
      <c r="E122" s="16">
        <f t="shared" si="37"/>
        <v>4</v>
      </c>
      <c r="F122" s="16">
        <f>IF(表1[[#This Row],[level]]+1=E123,A123,"")</f>
        <v>100120</v>
      </c>
      <c r="G122" s="16" t="s">
        <v>113</v>
      </c>
      <c r="H122" s="16" t="str">
        <f t="shared" si="35"/>
        <v>19~26</v>
      </c>
      <c r="I122" s="19" t="s">
        <v>201</v>
      </c>
      <c r="J122" s="19" t="s">
        <v>117</v>
      </c>
      <c r="K122" s="20"/>
      <c r="L122" s="16" t="s">
        <v>169</v>
      </c>
      <c r="M122" s="7"/>
      <c r="N122" s="7"/>
      <c r="O122" s="8" t="s">
        <v>47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6">
        <v>100120</v>
      </c>
      <c r="B123" s="16" t="str">
        <f t="shared" si="60"/>
        <v>召唤炮台</v>
      </c>
      <c r="C123" s="16" t="str">
        <f>表1[[#This Row],[name]]&amp;"+1"</f>
        <v>召唤炮台+1</v>
      </c>
      <c r="D123" s="50" t="str">
        <f>[1]!颜色转换成内嵌函数()</f>
        <v>※color(186,122,36)[]</v>
      </c>
      <c r="E123" s="16">
        <f t="shared" si="37"/>
        <v>5</v>
      </c>
      <c r="F123" s="16" t="str">
        <f>IF(表1[[#This Row],[level]]+1=E124,A124,"")</f>
        <v/>
      </c>
      <c r="G123" s="16" t="s">
        <v>113</v>
      </c>
      <c r="H123" s="16" t="str">
        <f t="shared" si="35"/>
        <v>23~30</v>
      </c>
      <c r="I123" s="19" t="s">
        <v>201</v>
      </c>
      <c r="J123" s="19" t="s">
        <v>117</v>
      </c>
      <c r="K123" s="20"/>
      <c r="L123" s="16" t="s">
        <v>152</v>
      </c>
      <c r="M123" s="7"/>
      <c r="N123" s="7"/>
      <c r="O123" s="8" t="s">
        <v>47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6">
        <v>100121</v>
      </c>
      <c r="B124" s="16" t="str">
        <f t="shared" si="60"/>
        <v>先发制人</v>
      </c>
      <c r="C124" s="16" t="str">
        <f>表1[[#This Row],[name]]&amp;"+1"</f>
        <v>先发制人+1</v>
      </c>
      <c r="D124" s="45" t="str">
        <f>[1]!颜色转换成内嵌函数()</f>
        <v>※color(181,79,79)[]</v>
      </c>
      <c r="E124" s="16">
        <f t="shared" si="37"/>
        <v>1</v>
      </c>
      <c r="F124" s="16">
        <f>IF(表1[[#This Row],[level]]+1=E125,A125,"")</f>
        <v>100122</v>
      </c>
      <c r="G124" s="16" t="s">
        <v>113</v>
      </c>
      <c r="H124" s="16" t="str">
        <f t="shared" si="35"/>
        <v>5~12</v>
      </c>
      <c r="I124" s="19" t="s">
        <v>202</v>
      </c>
      <c r="J124" s="19" t="s">
        <v>117</v>
      </c>
      <c r="K124" s="20"/>
      <c r="L124" s="16" t="s">
        <v>154</v>
      </c>
      <c r="M124" s="7"/>
      <c r="N124" s="7"/>
      <c r="O124" s="8" t="s">
        <v>48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6">
        <v>100122</v>
      </c>
      <c r="B125" s="16" t="str">
        <f t="shared" si="60"/>
        <v>先发制人</v>
      </c>
      <c r="C125" s="16" t="str">
        <f>表1[[#This Row],[name]]&amp;"+1"</f>
        <v>先发制人+1</v>
      </c>
      <c r="D125" s="45" t="str">
        <f>[1]!颜色转换成内嵌函数()</f>
        <v>※color(181,79,79)[]</v>
      </c>
      <c r="E125" s="16">
        <f t="shared" si="37"/>
        <v>2</v>
      </c>
      <c r="F125" s="16">
        <f>IF(表1[[#This Row],[level]]+1=E126,A126,"")</f>
        <v>100123</v>
      </c>
      <c r="G125" s="16" t="s">
        <v>113</v>
      </c>
      <c r="H125" s="16" t="str">
        <f t="shared" si="35"/>
        <v>10~17</v>
      </c>
      <c r="I125" s="19" t="s">
        <v>202</v>
      </c>
      <c r="J125" s="19" t="s">
        <v>117</v>
      </c>
      <c r="K125" s="20"/>
      <c r="L125" s="16" t="s">
        <v>153</v>
      </c>
      <c r="M125" s="7"/>
      <c r="N125" s="7"/>
      <c r="O125" s="8" t="s">
        <v>48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6">
        <v>100123</v>
      </c>
      <c r="B126" s="16" t="str">
        <f t="shared" si="60"/>
        <v>先发制人</v>
      </c>
      <c r="C126" s="16" t="str">
        <f>表1[[#This Row],[name]]&amp;"+1"</f>
        <v>先发制人+1</v>
      </c>
      <c r="D126" s="45" t="str">
        <f>[1]!颜色转换成内嵌函数()</f>
        <v>※color(181,79,79)[]</v>
      </c>
      <c r="E126" s="16">
        <f t="shared" si="37"/>
        <v>3</v>
      </c>
      <c r="F126" s="16">
        <f>IF(表1[[#This Row],[level]]+1=E127,A127,"")</f>
        <v>100124</v>
      </c>
      <c r="G126" s="16" t="s">
        <v>113</v>
      </c>
      <c r="H126" s="16" t="str">
        <f t="shared" si="35"/>
        <v>14~21</v>
      </c>
      <c r="I126" s="19" t="s">
        <v>202</v>
      </c>
      <c r="J126" s="19" t="s">
        <v>117</v>
      </c>
      <c r="K126" s="20"/>
      <c r="L126" s="16" t="s">
        <v>154</v>
      </c>
      <c r="M126" s="7"/>
      <c r="N126" s="7"/>
      <c r="O126" s="8" t="s">
        <v>48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6">
        <v>100124</v>
      </c>
      <c r="B127" s="16" t="str">
        <f t="shared" si="60"/>
        <v>先发制人</v>
      </c>
      <c r="C127" s="16" t="str">
        <f>表1[[#This Row],[name]]&amp;"+1"</f>
        <v>先发制人+1</v>
      </c>
      <c r="D127" s="45" t="str">
        <f>[1]!颜色转换成内嵌函数()</f>
        <v>※color(181,79,79)[]</v>
      </c>
      <c r="E127" s="16">
        <f t="shared" si="37"/>
        <v>4</v>
      </c>
      <c r="F127" s="16">
        <f>IF(表1[[#This Row],[level]]+1=E128,A128,"")</f>
        <v>100125</v>
      </c>
      <c r="G127" s="16" t="s">
        <v>113</v>
      </c>
      <c r="H127" s="16" t="str">
        <f t="shared" si="35"/>
        <v>19~26</v>
      </c>
      <c r="I127" s="19" t="s">
        <v>202</v>
      </c>
      <c r="J127" s="19" t="s">
        <v>117</v>
      </c>
      <c r="K127" s="20"/>
      <c r="L127" s="16" t="s">
        <v>153</v>
      </c>
      <c r="M127" s="7"/>
      <c r="N127" s="7"/>
      <c r="O127" s="8" t="s">
        <v>48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6">
        <v>100125</v>
      </c>
      <c r="B128" s="16" t="str">
        <f t="shared" si="60"/>
        <v>先发制人</v>
      </c>
      <c r="C128" s="16" t="str">
        <f>表1[[#This Row],[name]]&amp;"+1"</f>
        <v>先发制人+1</v>
      </c>
      <c r="D128" s="45" t="str">
        <f>[1]!颜色转换成内嵌函数()</f>
        <v>※color(181,79,79)[]</v>
      </c>
      <c r="E128" s="16">
        <f t="shared" si="37"/>
        <v>5</v>
      </c>
      <c r="F128" s="16" t="str">
        <f>IF(表1[[#This Row],[level]]+1=E129,A129,"")</f>
        <v/>
      </c>
      <c r="G128" s="16" t="s">
        <v>113</v>
      </c>
      <c r="H128" s="16" t="str">
        <f t="shared" si="35"/>
        <v>23~30</v>
      </c>
      <c r="I128" s="19" t="s">
        <v>202</v>
      </c>
      <c r="J128" s="19" t="s">
        <v>117</v>
      </c>
      <c r="K128" s="20"/>
      <c r="L128" s="16" t="s">
        <v>154</v>
      </c>
      <c r="M128" s="7"/>
      <c r="N128" s="7"/>
      <c r="O128" s="8" t="s">
        <v>48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6">
        <v>100126</v>
      </c>
      <c r="B129" s="16" t="str">
        <f t="shared" si="60"/>
        <v>反应装甲</v>
      </c>
      <c r="C129" s="16" t="str">
        <f>表1[[#This Row],[name]]&amp;"+1"</f>
        <v>反应装甲+1</v>
      </c>
      <c r="D129" s="46" t="str">
        <f>[1]!颜色转换成内嵌函数()</f>
        <v>※color(181,79,162)[]</v>
      </c>
      <c r="E129" s="16">
        <f t="shared" si="37"/>
        <v>1</v>
      </c>
      <c r="F129" s="16">
        <f>IF(表1[[#This Row],[level]]+1=E130,A130,"")</f>
        <v>100127</v>
      </c>
      <c r="G129" s="16" t="s">
        <v>113</v>
      </c>
      <c r="H129" s="16" t="str">
        <f t="shared" si="35"/>
        <v>5~12</v>
      </c>
      <c r="I129" s="19" t="s">
        <v>203</v>
      </c>
      <c r="J129" s="19" t="s">
        <v>117</v>
      </c>
      <c r="K129" s="20"/>
      <c r="L129" s="16" t="s">
        <v>165</v>
      </c>
      <c r="M129" s="7"/>
      <c r="N129" s="7"/>
      <c r="O129" s="8" t="s">
        <v>49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6">
        <v>100127</v>
      </c>
      <c r="B130" s="16" t="str">
        <f t="shared" si="60"/>
        <v>反应装甲</v>
      </c>
      <c r="C130" s="16" t="str">
        <f>表1[[#This Row],[name]]&amp;"+1"</f>
        <v>反应装甲+1</v>
      </c>
      <c r="D130" s="46" t="str">
        <f>[1]!颜色转换成内嵌函数()</f>
        <v>※color(181,79,162)[]</v>
      </c>
      <c r="E130" s="16">
        <f t="shared" si="37"/>
        <v>2</v>
      </c>
      <c r="F130" s="16">
        <f>IF(表1[[#This Row],[level]]+1=E131,A131,"")</f>
        <v>100128</v>
      </c>
      <c r="G130" s="16" t="s">
        <v>113</v>
      </c>
      <c r="H130" s="16" t="str">
        <f t="shared" si="35"/>
        <v>10~17</v>
      </c>
      <c r="I130" s="19" t="s">
        <v>203</v>
      </c>
      <c r="J130" s="19" t="s">
        <v>117</v>
      </c>
      <c r="K130" s="20"/>
      <c r="L130" s="16" t="s">
        <v>155</v>
      </c>
      <c r="M130" s="7"/>
      <c r="N130" s="7"/>
      <c r="O130" s="8" t="s">
        <v>49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6">
        <v>100128</v>
      </c>
      <c r="B131" s="16" t="str">
        <f t="shared" si="60"/>
        <v>反应装甲</v>
      </c>
      <c r="C131" s="16" t="str">
        <f>表1[[#This Row],[name]]&amp;"+1"</f>
        <v>反应装甲+1</v>
      </c>
      <c r="D131" s="46" t="str">
        <f>[1]!颜色转换成内嵌函数()</f>
        <v>※color(181,79,162)[]</v>
      </c>
      <c r="E131" s="16">
        <f t="shared" si="37"/>
        <v>3</v>
      </c>
      <c r="F131" s="16">
        <f>IF(表1[[#This Row],[level]]+1=E132,A132,"")</f>
        <v>100129</v>
      </c>
      <c r="G131" s="16" t="s">
        <v>113</v>
      </c>
      <c r="H131" s="16" t="str">
        <f t="shared" si="35"/>
        <v>14~21</v>
      </c>
      <c r="I131" s="19" t="s">
        <v>203</v>
      </c>
      <c r="J131" s="19" t="s">
        <v>117</v>
      </c>
      <c r="K131" s="20"/>
      <c r="L131" s="16" t="s">
        <v>165</v>
      </c>
      <c r="M131" s="7"/>
      <c r="N131" s="7"/>
      <c r="O131" s="8" t="s">
        <v>49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6">
        <v>100129</v>
      </c>
      <c r="B132" s="16" t="str">
        <f t="shared" si="60"/>
        <v>反应装甲</v>
      </c>
      <c r="C132" s="16" t="str">
        <f>表1[[#This Row],[name]]&amp;"+1"</f>
        <v>反应装甲+1</v>
      </c>
      <c r="D132" s="46" t="str">
        <f>[1]!颜色转换成内嵌函数()</f>
        <v>※color(181,79,162)[]</v>
      </c>
      <c r="E132" s="16">
        <f t="shared" si="37"/>
        <v>4</v>
      </c>
      <c r="F132" s="16">
        <f>IF(表1[[#This Row],[level]]+1=E133,A133,"")</f>
        <v>100130</v>
      </c>
      <c r="G132" s="16" t="s">
        <v>113</v>
      </c>
      <c r="H132" s="16" t="str">
        <f t="shared" ref="H132:H195" si="68">ROUND(S132,0)&amp; "~" &amp; ROUND(T132,0)</f>
        <v>19~26</v>
      </c>
      <c r="I132" s="19" t="s">
        <v>203</v>
      </c>
      <c r="J132" s="19" t="s">
        <v>117</v>
      </c>
      <c r="K132" s="20"/>
      <c r="L132" s="16" t="s">
        <v>155</v>
      </c>
      <c r="M132" s="7"/>
      <c r="N132" s="7"/>
      <c r="O132" s="8" t="s">
        <v>49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6">
        <v>100130</v>
      </c>
      <c r="B133" s="16" t="str">
        <f t="shared" si="60"/>
        <v>反应装甲</v>
      </c>
      <c r="C133" s="16" t="str">
        <f>表1[[#This Row],[name]]&amp;"+1"</f>
        <v>反应装甲+1</v>
      </c>
      <c r="D133" s="46" t="str">
        <f>[1]!颜色转换成内嵌函数()</f>
        <v>※color(181,79,162)[]</v>
      </c>
      <c r="E133" s="16">
        <f t="shared" ref="E133:E196" si="69">IF(O133=O132,E132+1,1)</f>
        <v>5</v>
      </c>
      <c r="F133" s="16" t="str">
        <f>IF(表1[[#This Row],[level]]+1=E134,A134,"")</f>
        <v/>
      </c>
      <c r="G133" s="16" t="s">
        <v>113</v>
      </c>
      <c r="H133" s="16" t="str">
        <f t="shared" si="68"/>
        <v>23~30</v>
      </c>
      <c r="I133" s="19" t="s">
        <v>203</v>
      </c>
      <c r="J133" s="19" t="s">
        <v>117</v>
      </c>
      <c r="K133" s="20"/>
      <c r="L133" s="16" t="s">
        <v>165</v>
      </c>
      <c r="M133" s="7"/>
      <c r="N133" s="7"/>
      <c r="O133" s="8" t="s">
        <v>49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6">
        <v>100131</v>
      </c>
      <c r="B134" s="16" t="str">
        <f t="shared" si="60"/>
        <v>纳米涂层</v>
      </c>
      <c r="C134" s="16" t="str">
        <f>表1[[#This Row],[name]]&amp;"+1"</f>
        <v>纳米涂层+1</v>
      </c>
      <c r="D134" s="47" t="str">
        <f>[1]!颜色转换成内嵌函数()</f>
        <v>※color(195,213,89)[]</v>
      </c>
      <c r="E134" s="16">
        <f t="shared" si="69"/>
        <v>1</v>
      </c>
      <c r="F134" s="16">
        <f>IF(表1[[#This Row],[level]]+1=E135,A135,"")</f>
        <v>100132</v>
      </c>
      <c r="G134" s="16" t="s">
        <v>113</v>
      </c>
      <c r="H134" s="16" t="str">
        <f t="shared" si="68"/>
        <v>5~12</v>
      </c>
      <c r="I134" s="19" t="s">
        <v>204</v>
      </c>
      <c r="J134" s="19" t="s">
        <v>117</v>
      </c>
      <c r="K134" s="20"/>
      <c r="L134" s="16" t="s">
        <v>166</v>
      </c>
      <c r="M134" s="7"/>
      <c r="N134" s="7"/>
      <c r="O134" s="8" t="s">
        <v>50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6">
        <v>100132</v>
      </c>
      <c r="B135" s="16" t="str">
        <f t="shared" si="60"/>
        <v>纳米涂层</v>
      </c>
      <c r="C135" s="16" t="str">
        <f>表1[[#This Row],[name]]&amp;"+1"</f>
        <v>纳米涂层+1</v>
      </c>
      <c r="D135" s="47" t="str">
        <f>[1]!颜色转换成内嵌函数()</f>
        <v>※color(195,213,89)[]</v>
      </c>
      <c r="E135" s="16">
        <f t="shared" si="69"/>
        <v>2</v>
      </c>
      <c r="F135" s="16">
        <f>IF(表1[[#This Row],[level]]+1=E136,A136,"")</f>
        <v>100133</v>
      </c>
      <c r="G135" s="16" t="s">
        <v>113</v>
      </c>
      <c r="H135" s="16" t="str">
        <f t="shared" si="68"/>
        <v>10~17</v>
      </c>
      <c r="I135" s="19" t="s">
        <v>204</v>
      </c>
      <c r="J135" s="19" t="s">
        <v>117</v>
      </c>
      <c r="K135" s="20"/>
      <c r="L135" s="16" t="s">
        <v>156</v>
      </c>
      <c r="M135" s="7"/>
      <c r="N135" s="7"/>
      <c r="O135" s="8" t="s">
        <v>50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6">
        <v>100133</v>
      </c>
      <c r="B136" s="16" t="str">
        <f t="shared" si="60"/>
        <v>纳米涂层</v>
      </c>
      <c r="C136" s="16" t="str">
        <f>表1[[#This Row],[name]]&amp;"+1"</f>
        <v>纳米涂层+1</v>
      </c>
      <c r="D136" s="47" t="str">
        <f>[1]!颜色转换成内嵌函数()</f>
        <v>※color(195,213,89)[]</v>
      </c>
      <c r="E136" s="16">
        <f t="shared" si="69"/>
        <v>3</v>
      </c>
      <c r="F136" s="16">
        <f>IF(表1[[#This Row],[level]]+1=E137,A137,"")</f>
        <v>100134</v>
      </c>
      <c r="G136" s="16" t="s">
        <v>113</v>
      </c>
      <c r="H136" s="16" t="str">
        <f t="shared" si="68"/>
        <v>14~21</v>
      </c>
      <c r="I136" s="19" t="s">
        <v>204</v>
      </c>
      <c r="J136" s="19" t="s">
        <v>117</v>
      </c>
      <c r="K136" s="20"/>
      <c r="L136" s="16" t="s">
        <v>156</v>
      </c>
      <c r="M136" s="7"/>
      <c r="N136" s="7"/>
      <c r="O136" s="8" t="s">
        <v>50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6">
        <v>100134</v>
      </c>
      <c r="B137" s="16" t="str">
        <f t="shared" si="60"/>
        <v>纳米涂层</v>
      </c>
      <c r="C137" s="16" t="str">
        <f>表1[[#This Row],[name]]&amp;"+1"</f>
        <v>纳米涂层+1</v>
      </c>
      <c r="D137" s="47" t="str">
        <f>[1]!颜色转换成内嵌函数()</f>
        <v>※color(195,213,89)[]</v>
      </c>
      <c r="E137" s="16">
        <f t="shared" si="69"/>
        <v>4</v>
      </c>
      <c r="F137" s="16">
        <f>IF(表1[[#This Row],[level]]+1=E138,A138,"")</f>
        <v>100135</v>
      </c>
      <c r="G137" s="16" t="s">
        <v>113</v>
      </c>
      <c r="H137" s="16" t="str">
        <f t="shared" si="68"/>
        <v>19~26</v>
      </c>
      <c r="I137" s="19" t="s">
        <v>204</v>
      </c>
      <c r="J137" s="19" t="s">
        <v>117</v>
      </c>
      <c r="K137" s="20"/>
      <c r="L137" s="16" t="s">
        <v>156</v>
      </c>
      <c r="M137" s="7"/>
      <c r="N137" s="7"/>
      <c r="O137" s="8" t="s">
        <v>50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6">
        <v>100135</v>
      </c>
      <c r="B138" s="16" t="str">
        <f t="shared" si="60"/>
        <v>纳米涂层</v>
      </c>
      <c r="C138" s="16" t="str">
        <f>表1[[#This Row],[name]]&amp;"+1"</f>
        <v>纳米涂层+1</v>
      </c>
      <c r="D138" s="47" t="str">
        <f>[1]!颜色转换成内嵌函数()</f>
        <v>※color(195,213,89)[]</v>
      </c>
      <c r="E138" s="16">
        <f t="shared" si="69"/>
        <v>5</v>
      </c>
      <c r="F138" s="16" t="str">
        <f>IF(表1[[#This Row],[level]]+1=E139,A139,"")</f>
        <v/>
      </c>
      <c r="G138" s="16" t="s">
        <v>113</v>
      </c>
      <c r="H138" s="16" t="str">
        <f t="shared" si="68"/>
        <v>23~30</v>
      </c>
      <c r="I138" s="19" t="s">
        <v>204</v>
      </c>
      <c r="J138" s="19" t="s">
        <v>117</v>
      </c>
      <c r="K138" s="20"/>
      <c r="L138" s="16" t="s">
        <v>166</v>
      </c>
      <c r="M138" s="7"/>
      <c r="N138" s="7"/>
      <c r="O138" s="8" t="s">
        <v>50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6">
        <v>100136</v>
      </c>
      <c r="B139" s="16" t="str">
        <f>O139</f>
        <v>冲锋</v>
      </c>
      <c r="C139" s="16" t="str">
        <f>表1[[#This Row],[name]]&amp;"+1"</f>
        <v>冲锋+1</v>
      </c>
      <c r="D139" s="48" t="str">
        <f>[1]!颜色转换成内嵌函数()</f>
        <v>※color(88,214,202)[]</v>
      </c>
      <c r="E139" s="16">
        <f t="shared" si="69"/>
        <v>1</v>
      </c>
      <c r="F139" s="16">
        <f>IF(表1[[#This Row],[level]]+1=E140,A140,"")</f>
        <v>100137</v>
      </c>
      <c r="G139" s="16" t="s">
        <v>113</v>
      </c>
      <c r="H139" s="16" t="str">
        <f t="shared" si="68"/>
        <v>5~12</v>
      </c>
      <c r="I139" s="19" t="s">
        <v>205</v>
      </c>
      <c r="J139" s="19" t="s">
        <v>117</v>
      </c>
      <c r="K139" s="20"/>
      <c r="L139" s="16" t="s">
        <v>167</v>
      </c>
      <c r="M139" s="7"/>
      <c r="N139" s="7"/>
      <c r="O139" s="8" t="s">
        <v>51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6">
        <v>100137</v>
      </c>
      <c r="B140" s="16" t="str">
        <f t="shared" ref="B140:B203" si="72">O140</f>
        <v>冲锋</v>
      </c>
      <c r="C140" s="16" t="str">
        <f>表1[[#This Row],[name]]&amp;"+1"</f>
        <v>冲锋+1</v>
      </c>
      <c r="D140" s="48" t="str">
        <f>[1]!颜色转换成内嵌函数()</f>
        <v>※color(88,214,202)[]</v>
      </c>
      <c r="E140" s="16">
        <f t="shared" si="69"/>
        <v>2</v>
      </c>
      <c r="F140" s="16">
        <f>IF(表1[[#This Row],[level]]+1=E141,A141,"")</f>
        <v>100138</v>
      </c>
      <c r="G140" s="16" t="s">
        <v>113</v>
      </c>
      <c r="H140" s="16" t="str">
        <f t="shared" si="68"/>
        <v>10~17</v>
      </c>
      <c r="I140" s="19" t="s">
        <v>205</v>
      </c>
      <c r="J140" s="19" t="s">
        <v>117</v>
      </c>
      <c r="K140" s="20"/>
      <c r="L140" s="16" t="s">
        <v>167</v>
      </c>
      <c r="M140" s="7"/>
      <c r="N140" s="7"/>
      <c r="O140" s="8" t="s">
        <v>51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6">
        <v>100138</v>
      </c>
      <c r="B141" s="16" t="str">
        <f t="shared" si="72"/>
        <v>冲锋</v>
      </c>
      <c r="C141" s="16" t="str">
        <f>表1[[#This Row],[name]]&amp;"+1"</f>
        <v>冲锋+1</v>
      </c>
      <c r="D141" s="48" t="str">
        <f>[1]!颜色转换成内嵌函数()</f>
        <v>※color(88,214,202)[]</v>
      </c>
      <c r="E141" s="16">
        <f t="shared" si="69"/>
        <v>3</v>
      </c>
      <c r="F141" s="16">
        <f>IF(表1[[#This Row],[level]]+1=E142,A142,"")</f>
        <v>100139</v>
      </c>
      <c r="G141" s="16" t="s">
        <v>113</v>
      </c>
      <c r="H141" s="16" t="str">
        <f t="shared" si="68"/>
        <v>14~21</v>
      </c>
      <c r="I141" s="19" t="s">
        <v>205</v>
      </c>
      <c r="J141" s="19" t="s">
        <v>117</v>
      </c>
      <c r="K141" s="20"/>
      <c r="L141" s="16" t="s">
        <v>158</v>
      </c>
      <c r="M141" s="7"/>
      <c r="N141" s="7"/>
      <c r="O141" s="8" t="s">
        <v>51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6">
        <v>100139</v>
      </c>
      <c r="B142" s="16" t="str">
        <f t="shared" si="72"/>
        <v>冲锋</v>
      </c>
      <c r="C142" s="16" t="str">
        <f>表1[[#This Row],[name]]&amp;"+1"</f>
        <v>冲锋+1</v>
      </c>
      <c r="D142" s="48" t="str">
        <f>[1]!颜色转换成内嵌函数()</f>
        <v>※color(88,214,202)[]</v>
      </c>
      <c r="E142" s="16">
        <f t="shared" si="69"/>
        <v>4</v>
      </c>
      <c r="F142" s="16">
        <f>IF(表1[[#This Row],[level]]+1=E143,A143,"")</f>
        <v>100140</v>
      </c>
      <c r="G142" s="16" t="s">
        <v>113</v>
      </c>
      <c r="H142" s="16" t="str">
        <f t="shared" si="68"/>
        <v>19~26</v>
      </c>
      <c r="I142" s="19" t="s">
        <v>205</v>
      </c>
      <c r="J142" s="19" t="s">
        <v>117</v>
      </c>
      <c r="K142" s="20"/>
      <c r="L142" s="16" t="s">
        <v>158</v>
      </c>
      <c r="M142" s="7"/>
      <c r="N142" s="7"/>
      <c r="O142" s="8" t="s">
        <v>51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6">
        <v>100140</v>
      </c>
      <c r="B143" s="16" t="str">
        <f t="shared" si="72"/>
        <v>冲锋</v>
      </c>
      <c r="C143" s="16" t="str">
        <f>表1[[#This Row],[name]]&amp;"+1"</f>
        <v>冲锋+1</v>
      </c>
      <c r="D143" s="48" t="str">
        <f>[1]!颜色转换成内嵌函数()</f>
        <v>※color(88,214,202)[]</v>
      </c>
      <c r="E143" s="16">
        <f t="shared" si="69"/>
        <v>5</v>
      </c>
      <c r="F143" s="16" t="str">
        <f>IF(表1[[#This Row],[level]]+1=E144,A144,"")</f>
        <v/>
      </c>
      <c r="G143" s="16" t="s">
        <v>113</v>
      </c>
      <c r="H143" s="16" t="str">
        <f t="shared" si="68"/>
        <v>23~30</v>
      </c>
      <c r="I143" s="19" t="s">
        <v>205</v>
      </c>
      <c r="J143" s="19" t="s">
        <v>117</v>
      </c>
      <c r="K143" s="20"/>
      <c r="L143" s="16" t="s">
        <v>158</v>
      </c>
      <c r="M143" s="7"/>
      <c r="N143" s="7"/>
      <c r="O143" s="8" t="s">
        <v>51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6">
        <v>100141</v>
      </c>
      <c r="B144" s="16" t="str">
        <f t="shared" si="72"/>
        <v>实弹增强</v>
      </c>
      <c r="C144" s="16" t="str">
        <f>表1[[#This Row],[name]]&amp;"+1"</f>
        <v>实弹增强+1</v>
      </c>
      <c r="D144" s="49" t="str">
        <f>[1]!颜色转换成内嵌函数()</f>
        <v>※color(93,152,171)[]</v>
      </c>
      <c r="E144" s="16">
        <f t="shared" si="69"/>
        <v>1</v>
      </c>
      <c r="F144" s="16">
        <f>IF(表1[[#This Row],[level]]+1=E145,A145,"")</f>
        <v>100142</v>
      </c>
      <c r="G144" s="16" t="s">
        <v>113</v>
      </c>
      <c r="H144" s="16" t="str">
        <f t="shared" si="68"/>
        <v>5~12</v>
      </c>
      <c r="I144" s="19" t="s">
        <v>206</v>
      </c>
      <c r="J144" s="19" t="s">
        <v>117</v>
      </c>
      <c r="K144" s="20"/>
      <c r="L144" s="16" t="s">
        <v>159</v>
      </c>
      <c r="M144" s="7"/>
      <c r="N144" s="7"/>
      <c r="O144" s="8" t="s">
        <v>52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6">
        <v>100142</v>
      </c>
      <c r="B145" s="16" t="str">
        <f t="shared" si="72"/>
        <v>实弹增强</v>
      </c>
      <c r="C145" s="16" t="str">
        <f>表1[[#This Row],[name]]&amp;"+1"</f>
        <v>实弹增强+1</v>
      </c>
      <c r="D145" s="49" t="str">
        <f>[1]!颜色转换成内嵌函数()</f>
        <v>※color(93,152,171)[]</v>
      </c>
      <c r="E145" s="16">
        <f t="shared" si="69"/>
        <v>2</v>
      </c>
      <c r="F145" s="16">
        <f>IF(表1[[#This Row],[level]]+1=E146,A146,"")</f>
        <v>100143</v>
      </c>
      <c r="G145" s="16" t="s">
        <v>113</v>
      </c>
      <c r="H145" s="16" t="str">
        <f t="shared" si="68"/>
        <v>10~17</v>
      </c>
      <c r="I145" s="19" t="s">
        <v>206</v>
      </c>
      <c r="J145" s="19" t="s">
        <v>117</v>
      </c>
      <c r="K145" s="20"/>
      <c r="L145" s="16" t="s">
        <v>159</v>
      </c>
      <c r="M145" s="7"/>
      <c r="N145" s="7"/>
      <c r="O145" s="8" t="s">
        <v>52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6">
        <v>100143</v>
      </c>
      <c r="B146" s="16" t="str">
        <f t="shared" si="72"/>
        <v>实弹增强</v>
      </c>
      <c r="C146" s="16" t="str">
        <f>表1[[#This Row],[name]]&amp;"+1"</f>
        <v>实弹增强+1</v>
      </c>
      <c r="D146" s="49" t="str">
        <f>[1]!颜色转换成内嵌函数()</f>
        <v>※color(93,152,171)[]</v>
      </c>
      <c r="E146" s="16">
        <f t="shared" si="69"/>
        <v>3</v>
      </c>
      <c r="F146" s="16">
        <f>IF(表1[[#This Row],[level]]+1=E147,A147,"")</f>
        <v>100144</v>
      </c>
      <c r="G146" s="16" t="s">
        <v>113</v>
      </c>
      <c r="H146" s="16" t="str">
        <f t="shared" si="68"/>
        <v>14~21</v>
      </c>
      <c r="I146" s="19" t="s">
        <v>206</v>
      </c>
      <c r="J146" s="19" t="s">
        <v>117</v>
      </c>
      <c r="K146" s="20"/>
      <c r="L146" s="16" t="s">
        <v>159</v>
      </c>
      <c r="M146" s="7"/>
      <c r="N146" s="7"/>
      <c r="O146" s="8" t="s">
        <v>52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6">
        <v>100144</v>
      </c>
      <c r="B147" s="16" t="str">
        <f t="shared" si="72"/>
        <v>实弹增强</v>
      </c>
      <c r="C147" s="16" t="str">
        <f>表1[[#This Row],[name]]&amp;"+1"</f>
        <v>实弹增强+1</v>
      </c>
      <c r="D147" s="49" t="str">
        <f>[1]!颜色转换成内嵌函数()</f>
        <v>※color(93,152,171)[]</v>
      </c>
      <c r="E147" s="16">
        <f t="shared" si="69"/>
        <v>4</v>
      </c>
      <c r="F147" s="16">
        <f>IF(表1[[#This Row],[level]]+1=E148,A148,"")</f>
        <v>100145</v>
      </c>
      <c r="G147" s="16" t="s">
        <v>113</v>
      </c>
      <c r="H147" s="16" t="str">
        <f t="shared" si="68"/>
        <v>19~26</v>
      </c>
      <c r="I147" s="19" t="s">
        <v>206</v>
      </c>
      <c r="J147" s="19" t="s">
        <v>117</v>
      </c>
      <c r="K147" s="20"/>
      <c r="L147" s="16" t="s">
        <v>159</v>
      </c>
      <c r="M147" s="7"/>
      <c r="N147" s="7"/>
      <c r="O147" s="8" t="s">
        <v>52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6">
        <v>100145</v>
      </c>
      <c r="B148" s="16" t="str">
        <f t="shared" si="72"/>
        <v>实弹增强</v>
      </c>
      <c r="C148" s="16" t="str">
        <f>表1[[#This Row],[name]]&amp;"+1"</f>
        <v>实弹增强+1</v>
      </c>
      <c r="D148" s="49" t="str">
        <f>[1]!颜色转换成内嵌函数()</f>
        <v>※color(93,152,171)[]</v>
      </c>
      <c r="E148" s="16">
        <f t="shared" si="69"/>
        <v>5</v>
      </c>
      <c r="F148" s="16" t="str">
        <f>IF(表1[[#This Row],[level]]+1=E149,A149,"")</f>
        <v/>
      </c>
      <c r="G148" s="16" t="s">
        <v>113</v>
      </c>
      <c r="H148" s="16" t="str">
        <f t="shared" si="68"/>
        <v>23~30</v>
      </c>
      <c r="I148" s="19" t="s">
        <v>206</v>
      </c>
      <c r="J148" s="19" t="s">
        <v>117</v>
      </c>
      <c r="K148" s="20"/>
      <c r="L148" s="16" t="s">
        <v>160</v>
      </c>
      <c r="M148" s="7"/>
      <c r="N148" s="7"/>
      <c r="O148" s="8" t="s">
        <v>52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6">
        <v>100146</v>
      </c>
      <c r="B149" s="16" t="str">
        <f t="shared" si="72"/>
        <v>光线增强</v>
      </c>
      <c r="C149" s="16" t="str">
        <f>表1[[#This Row],[name]]&amp;"+1"</f>
        <v>光线增强+1</v>
      </c>
      <c r="D149" s="50" t="str">
        <f>[1]!颜色转换成内嵌函数()</f>
        <v>※color(186,122,36)[]</v>
      </c>
      <c r="E149" s="16">
        <f t="shared" si="69"/>
        <v>1</v>
      </c>
      <c r="F149" s="16">
        <f>IF(表1[[#This Row],[level]]+1=E150,A150,"")</f>
        <v>100147</v>
      </c>
      <c r="G149" s="16" t="s">
        <v>113</v>
      </c>
      <c r="H149" s="16" t="str">
        <f t="shared" si="68"/>
        <v>5~12</v>
      </c>
      <c r="I149" s="19" t="s">
        <v>207</v>
      </c>
      <c r="J149" s="19" t="s">
        <v>117</v>
      </c>
      <c r="K149" s="20"/>
      <c r="L149" s="16" t="s">
        <v>162</v>
      </c>
      <c r="M149" s="7"/>
      <c r="N149" s="7"/>
      <c r="O149" s="8" t="s">
        <v>53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6">
        <v>100147</v>
      </c>
      <c r="B150" s="16" t="str">
        <f t="shared" si="72"/>
        <v>光线增强</v>
      </c>
      <c r="C150" s="16" t="str">
        <f>表1[[#This Row],[name]]&amp;"+1"</f>
        <v>光线增强+1</v>
      </c>
      <c r="D150" s="50" t="str">
        <f>[1]!颜色转换成内嵌函数()</f>
        <v>※color(186,122,36)[]</v>
      </c>
      <c r="E150" s="16">
        <f t="shared" si="69"/>
        <v>2</v>
      </c>
      <c r="F150" s="16">
        <f>IF(表1[[#This Row],[level]]+1=E151,A151,"")</f>
        <v>100148</v>
      </c>
      <c r="G150" s="16" t="s">
        <v>113</v>
      </c>
      <c r="H150" s="16" t="str">
        <f t="shared" si="68"/>
        <v>10~17</v>
      </c>
      <c r="I150" s="19" t="s">
        <v>207</v>
      </c>
      <c r="J150" s="19" t="s">
        <v>117</v>
      </c>
      <c r="K150" s="20"/>
      <c r="L150" s="16" t="s">
        <v>161</v>
      </c>
      <c r="M150" s="7"/>
      <c r="N150" s="7"/>
      <c r="O150" s="8" t="s">
        <v>53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6">
        <v>100148</v>
      </c>
      <c r="B151" s="16" t="str">
        <f t="shared" si="72"/>
        <v>光线增强</v>
      </c>
      <c r="C151" s="16" t="str">
        <f>表1[[#This Row],[name]]&amp;"+1"</f>
        <v>光线增强+1</v>
      </c>
      <c r="D151" s="50" t="str">
        <f>[1]!颜色转换成内嵌函数()</f>
        <v>※color(186,122,36)[]</v>
      </c>
      <c r="E151" s="16">
        <f t="shared" si="69"/>
        <v>3</v>
      </c>
      <c r="F151" s="16">
        <f>IF(表1[[#This Row],[level]]+1=E152,A152,"")</f>
        <v>100149</v>
      </c>
      <c r="G151" s="16" t="s">
        <v>113</v>
      </c>
      <c r="H151" s="16" t="str">
        <f t="shared" si="68"/>
        <v>14~21</v>
      </c>
      <c r="I151" s="19" t="s">
        <v>207</v>
      </c>
      <c r="J151" s="19" t="s">
        <v>117</v>
      </c>
      <c r="K151" s="20"/>
      <c r="L151" s="16" t="s">
        <v>161</v>
      </c>
      <c r="M151" s="7"/>
      <c r="N151" s="7"/>
      <c r="O151" s="8" t="s">
        <v>53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6">
        <v>100149</v>
      </c>
      <c r="B152" s="16" t="str">
        <f t="shared" si="72"/>
        <v>光线增强</v>
      </c>
      <c r="C152" s="16" t="str">
        <f>表1[[#This Row],[name]]&amp;"+1"</f>
        <v>光线增强+1</v>
      </c>
      <c r="D152" s="50" t="str">
        <f>[1]!颜色转换成内嵌函数()</f>
        <v>※color(186,122,36)[]</v>
      </c>
      <c r="E152" s="16">
        <f t="shared" si="69"/>
        <v>4</v>
      </c>
      <c r="F152" s="16">
        <f>IF(表1[[#This Row],[level]]+1=E153,A153,"")</f>
        <v>100150</v>
      </c>
      <c r="G152" s="16" t="s">
        <v>113</v>
      </c>
      <c r="H152" s="16" t="str">
        <f t="shared" si="68"/>
        <v>19~26</v>
      </c>
      <c r="I152" s="19" t="s">
        <v>207</v>
      </c>
      <c r="J152" s="19" t="s">
        <v>117</v>
      </c>
      <c r="K152" s="20"/>
      <c r="L152" s="16" t="s">
        <v>161</v>
      </c>
      <c r="M152" s="7"/>
      <c r="N152" s="7"/>
      <c r="O152" s="8" t="s">
        <v>53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6">
        <v>100150</v>
      </c>
      <c r="B153" s="16" t="str">
        <f t="shared" si="72"/>
        <v>光线增强</v>
      </c>
      <c r="C153" s="16" t="str">
        <f>表1[[#This Row],[name]]&amp;"+1"</f>
        <v>光线增强+1</v>
      </c>
      <c r="D153" s="50" t="str">
        <f>[1]!颜色转换成内嵌函数()</f>
        <v>※color(186,122,36)[]</v>
      </c>
      <c r="E153" s="16">
        <f t="shared" si="69"/>
        <v>5</v>
      </c>
      <c r="F153" s="16" t="str">
        <f>IF(表1[[#This Row],[level]]+1=E154,A154,"")</f>
        <v/>
      </c>
      <c r="G153" s="16" t="s">
        <v>113</v>
      </c>
      <c r="H153" s="16" t="str">
        <f t="shared" si="68"/>
        <v>23~30</v>
      </c>
      <c r="I153" s="19" t="s">
        <v>207</v>
      </c>
      <c r="J153" s="19" t="s">
        <v>117</v>
      </c>
      <c r="K153" s="20"/>
      <c r="L153" s="16" t="s">
        <v>162</v>
      </c>
      <c r="M153" s="7"/>
      <c r="N153" s="7"/>
      <c r="O153" s="8" t="s">
        <v>53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6">
        <v>100151</v>
      </c>
      <c r="B154" s="16" t="str">
        <f t="shared" si="72"/>
        <v>斩杀</v>
      </c>
      <c r="C154" s="16" t="str">
        <f>表1[[#This Row],[name]]&amp;"+1"</f>
        <v>斩杀+1</v>
      </c>
      <c r="D154" s="45" t="str">
        <f>[1]!颜色转换成内嵌函数()</f>
        <v>※color(181,79,79)[]</v>
      </c>
      <c r="E154" s="16">
        <f t="shared" si="69"/>
        <v>1</v>
      </c>
      <c r="F154" s="16">
        <f>IF(表1[[#This Row],[level]]+1=E155,A155,"")</f>
        <v>100152</v>
      </c>
      <c r="G154" s="16" t="s">
        <v>113</v>
      </c>
      <c r="H154" s="16" t="str">
        <f t="shared" si="68"/>
        <v>5~12</v>
      </c>
      <c r="I154" s="19" t="s">
        <v>208</v>
      </c>
      <c r="J154" s="19" t="s">
        <v>117</v>
      </c>
      <c r="K154" s="20"/>
      <c r="L154" s="16" t="s">
        <v>147</v>
      </c>
      <c r="M154" s="7"/>
      <c r="N154" s="7"/>
      <c r="O154" s="8" t="s">
        <v>54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6">
        <v>100152</v>
      </c>
      <c r="B155" s="16" t="str">
        <f t="shared" si="72"/>
        <v>斩杀</v>
      </c>
      <c r="C155" s="16" t="str">
        <f>表1[[#This Row],[name]]&amp;"+1"</f>
        <v>斩杀+1</v>
      </c>
      <c r="D155" s="45" t="str">
        <f>[1]!颜色转换成内嵌函数()</f>
        <v>※color(181,79,79)[]</v>
      </c>
      <c r="E155" s="16">
        <f t="shared" si="69"/>
        <v>2</v>
      </c>
      <c r="F155" s="16">
        <f>IF(表1[[#This Row],[level]]+1=E156,A156,"")</f>
        <v>100153</v>
      </c>
      <c r="G155" s="16" t="s">
        <v>113</v>
      </c>
      <c r="H155" s="16" t="str">
        <f t="shared" si="68"/>
        <v>10~17</v>
      </c>
      <c r="I155" s="19" t="s">
        <v>208</v>
      </c>
      <c r="J155" s="19" t="s">
        <v>117</v>
      </c>
      <c r="K155" s="20"/>
      <c r="L155" s="16" t="s">
        <v>147</v>
      </c>
      <c r="M155" s="7"/>
      <c r="N155" s="7"/>
      <c r="O155" s="8" t="s">
        <v>54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6">
        <v>100153</v>
      </c>
      <c r="B156" s="16" t="str">
        <f t="shared" si="72"/>
        <v>斩杀</v>
      </c>
      <c r="C156" s="16" t="str">
        <f>表1[[#This Row],[name]]&amp;"+1"</f>
        <v>斩杀+1</v>
      </c>
      <c r="D156" s="45" t="str">
        <f>[1]!颜色转换成内嵌函数()</f>
        <v>※color(181,79,79)[]</v>
      </c>
      <c r="E156" s="16">
        <f t="shared" si="69"/>
        <v>3</v>
      </c>
      <c r="F156" s="16">
        <f>IF(表1[[#This Row],[level]]+1=E157,A157,"")</f>
        <v>100154</v>
      </c>
      <c r="G156" s="16" t="s">
        <v>113</v>
      </c>
      <c r="H156" s="16" t="str">
        <f t="shared" si="68"/>
        <v>14~21</v>
      </c>
      <c r="I156" s="19" t="s">
        <v>208</v>
      </c>
      <c r="J156" s="19" t="s">
        <v>117</v>
      </c>
      <c r="K156" s="20"/>
      <c r="L156" s="16" t="s">
        <v>146</v>
      </c>
      <c r="M156" s="7"/>
      <c r="N156" s="7"/>
      <c r="O156" s="8" t="s">
        <v>54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6">
        <v>100154</v>
      </c>
      <c r="B157" s="16" t="str">
        <f t="shared" si="72"/>
        <v>斩杀</v>
      </c>
      <c r="C157" s="16" t="str">
        <f>表1[[#This Row],[name]]&amp;"+1"</f>
        <v>斩杀+1</v>
      </c>
      <c r="D157" s="45" t="str">
        <f>[1]!颜色转换成内嵌函数()</f>
        <v>※color(181,79,79)[]</v>
      </c>
      <c r="E157" s="16">
        <f t="shared" si="69"/>
        <v>4</v>
      </c>
      <c r="F157" s="16">
        <f>IF(表1[[#This Row],[level]]+1=E158,A158,"")</f>
        <v>100155</v>
      </c>
      <c r="G157" s="16" t="s">
        <v>113</v>
      </c>
      <c r="H157" s="16" t="str">
        <f t="shared" si="68"/>
        <v>19~26</v>
      </c>
      <c r="I157" s="19" t="s">
        <v>208</v>
      </c>
      <c r="J157" s="19" t="s">
        <v>117</v>
      </c>
      <c r="K157" s="20"/>
      <c r="L157" s="16" t="s">
        <v>146</v>
      </c>
      <c r="M157" s="7"/>
      <c r="N157" s="7"/>
      <c r="O157" s="8" t="s">
        <v>54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6">
        <v>100155</v>
      </c>
      <c r="B158" s="16" t="str">
        <f t="shared" si="72"/>
        <v>斩杀</v>
      </c>
      <c r="C158" s="16" t="str">
        <f>表1[[#This Row],[name]]&amp;"+1"</f>
        <v>斩杀+1</v>
      </c>
      <c r="D158" s="45" t="str">
        <f>[1]!颜色转换成内嵌函数()</f>
        <v>※color(181,79,79)[]</v>
      </c>
      <c r="E158" s="16">
        <f t="shared" si="69"/>
        <v>5</v>
      </c>
      <c r="F158" s="16" t="str">
        <f>IF(表1[[#This Row],[level]]+1=E159,A159,"")</f>
        <v/>
      </c>
      <c r="G158" s="16" t="s">
        <v>113</v>
      </c>
      <c r="H158" s="16" t="str">
        <f t="shared" si="68"/>
        <v>23~30</v>
      </c>
      <c r="I158" s="19" t="s">
        <v>208</v>
      </c>
      <c r="J158" s="19" t="s">
        <v>117</v>
      </c>
      <c r="K158" s="20"/>
      <c r="L158" s="16" t="s">
        <v>146</v>
      </c>
      <c r="M158" s="7"/>
      <c r="N158" s="7"/>
      <c r="O158" s="8" t="s">
        <v>54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6">
        <v>100156</v>
      </c>
      <c r="B159" s="16" t="str">
        <f t="shared" si="72"/>
        <v>强击光线</v>
      </c>
      <c r="C159" s="16" t="str">
        <f>表1[[#This Row],[name]]&amp;"+1"</f>
        <v>强击光线+1</v>
      </c>
      <c r="D159" s="46" t="str">
        <f>[1]!颜色转换成内嵌函数()</f>
        <v>※color(181,79,162)[]</v>
      </c>
      <c r="E159" s="16">
        <f t="shared" si="69"/>
        <v>1</v>
      </c>
      <c r="F159" s="16">
        <f>IF(表1[[#This Row],[level]]+1=E160,A160,"")</f>
        <v>100157</v>
      </c>
      <c r="G159" s="16" t="s">
        <v>113</v>
      </c>
      <c r="H159" s="16" t="str">
        <f t="shared" si="68"/>
        <v>5~12</v>
      </c>
      <c r="I159" s="19" t="s">
        <v>209</v>
      </c>
      <c r="J159" s="19" t="s">
        <v>117</v>
      </c>
      <c r="K159" s="20"/>
      <c r="L159" s="16" t="s">
        <v>164</v>
      </c>
      <c r="M159" s="7"/>
      <c r="N159" s="7"/>
      <c r="O159" s="8" t="s">
        <v>55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6">
        <v>100157</v>
      </c>
      <c r="B160" s="16" t="str">
        <f t="shared" si="72"/>
        <v>强击光线</v>
      </c>
      <c r="C160" s="16" t="str">
        <f>表1[[#This Row],[name]]&amp;"+1"</f>
        <v>强击光线+1</v>
      </c>
      <c r="D160" s="46" t="str">
        <f>[1]!颜色转换成内嵌函数()</f>
        <v>※color(181,79,162)[]</v>
      </c>
      <c r="E160" s="16">
        <f t="shared" si="69"/>
        <v>2</v>
      </c>
      <c r="F160" s="16">
        <f>IF(表1[[#This Row],[level]]+1=E161,A161,"")</f>
        <v>100158</v>
      </c>
      <c r="G160" s="16" t="s">
        <v>113</v>
      </c>
      <c r="H160" s="16" t="str">
        <f t="shared" si="68"/>
        <v>10~17</v>
      </c>
      <c r="I160" s="19" t="s">
        <v>209</v>
      </c>
      <c r="J160" s="19" t="s">
        <v>117</v>
      </c>
      <c r="K160" s="20"/>
      <c r="L160" s="16" t="s">
        <v>164</v>
      </c>
      <c r="M160" s="7"/>
      <c r="N160" s="7"/>
      <c r="O160" s="8" t="s">
        <v>55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6">
        <v>100158</v>
      </c>
      <c r="B161" s="16" t="str">
        <f t="shared" si="72"/>
        <v>强击光线</v>
      </c>
      <c r="C161" s="16" t="str">
        <f>表1[[#This Row],[name]]&amp;"+1"</f>
        <v>强击光线+1</v>
      </c>
      <c r="D161" s="46" t="str">
        <f>[1]!颜色转换成内嵌函数()</f>
        <v>※color(181,79,162)[]</v>
      </c>
      <c r="E161" s="16">
        <f t="shared" si="69"/>
        <v>3</v>
      </c>
      <c r="F161" s="16">
        <f>IF(表1[[#This Row],[level]]+1=E162,A162,"")</f>
        <v>100159</v>
      </c>
      <c r="G161" s="16" t="s">
        <v>113</v>
      </c>
      <c r="H161" s="16" t="str">
        <f t="shared" si="68"/>
        <v>14~21</v>
      </c>
      <c r="I161" s="19" t="s">
        <v>209</v>
      </c>
      <c r="J161" s="19" t="s">
        <v>117</v>
      </c>
      <c r="K161" s="20"/>
      <c r="L161" s="16" t="s">
        <v>164</v>
      </c>
      <c r="M161" s="7"/>
      <c r="N161" s="7"/>
      <c r="O161" s="8" t="s">
        <v>55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6">
        <v>100159</v>
      </c>
      <c r="B162" s="16" t="str">
        <f t="shared" si="72"/>
        <v>强击光线</v>
      </c>
      <c r="C162" s="16" t="str">
        <f>表1[[#This Row],[name]]&amp;"+1"</f>
        <v>强击光线+1</v>
      </c>
      <c r="D162" s="46" t="str">
        <f>[1]!颜色转换成内嵌函数()</f>
        <v>※color(181,79,162)[]</v>
      </c>
      <c r="E162" s="16">
        <f t="shared" si="69"/>
        <v>4</v>
      </c>
      <c r="F162" s="16">
        <f>IF(表1[[#This Row],[level]]+1=E163,A163,"")</f>
        <v>100160</v>
      </c>
      <c r="G162" s="16" t="s">
        <v>113</v>
      </c>
      <c r="H162" s="16" t="str">
        <f t="shared" si="68"/>
        <v>19~26</v>
      </c>
      <c r="I162" s="19" t="s">
        <v>209</v>
      </c>
      <c r="J162" s="19" t="s">
        <v>117</v>
      </c>
      <c r="K162" s="20"/>
      <c r="L162" s="16" t="s">
        <v>164</v>
      </c>
      <c r="M162" s="7"/>
      <c r="N162" s="7"/>
      <c r="O162" s="8" t="s">
        <v>55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6">
        <v>100160</v>
      </c>
      <c r="B163" s="16" t="str">
        <f t="shared" si="72"/>
        <v>强击光线</v>
      </c>
      <c r="C163" s="16" t="str">
        <f>表1[[#This Row],[name]]&amp;"+1"</f>
        <v>强击光线+1</v>
      </c>
      <c r="D163" s="46" t="str">
        <f>[1]!颜色转换成内嵌函数()</f>
        <v>※color(181,79,162)[]</v>
      </c>
      <c r="E163" s="16">
        <f t="shared" si="69"/>
        <v>5</v>
      </c>
      <c r="F163" s="16" t="str">
        <f>IF(表1[[#This Row],[level]]+1=E164,A164,"")</f>
        <v/>
      </c>
      <c r="G163" s="16" t="s">
        <v>113</v>
      </c>
      <c r="H163" s="16" t="str">
        <f t="shared" si="68"/>
        <v>23~30</v>
      </c>
      <c r="I163" s="19" t="s">
        <v>209</v>
      </c>
      <c r="J163" s="19" t="s">
        <v>117</v>
      </c>
      <c r="K163" s="20"/>
      <c r="L163" s="16" t="s">
        <v>164</v>
      </c>
      <c r="M163" s="7"/>
      <c r="N163" s="7"/>
      <c r="O163" s="8" t="s">
        <v>55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6">
        <v>100161</v>
      </c>
      <c r="B164" s="16" t="str">
        <f t="shared" si="72"/>
        <v>燃料引爆</v>
      </c>
      <c r="C164" s="16" t="str">
        <f>表1[[#This Row],[name]]&amp;"+1"</f>
        <v>燃料引爆+1</v>
      </c>
      <c r="D164" s="47" t="str">
        <f>[1]!颜色转换成内嵌函数()</f>
        <v>※color(195,213,89)[]</v>
      </c>
      <c r="E164" s="16">
        <f t="shared" si="69"/>
        <v>1</v>
      </c>
      <c r="F164" s="16">
        <f>IF(表1[[#This Row],[level]]+1=E165,A165,"")</f>
        <v>100162</v>
      </c>
      <c r="G164" s="16" t="s">
        <v>113</v>
      </c>
      <c r="H164" s="16" t="str">
        <f t="shared" si="68"/>
        <v>5~12</v>
      </c>
      <c r="I164" s="19" t="s">
        <v>210</v>
      </c>
      <c r="J164" s="19" t="s">
        <v>117</v>
      </c>
      <c r="K164" s="20"/>
      <c r="L164" s="16" t="s">
        <v>150</v>
      </c>
      <c r="M164" s="7"/>
      <c r="N164" s="7"/>
      <c r="O164" s="8" t="s">
        <v>56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6">
        <v>100162</v>
      </c>
      <c r="B165" s="16" t="str">
        <f t="shared" si="72"/>
        <v>燃料引爆</v>
      </c>
      <c r="C165" s="16" t="str">
        <f>表1[[#This Row],[name]]&amp;"+1"</f>
        <v>燃料引爆+1</v>
      </c>
      <c r="D165" s="47" t="str">
        <f>[1]!颜色转换成内嵌函数()</f>
        <v>※color(195,213,89)[]</v>
      </c>
      <c r="E165" s="16">
        <f t="shared" si="69"/>
        <v>2</v>
      </c>
      <c r="F165" s="16">
        <f>IF(表1[[#This Row],[level]]+1=E166,A166,"")</f>
        <v>100163</v>
      </c>
      <c r="G165" s="16" t="s">
        <v>113</v>
      </c>
      <c r="H165" s="16" t="str">
        <f t="shared" si="68"/>
        <v>10~17</v>
      </c>
      <c r="I165" s="19" t="s">
        <v>210</v>
      </c>
      <c r="J165" s="19" t="s">
        <v>117</v>
      </c>
      <c r="K165" s="20"/>
      <c r="L165" s="16" t="s">
        <v>149</v>
      </c>
      <c r="M165" s="7"/>
      <c r="N165" s="7"/>
      <c r="O165" s="8" t="s">
        <v>56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6">
        <v>100163</v>
      </c>
      <c r="B166" s="16" t="str">
        <f t="shared" si="72"/>
        <v>燃料引爆</v>
      </c>
      <c r="C166" s="16" t="str">
        <f>表1[[#This Row],[name]]&amp;"+1"</f>
        <v>燃料引爆+1</v>
      </c>
      <c r="D166" s="47" t="str">
        <f>[1]!颜色转换成内嵌函数()</f>
        <v>※color(195,213,89)[]</v>
      </c>
      <c r="E166" s="16">
        <f t="shared" si="69"/>
        <v>3</v>
      </c>
      <c r="F166" s="16">
        <f>IF(表1[[#This Row],[level]]+1=E167,A167,"")</f>
        <v>100164</v>
      </c>
      <c r="G166" s="16" t="s">
        <v>113</v>
      </c>
      <c r="H166" s="16" t="str">
        <f t="shared" si="68"/>
        <v>14~21</v>
      </c>
      <c r="I166" s="19" t="s">
        <v>210</v>
      </c>
      <c r="J166" s="19" t="s">
        <v>117</v>
      </c>
      <c r="K166" s="20"/>
      <c r="L166" s="16" t="s">
        <v>149</v>
      </c>
      <c r="M166" s="7"/>
      <c r="N166" s="7"/>
      <c r="O166" s="8" t="s">
        <v>56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6">
        <v>100164</v>
      </c>
      <c r="B167" s="16" t="str">
        <f t="shared" si="72"/>
        <v>燃料引爆</v>
      </c>
      <c r="C167" s="16" t="str">
        <f>表1[[#This Row],[name]]&amp;"+1"</f>
        <v>燃料引爆+1</v>
      </c>
      <c r="D167" s="47" t="str">
        <f>[1]!颜色转换成内嵌函数()</f>
        <v>※color(195,213,89)[]</v>
      </c>
      <c r="E167" s="16">
        <f t="shared" si="69"/>
        <v>4</v>
      </c>
      <c r="F167" s="16">
        <f>IF(表1[[#This Row],[level]]+1=E168,A168,"")</f>
        <v>100165</v>
      </c>
      <c r="G167" s="16" t="s">
        <v>113</v>
      </c>
      <c r="H167" s="16" t="str">
        <f t="shared" si="68"/>
        <v>19~26</v>
      </c>
      <c r="I167" s="19" t="s">
        <v>210</v>
      </c>
      <c r="J167" s="19" t="s">
        <v>117</v>
      </c>
      <c r="K167" s="20"/>
      <c r="L167" s="16" t="s">
        <v>149</v>
      </c>
      <c r="M167" s="7"/>
      <c r="N167" s="7"/>
      <c r="O167" s="8" t="s">
        <v>56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6">
        <v>100165</v>
      </c>
      <c r="B168" s="16" t="str">
        <f t="shared" si="72"/>
        <v>燃料引爆</v>
      </c>
      <c r="C168" s="16" t="str">
        <f>表1[[#This Row],[name]]&amp;"+1"</f>
        <v>燃料引爆+1</v>
      </c>
      <c r="D168" s="47" t="str">
        <f>[1]!颜色转换成内嵌函数()</f>
        <v>※color(195,213,89)[]</v>
      </c>
      <c r="E168" s="16">
        <f t="shared" si="69"/>
        <v>5</v>
      </c>
      <c r="F168" s="16" t="str">
        <f>IF(表1[[#This Row],[level]]+1=E169,A169,"")</f>
        <v/>
      </c>
      <c r="G168" s="16" t="s">
        <v>113</v>
      </c>
      <c r="H168" s="16" t="str">
        <f t="shared" si="68"/>
        <v>23~30</v>
      </c>
      <c r="I168" s="19" t="s">
        <v>210</v>
      </c>
      <c r="J168" s="19" t="s">
        <v>117</v>
      </c>
      <c r="K168" s="20"/>
      <c r="L168" s="16" t="s">
        <v>149</v>
      </c>
      <c r="M168" s="7"/>
      <c r="N168" s="7"/>
      <c r="O168" s="8" t="s">
        <v>56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6">
        <v>100166</v>
      </c>
      <c r="B169" s="16" t="str">
        <f t="shared" si="72"/>
        <v>机械工程</v>
      </c>
      <c r="C169" s="16" t="str">
        <f>表1[[#This Row],[name]]&amp;"+1"</f>
        <v>机械工程+1</v>
      </c>
      <c r="D169" s="48" t="str">
        <f>[1]!颜色转换成内嵌函数()</f>
        <v>※color(88,214,202)[]</v>
      </c>
      <c r="E169" s="16">
        <f t="shared" si="69"/>
        <v>1</v>
      </c>
      <c r="F169" s="16">
        <f>IF(表1[[#This Row],[level]]+1=E170,A170,"")</f>
        <v>100167</v>
      </c>
      <c r="G169" s="16" t="s">
        <v>113</v>
      </c>
      <c r="H169" s="16" t="str">
        <f t="shared" si="68"/>
        <v>5~12</v>
      </c>
      <c r="I169" s="19" t="s">
        <v>211</v>
      </c>
      <c r="J169" s="19" t="s">
        <v>117</v>
      </c>
      <c r="K169" s="20"/>
      <c r="L169" s="16" t="s">
        <v>152</v>
      </c>
      <c r="M169" s="7"/>
      <c r="N169" s="7"/>
      <c r="O169" s="8" t="s">
        <v>57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6">
        <v>100167</v>
      </c>
      <c r="B170" s="16" t="str">
        <f t="shared" si="72"/>
        <v>机械工程</v>
      </c>
      <c r="C170" s="16" t="str">
        <f>表1[[#This Row],[name]]&amp;"+1"</f>
        <v>机械工程+1</v>
      </c>
      <c r="D170" s="48" t="str">
        <f>[1]!颜色转换成内嵌函数()</f>
        <v>※color(88,214,202)[]</v>
      </c>
      <c r="E170" s="16">
        <f t="shared" si="69"/>
        <v>2</v>
      </c>
      <c r="F170" s="16">
        <f>IF(表1[[#This Row],[level]]+1=E171,A171,"")</f>
        <v>100168</v>
      </c>
      <c r="G170" s="16" t="s">
        <v>113</v>
      </c>
      <c r="H170" s="16" t="str">
        <f t="shared" si="68"/>
        <v>10~17</v>
      </c>
      <c r="I170" s="19" t="s">
        <v>211</v>
      </c>
      <c r="J170" s="19" t="s">
        <v>117</v>
      </c>
      <c r="K170" s="20"/>
      <c r="L170" s="16" t="s">
        <v>152</v>
      </c>
      <c r="M170" s="7"/>
      <c r="N170" s="7"/>
      <c r="O170" s="8" t="s">
        <v>57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6">
        <v>100168</v>
      </c>
      <c r="B171" s="16" t="str">
        <f t="shared" si="72"/>
        <v>机械工程</v>
      </c>
      <c r="C171" s="16" t="str">
        <f>表1[[#This Row],[name]]&amp;"+1"</f>
        <v>机械工程+1</v>
      </c>
      <c r="D171" s="48" t="str">
        <f>[1]!颜色转换成内嵌函数()</f>
        <v>※color(88,214,202)[]</v>
      </c>
      <c r="E171" s="16">
        <f t="shared" si="69"/>
        <v>3</v>
      </c>
      <c r="F171" s="16">
        <f>IF(表1[[#This Row],[level]]+1=E172,A172,"")</f>
        <v>100169</v>
      </c>
      <c r="G171" s="16" t="s">
        <v>113</v>
      </c>
      <c r="H171" s="16" t="str">
        <f t="shared" si="68"/>
        <v>14~21</v>
      </c>
      <c r="I171" s="19" t="s">
        <v>211</v>
      </c>
      <c r="J171" s="19" t="s">
        <v>117</v>
      </c>
      <c r="K171" s="20"/>
      <c r="L171" s="16" t="s">
        <v>169</v>
      </c>
      <c r="M171" s="7"/>
      <c r="N171" s="7"/>
      <c r="O171" s="8" t="s">
        <v>57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6">
        <v>100169</v>
      </c>
      <c r="B172" s="16" t="str">
        <f t="shared" si="72"/>
        <v>机械工程</v>
      </c>
      <c r="C172" s="16" t="str">
        <f>表1[[#This Row],[name]]&amp;"+1"</f>
        <v>机械工程+1</v>
      </c>
      <c r="D172" s="48" t="str">
        <f>[1]!颜色转换成内嵌函数()</f>
        <v>※color(88,214,202)[]</v>
      </c>
      <c r="E172" s="16">
        <f t="shared" si="69"/>
        <v>4</v>
      </c>
      <c r="F172" s="16">
        <f>IF(表1[[#This Row],[level]]+1=E173,A173,"")</f>
        <v>100170</v>
      </c>
      <c r="G172" s="16" t="s">
        <v>113</v>
      </c>
      <c r="H172" s="16" t="str">
        <f t="shared" si="68"/>
        <v>19~26</v>
      </c>
      <c r="I172" s="19" t="s">
        <v>211</v>
      </c>
      <c r="J172" s="19" t="s">
        <v>117</v>
      </c>
      <c r="K172" s="20"/>
      <c r="L172" s="16" t="s">
        <v>152</v>
      </c>
      <c r="M172" s="7"/>
      <c r="N172" s="7"/>
      <c r="O172" s="8" t="s">
        <v>57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6">
        <v>100170</v>
      </c>
      <c r="B173" s="16" t="str">
        <f t="shared" si="72"/>
        <v>机械工程</v>
      </c>
      <c r="C173" s="16" t="str">
        <f>表1[[#This Row],[name]]&amp;"+1"</f>
        <v>机械工程+1</v>
      </c>
      <c r="D173" s="48" t="str">
        <f>[1]!颜色转换成内嵌函数()</f>
        <v>※color(88,214,202)[]</v>
      </c>
      <c r="E173" s="16">
        <f t="shared" si="69"/>
        <v>5</v>
      </c>
      <c r="F173" s="16" t="str">
        <f>IF(表1[[#This Row],[level]]+1=E174,A174,"")</f>
        <v/>
      </c>
      <c r="G173" s="16" t="s">
        <v>113</v>
      </c>
      <c r="H173" s="16" t="str">
        <f t="shared" si="68"/>
        <v>23~30</v>
      </c>
      <c r="I173" s="19" t="s">
        <v>211</v>
      </c>
      <c r="J173" s="19" t="s">
        <v>117</v>
      </c>
      <c r="K173" s="20"/>
      <c r="L173" s="16" t="s">
        <v>152</v>
      </c>
      <c r="M173" s="7"/>
      <c r="N173" s="7"/>
      <c r="O173" s="8" t="s">
        <v>57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6">
        <v>100171</v>
      </c>
      <c r="B174" s="16" t="str">
        <f t="shared" si="72"/>
        <v>生命工程</v>
      </c>
      <c r="C174" s="16" t="str">
        <f>表1[[#This Row],[name]]&amp;"+1"</f>
        <v>生命工程+1</v>
      </c>
      <c r="D174" s="49" t="str">
        <f>[1]!颜色转换成内嵌函数()</f>
        <v>※color(93,152,171)[]</v>
      </c>
      <c r="E174" s="16">
        <f t="shared" si="69"/>
        <v>1</v>
      </c>
      <c r="F174" s="16">
        <f>IF(表1[[#This Row],[level]]+1=E175,A175,"")</f>
        <v>100172</v>
      </c>
      <c r="G174" s="16" t="s">
        <v>113</v>
      </c>
      <c r="H174" s="16" t="str">
        <f t="shared" si="68"/>
        <v>5~12</v>
      </c>
      <c r="I174" s="19" t="s">
        <v>212</v>
      </c>
      <c r="J174" s="19" t="s">
        <v>117</v>
      </c>
      <c r="K174" s="20"/>
      <c r="L174" s="16" t="s">
        <v>154</v>
      </c>
      <c r="M174" s="7"/>
      <c r="N174" s="7"/>
      <c r="O174" s="8" t="s">
        <v>58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6">
        <v>100172</v>
      </c>
      <c r="B175" s="16" t="str">
        <f t="shared" si="72"/>
        <v>生命工程</v>
      </c>
      <c r="C175" s="16" t="str">
        <f>表1[[#This Row],[name]]&amp;"+1"</f>
        <v>生命工程+1</v>
      </c>
      <c r="D175" s="49" t="str">
        <f>[1]!颜色转换成内嵌函数()</f>
        <v>※color(93,152,171)[]</v>
      </c>
      <c r="E175" s="16">
        <f t="shared" si="69"/>
        <v>2</v>
      </c>
      <c r="F175" s="16">
        <f>IF(表1[[#This Row],[level]]+1=E176,A176,"")</f>
        <v>100173</v>
      </c>
      <c r="G175" s="16" t="s">
        <v>113</v>
      </c>
      <c r="H175" s="16" t="str">
        <f t="shared" si="68"/>
        <v>10~17</v>
      </c>
      <c r="I175" s="19" t="s">
        <v>212</v>
      </c>
      <c r="J175" s="19" t="s">
        <v>117</v>
      </c>
      <c r="K175" s="20"/>
      <c r="L175" s="16" t="s">
        <v>153</v>
      </c>
      <c r="M175" s="7"/>
      <c r="N175" s="7"/>
      <c r="O175" s="8" t="s">
        <v>58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6">
        <v>100173</v>
      </c>
      <c r="B176" s="16" t="str">
        <f t="shared" si="72"/>
        <v>生命工程</v>
      </c>
      <c r="C176" s="16" t="str">
        <f>表1[[#This Row],[name]]&amp;"+1"</f>
        <v>生命工程+1</v>
      </c>
      <c r="D176" s="49" t="str">
        <f>[1]!颜色转换成内嵌函数()</f>
        <v>※color(93,152,171)[]</v>
      </c>
      <c r="E176" s="16">
        <f t="shared" si="69"/>
        <v>3</v>
      </c>
      <c r="F176" s="16">
        <f>IF(表1[[#This Row],[level]]+1=E177,A177,"")</f>
        <v>100174</v>
      </c>
      <c r="G176" s="16" t="s">
        <v>113</v>
      </c>
      <c r="H176" s="16" t="str">
        <f t="shared" si="68"/>
        <v>14~21</v>
      </c>
      <c r="I176" s="19" t="s">
        <v>212</v>
      </c>
      <c r="J176" s="19" t="s">
        <v>117</v>
      </c>
      <c r="K176" s="20"/>
      <c r="L176" s="16" t="s">
        <v>153</v>
      </c>
      <c r="M176" s="7"/>
      <c r="N176" s="7"/>
      <c r="O176" s="8" t="s">
        <v>58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6">
        <v>100174</v>
      </c>
      <c r="B177" s="16" t="str">
        <f t="shared" si="72"/>
        <v>生命工程</v>
      </c>
      <c r="C177" s="16" t="str">
        <f>表1[[#This Row],[name]]&amp;"+1"</f>
        <v>生命工程+1</v>
      </c>
      <c r="D177" s="49" t="str">
        <f>[1]!颜色转换成内嵌函数()</f>
        <v>※color(93,152,171)[]</v>
      </c>
      <c r="E177" s="16">
        <f t="shared" si="69"/>
        <v>4</v>
      </c>
      <c r="F177" s="16">
        <f>IF(表1[[#This Row],[level]]+1=E178,A178,"")</f>
        <v>100175</v>
      </c>
      <c r="G177" s="16" t="s">
        <v>113</v>
      </c>
      <c r="H177" s="16" t="str">
        <f t="shared" si="68"/>
        <v>19~26</v>
      </c>
      <c r="I177" s="19" t="s">
        <v>212</v>
      </c>
      <c r="J177" s="19" t="s">
        <v>117</v>
      </c>
      <c r="K177" s="20"/>
      <c r="L177" s="16" t="s">
        <v>153</v>
      </c>
      <c r="M177" s="7"/>
      <c r="N177" s="7"/>
      <c r="O177" s="8" t="s">
        <v>58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6">
        <v>100175</v>
      </c>
      <c r="B178" s="16" t="str">
        <f t="shared" si="72"/>
        <v>生命工程</v>
      </c>
      <c r="C178" s="16" t="str">
        <f>表1[[#This Row],[name]]&amp;"+1"</f>
        <v>生命工程+1</v>
      </c>
      <c r="D178" s="49" t="str">
        <f>[1]!颜色转换成内嵌函数()</f>
        <v>※color(93,152,171)[]</v>
      </c>
      <c r="E178" s="16">
        <f t="shared" si="69"/>
        <v>5</v>
      </c>
      <c r="F178" s="16" t="str">
        <f>IF(表1[[#This Row],[level]]+1=E179,A179,"")</f>
        <v/>
      </c>
      <c r="G178" s="16" t="s">
        <v>113</v>
      </c>
      <c r="H178" s="16" t="str">
        <f t="shared" si="68"/>
        <v>23~30</v>
      </c>
      <c r="I178" s="19" t="s">
        <v>212</v>
      </c>
      <c r="J178" s="19" t="s">
        <v>117</v>
      </c>
      <c r="K178" s="20"/>
      <c r="L178" s="16" t="s">
        <v>154</v>
      </c>
      <c r="M178" s="7"/>
      <c r="N178" s="7"/>
      <c r="O178" s="8" t="s">
        <v>58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6">
        <v>100176</v>
      </c>
      <c r="B179" s="16" t="str">
        <f t="shared" si="72"/>
        <v>热力追踪</v>
      </c>
      <c r="C179" s="16" t="str">
        <f>表1[[#This Row],[name]]&amp;"+1"</f>
        <v>热力追踪+1</v>
      </c>
      <c r="D179" s="50" t="str">
        <f>[1]!颜色转换成内嵌函数()</f>
        <v>※color(186,122,36)[]</v>
      </c>
      <c r="E179" s="16">
        <f t="shared" si="69"/>
        <v>1</v>
      </c>
      <c r="F179" s="16">
        <f>IF(表1[[#This Row],[level]]+1=E180,A180,"")</f>
        <v>100177</v>
      </c>
      <c r="G179" s="16" t="s">
        <v>113</v>
      </c>
      <c r="H179" s="16" t="str">
        <f t="shared" si="68"/>
        <v>5~12</v>
      </c>
      <c r="I179" s="19" t="s">
        <v>213</v>
      </c>
      <c r="J179" s="19" t="s">
        <v>117</v>
      </c>
      <c r="K179" s="20"/>
      <c r="L179" s="16" t="s">
        <v>155</v>
      </c>
      <c r="M179" s="7"/>
      <c r="N179" s="7"/>
      <c r="O179" s="8" t="s">
        <v>59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6">
        <v>100177</v>
      </c>
      <c r="B180" s="16" t="str">
        <f t="shared" si="72"/>
        <v>热力追踪</v>
      </c>
      <c r="C180" s="16" t="str">
        <f>表1[[#This Row],[name]]&amp;"+1"</f>
        <v>热力追踪+1</v>
      </c>
      <c r="D180" s="50" t="str">
        <f>[1]!颜色转换成内嵌函数()</f>
        <v>※color(186,122,36)[]</v>
      </c>
      <c r="E180" s="16">
        <f t="shared" si="69"/>
        <v>2</v>
      </c>
      <c r="F180" s="16">
        <f>IF(表1[[#This Row],[level]]+1=E181,A181,"")</f>
        <v>100178</v>
      </c>
      <c r="G180" s="16" t="s">
        <v>113</v>
      </c>
      <c r="H180" s="16" t="str">
        <f t="shared" si="68"/>
        <v>10~17</v>
      </c>
      <c r="I180" s="19" t="s">
        <v>213</v>
      </c>
      <c r="J180" s="19" t="s">
        <v>117</v>
      </c>
      <c r="K180" s="20"/>
      <c r="L180" s="16" t="s">
        <v>155</v>
      </c>
      <c r="M180" s="7"/>
      <c r="N180" s="7"/>
      <c r="O180" s="8" t="s">
        <v>59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6">
        <v>100178</v>
      </c>
      <c r="B181" s="16" t="str">
        <f t="shared" si="72"/>
        <v>热力追踪</v>
      </c>
      <c r="C181" s="16" t="str">
        <f>表1[[#This Row],[name]]&amp;"+1"</f>
        <v>热力追踪+1</v>
      </c>
      <c r="D181" s="50" t="str">
        <f>[1]!颜色转换成内嵌函数()</f>
        <v>※color(186,122,36)[]</v>
      </c>
      <c r="E181" s="16">
        <f t="shared" si="69"/>
        <v>3</v>
      </c>
      <c r="F181" s="16">
        <f>IF(表1[[#This Row],[level]]+1=E182,A182,"")</f>
        <v>100179</v>
      </c>
      <c r="G181" s="16" t="s">
        <v>113</v>
      </c>
      <c r="H181" s="16" t="str">
        <f t="shared" si="68"/>
        <v>14~21</v>
      </c>
      <c r="I181" s="19" t="s">
        <v>213</v>
      </c>
      <c r="J181" s="19" t="s">
        <v>117</v>
      </c>
      <c r="K181" s="20"/>
      <c r="L181" s="16" t="s">
        <v>155</v>
      </c>
      <c r="M181" s="7"/>
      <c r="N181" s="7"/>
      <c r="O181" s="8" t="s">
        <v>59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6">
        <v>100179</v>
      </c>
      <c r="B182" s="16" t="str">
        <f t="shared" si="72"/>
        <v>热力追踪</v>
      </c>
      <c r="C182" s="16" t="str">
        <f>表1[[#This Row],[name]]&amp;"+1"</f>
        <v>热力追踪+1</v>
      </c>
      <c r="D182" s="50" t="str">
        <f>[1]!颜色转换成内嵌函数()</f>
        <v>※color(186,122,36)[]</v>
      </c>
      <c r="E182" s="16">
        <f t="shared" si="69"/>
        <v>4</v>
      </c>
      <c r="F182" s="16">
        <f>IF(表1[[#This Row],[level]]+1=E183,A183,"")</f>
        <v>100180</v>
      </c>
      <c r="G182" s="16" t="s">
        <v>113</v>
      </c>
      <c r="H182" s="16" t="str">
        <f t="shared" si="68"/>
        <v>19~26</v>
      </c>
      <c r="I182" s="19" t="s">
        <v>213</v>
      </c>
      <c r="J182" s="19" t="s">
        <v>117</v>
      </c>
      <c r="K182" s="20"/>
      <c r="L182" s="16" t="s">
        <v>165</v>
      </c>
      <c r="M182" s="7"/>
      <c r="N182" s="7"/>
      <c r="O182" s="8" t="s">
        <v>59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6">
        <v>100180</v>
      </c>
      <c r="B183" s="16" t="str">
        <f t="shared" si="72"/>
        <v>热力追踪</v>
      </c>
      <c r="C183" s="16" t="str">
        <f>表1[[#This Row],[name]]&amp;"+1"</f>
        <v>热力追踪+1</v>
      </c>
      <c r="D183" s="50" t="str">
        <f>[1]!颜色转换成内嵌函数()</f>
        <v>※color(186,122,36)[]</v>
      </c>
      <c r="E183" s="16">
        <f t="shared" si="69"/>
        <v>5</v>
      </c>
      <c r="F183" s="16" t="str">
        <f>IF(表1[[#This Row],[level]]+1=E184,A184,"")</f>
        <v/>
      </c>
      <c r="G183" s="16" t="s">
        <v>113</v>
      </c>
      <c r="H183" s="16" t="str">
        <f t="shared" si="68"/>
        <v>23~30</v>
      </c>
      <c r="I183" s="19" t="s">
        <v>213</v>
      </c>
      <c r="J183" s="19" t="s">
        <v>117</v>
      </c>
      <c r="K183" s="20"/>
      <c r="L183" s="16" t="s">
        <v>155</v>
      </c>
      <c r="M183" s="7"/>
      <c r="N183" s="7"/>
      <c r="O183" s="8" t="s">
        <v>59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6">
        <v>100181</v>
      </c>
      <c r="B184" s="16" t="str">
        <f t="shared" si="72"/>
        <v>没有雾霾</v>
      </c>
      <c r="C184" s="16" t="str">
        <f>表1[[#This Row],[name]]&amp;"+1"</f>
        <v>没有雾霾+1</v>
      </c>
      <c r="D184" s="45" t="str">
        <f>[1]!颜色转换成内嵌函数()</f>
        <v>※color(181,79,79)[]</v>
      </c>
      <c r="E184" s="16">
        <f t="shared" si="69"/>
        <v>1</v>
      </c>
      <c r="F184" s="16">
        <f>IF(表1[[#This Row],[level]]+1=E185,A185,"")</f>
        <v>100182</v>
      </c>
      <c r="G184" s="16" t="s">
        <v>113</v>
      </c>
      <c r="H184" s="16" t="str">
        <f t="shared" si="68"/>
        <v>5~12</v>
      </c>
      <c r="I184" s="19" t="s">
        <v>214</v>
      </c>
      <c r="J184" s="19" t="s">
        <v>117</v>
      </c>
      <c r="K184" s="20"/>
      <c r="L184" s="16" t="s">
        <v>156</v>
      </c>
      <c r="M184" s="7"/>
      <c r="N184" s="7"/>
      <c r="O184" s="8" t="s">
        <v>60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6">
        <v>100182</v>
      </c>
      <c r="B185" s="16" t="str">
        <f t="shared" si="72"/>
        <v>没有雾霾</v>
      </c>
      <c r="C185" s="16" t="str">
        <f>表1[[#This Row],[name]]&amp;"+1"</f>
        <v>没有雾霾+1</v>
      </c>
      <c r="D185" s="45" t="str">
        <f>[1]!颜色转换成内嵌函数()</f>
        <v>※color(181,79,79)[]</v>
      </c>
      <c r="E185" s="16">
        <f t="shared" si="69"/>
        <v>2</v>
      </c>
      <c r="F185" s="16">
        <f>IF(表1[[#This Row],[level]]+1=E186,A186,"")</f>
        <v>100183</v>
      </c>
      <c r="G185" s="16" t="s">
        <v>113</v>
      </c>
      <c r="H185" s="16" t="str">
        <f t="shared" si="68"/>
        <v>10~17</v>
      </c>
      <c r="I185" s="19" t="s">
        <v>214</v>
      </c>
      <c r="J185" s="19" t="s">
        <v>117</v>
      </c>
      <c r="K185" s="20"/>
      <c r="L185" s="16" t="s">
        <v>156</v>
      </c>
      <c r="M185" s="7"/>
      <c r="N185" s="7"/>
      <c r="O185" s="8" t="s">
        <v>60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6">
        <v>100183</v>
      </c>
      <c r="B186" s="16" t="str">
        <f t="shared" si="72"/>
        <v>没有雾霾</v>
      </c>
      <c r="C186" s="16" t="str">
        <f>表1[[#This Row],[name]]&amp;"+1"</f>
        <v>没有雾霾+1</v>
      </c>
      <c r="D186" s="45" t="str">
        <f>[1]!颜色转换成内嵌函数()</f>
        <v>※color(181,79,79)[]</v>
      </c>
      <c r="E186" s="16">
        <f t="shared" si="69"/>
        <v>3</v>
      </c>
      <c r="F186" s="16">
        <f>IF(表1[[#This Row],[level]]+1=E187,A187,"")</f>
        <v>100184</v>
      </c>
      <c r="G186" s="16" t="s">
        <v>113</v>
      </c>
      <c r="H186" s="16" t="str">
        <f t="shared" si="68"/>
        <v>14~21</v>
      </c>
      <c r="I186" s="19" t="s">
        <v>214</v>
      </c>
      <c r="J186" s="19" t="s">
        <v>117</v>
      </c>
      <c r="K186" s="20"/>
      <c r="L186" s="16" t="s">
        <v>156</v>
      </c>
      <c r="M186" s="7"/>
      <c r="N186" s="7"/>
      <c r="O186" s="8" t="s">
        <v>60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6">
        <v>100184</v>
      </c>
      <c r="B187" s="16" t="str">
        <f t="shared" si="72"/>
        <v>没有雾霾</v>
      </c>
      <c r="C187" s="16" t="str">
        <f>表1[[#This Row],[name]]&amp;"+1"</f>
        <v>没有雾霾+1</v>
      </c>
      <c r="D187" s="45" t="str">
        <f>[1]!颜色转换成内嵌函数()</f>
        <v>※color(181,79,79)[]</v>
      </c>
      <c r="E187" s="16">
        <f t="shared" si="69"/>
        <v>4</v>
      </c>
      <c r="F187" s="16">
        <f>IF(表1[[#This Row],[level]]+1=E188,A188,"")</f>
        <v>100185</v>
      </c>
      <c r="G187" s="16" t="s">
        <v>113</v>
      </c>
      <c r="H187" s="16" t="str">
        <f t="shared" si="68"/>
        <v>19~26</v>
      </c>
      <c r="I187" s="19" t="s">
        <v>214</v>
      </c>
      <c r="J187" s="19" t="s">
        <v>117</v>
      </c>
      <c r="K187" s="20"/>
      <c r="L187" s="16" t="s">
        <v>166</v>
      </c>
      <c r="M187" s="7"/>
      <c r="N187" s="7"/>
      <c r="O187" s="8" t="s">
        <v>60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6">
        <v>100185</v>
      </c>
      <c r="B188" s="16" t="str">
        <f t="shared" si="72"/>
        <v>没有雾霾</v>
      </c>
      <c r="C188" s="16" t="str">
        <f>表1[[#This Row],[name]]&amp;"+1"</f>
        <v>没有雾霾+1</v>
      </c>
      <c r="D188" s="45" t="str">
        <f>[1]!颜色转换成内嵌函数()</f>
        <v>※color(181,79,79)[]</v>
      </c>
      <c r="E188" s="16">
        <f t="shared" si="69"/>
        <v>5</v>
      </c>
      <c r="F188" s="16" t="str">
        <f>IF(表1[[#This Row],[level]]+1=E189,A189,"")</f>
        <v/>
      </c>
      <c r="G188" s="16" t="s">
        <v>113</v>
      </c>
      <c r="H188" s="16" t="str">
        <f t="shared" si="68"/>
        <v>23~30</v>
      </c>
      <c r="I188" s="19" t="s">
        <v>214</v>
      </c>
      <c r="J188" s="19" t="s">
        <v>117</v>
      </c>
      <c r="K188" s="20"/>
      <c r="L188" s="16" t="s">
        <v>156</v>
      </c>
      <c r="M188" s="7"/>
      <c r="N188" s="7"/>
      <c r="O188" s="8" t="s">
        <v>60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6">
        <v>100186</v>
      </c>
      <c r="B189" s="16" t="str">
        <f t="shared" si="72"/>
        <v>纳米修复</v>
      </c>
      <c r="C189" s="16" t="str">
        <f>表1[[#This Row],[name]]&amp;"+1"</f>
        <v>纳米修复+1</v>
      </c>
      <c r="D189" s="46" t="str">
        <f>[1]!颜色转换成内嵌函数()</f>
        <v>※color(181,79,162)[]</v>
      </c>
      <c r="E189" s="16">
        <f t="shared" si="69"/>
        <v>1</v>
      </c>
      <c r="F189" s="16">
        <f>IF(表1[[#This Row],[level]]+1=E190,A190,"")</f>
        <v>100187</v>
      </c>
      <c r="G189" s="16" t="s">
        <v>113</v>
      </c>
      <c r="H189" s="16" t="str">
        <f t="shared" si="68"/>
        <v>5~12</v>
      </c>
      <c r="I189" s="19" t="s">
        <v>215</v>
      </c>
      <c r="J189" s="19" t="s">
        <v>117</v>
      </c>
      <c r="K189" s="20"/>
      <c r="L189" s="16" t="s">
        <v>158</v>
      </c>
      <c r="M189" s="7"/>
      <c r="N189" s="7"/>
      <c r="O189" s="8" t="s">
        <v>61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6">
        <v>100187</v>
      </c>
      <c r="B190" s="16" t="str">
        <f t="shared" si="72"/>
        <v>纳米修复</v>
      </c>
      <c r="C190" s="16" t="str">
        <f>表1[[#This Row],[name]]&amp;"+1"</f>
        <v>纳米修复+1</v>
      </c>
      <c r="D190" s="46" t="str">
        <f>[1]!颜色转换成内嵌函数()</f>
        <v>※color(181,79,162)[]</v>
      </c>
      <c r="E190" s="16">
        <f t="shared" si="69"/>
        <v>2</v>
      </c>
      <c r="F190" s="16">
        <f>IF(表1[[#This Row],[level]]+1=E191,A191,"")</f>
        <v>100188</v>
      </c>
      <c r="G190" s="16" t="s">
        <v>113</v>
      </c>
      <c r="H190" s="16" t="str">
        <f t="shared" si="68"/>
        <v>10~17</v>
      </c>
      <c r="I190" s="19" t="s">
        <v>215</v>
      </c>
      <c r="J190" s="19" t="s">
        <v>117</v>
      </c>
      <c r="K190" s="20"/>
      <c r="L190" s="16" t="s">
        <v>158</v>
      </c>
      <c r="M190" s="7"/>
      <c r="N190" s="7"/>
      <c r="O190" s="8" t="s">
        <v>61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6">
        <v>100188</v>
      </c>
      <c r="B191" s="16" t="str">
        <f t="shared" si="72"/>
        <v>纳米修复</v>
      </c>
      <c r="C191" s="16" t="str">
        <f>表1[[#This Row],[name]]&amp;"+1"</f>
        <v>纳米修复+1</v>
      </c>
      <c r="D191" s="46" t="str">
        <f>[1]!颜色转换成内嵌函数()</f>
        <v>※color(181,79,162)[]</v>
      </c>
      <c r="E191" s="16">
        <f t="shared" si="69"/>
        <v>3</v>
      </c>
      <c r="F191" s="16">
        <f>IF(表1[[#This Row],[level]]+1=E192,A192,"")</f>
        <v>100189</v>
      </c>
      <c r="G191" s="16" t="s">
        <v>113</v>
      </c>
      <c r="H191" s="16" t="str">
        <f t="shared" si="68"/>
        <v>14~21</v>
      </c>
      <c r="I191" s="19" t="s">
        <v>215</v>
      </c>
      <c r="J191" s="19" t="s">
        <v>117</v>
      </c>
      <c r="K191" s="20"/>
      <c r="L191" s="16" t="s">
        <v>167</v>
      </c>
      <c r="M191" s="7"/>
      <c r="N191" s="7"/>
      <c r="O191" s="8" t="s">
        <v>61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6">
        <v>100189</v>
      </c>
      <c r="B192" s="16" t="str">
        <f t="shared" si="72"/>
        <v>纳米修复</v>
      </c>
      <c r="C192" s="16" t="str">
        <f>表1[[#This Row],[name]]&amp;"+1"</f>
        <v>纳米修复+1</v>
      </c>
      <c r="D192" s="46" t="str">
        <f>[1]!颜色转换成内嵌函数()</f>
        <v>※color(181,79,162)[]</v>
      </c>
      <c r="E192" s="16">
        <f t="shared" si="69"/>
        <v>4</v>
      </c>
      <c r="F192" s="16">
        <f>IF(表1[[#This Row],[level]]+1=E193,A193,"")</f>
        <v>100190</v>
      </c>
      <c r="G192" s="16" t="s">
        <v>113</v>
      </c>
      <c r="H192" s="16" t="str">
        <f t="shared" si="68"/>
        <v>19~26</v>
      </c>
      <c r="I192" s="19" t="s">
        <v>215</v>
      </c>
      <c r="J192" s="19" t="s">
        <v>117</v>
      </c>
      <c r="K192" s="20"/>
      <c r="L192" s="16" t="s">
        <v>167</v>
      </c>
      <c r="M192" s="7"/>
      <c r="N192" s="7"/>
      <c r="O192" s="8" t="s">
        <v>61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6">
        <v>100190</v>
      </c>
      <c r="B193" s="16" t="str">
        <f>O193</f>
        <v>纳米修复</v>
      </c>
      <c r="C193" s="16" t="str">
        <f>表1[[#This Row],[name]]&amp;"+1"</f>
        <v>纳米修复+1</v>
      </c>
      <c r="D193" s="46" t="str">
        <f>[1]!颜色转换成内嵌函数()</f>
        <v>※color(181,79,162)[]</v>
      </c>
      <c r="E193" s="16">
        <f t="shared" si="69"/>
        <v>5</v>
      </c>
      <c r="F193" s="16" t="str">
        <f>IF(表1[[#This Row],[level]]+1=E194,A194,"")</f>
        <v/>
      </c>
      <c r="G193" s="16" t="s">
        <v>113</v>
      </c>
      <c r="H193" s="16" t="str">
        <f t="shared" si="68"/>
        <v>23~30</v>
      </c>
      <c r="I193" s="19" t="s">
        <v>215</v>
      </c>
      <c r="J193" s="19" t="s">
        <v>117</v>
      </c>
      <c r="K193" s="20"/>
      <c r="L193" s="16" t="s">
        <v>158</v>
      </c>
      <c r="M193" s="7"/>
      <c r="N193" s="7"/>
      <c r="O193" s="8" t="s">
        <v>61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6">
        <v>100191</v>
      </c>
      <c r="B194" s="16" t="str">
        <f t="shared" si="72"/>
        <v>灵魂修复</v>
      </c>
      <c r="C194" s="16" t="str">
        <f>表1[[#This Row],[name]]&amp;"+1"</f>
        <v>灵魂修复+1</v>
      </c>
      <c r="D194" s="47" t="str">
        <f>[1]!颜色转换成内嵌函数()</f>
        <v>※color(195,213,89)[]</v>
      </c>
      <c r="E194" s="16">
        <f t="shared" si="69"/>
        <v>1</v>
      </c>
      <c r="F194" s="16">
        <f>IF(表1[[#This Row],[level]]+1=E195,A195,"")</f>
        <v>100192</v>
      </c>
      <c r="G194" s="16" t="s">
        <v>113</v>
      </c>
      <c r="H194" s="16" t="str">
        <f t="shared" si="68"/>
        <v>5~12</v>
      </c>
      <c r="I194" s="19" t="s">
        <v>216</v>
      </c>
      <c r="J194" s="19" t="s">
        <v>117</v>
      </c>
      <c r="K194" s="20"/>
      <c r="L194" s="16" t="s">
        <v>160</v>
      </c>
      <c r="M194" s="7"/>
      <c r="N194" s="7"/>
      <c r="O194" s="8" t="s">
        <v>62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6">
        <v>100192</v>
      </c>
      <c r="B195" s="16" t="str">
        <f t="shared" si="72"/>
        <v>灵魂修复</v>
      </c>
      <c r="C195" s="16" t="str">
        <f>表1[[#This Row],[name]]&amp;"+1"</f>
        <v>灵魂修复+1</v>
      </c>
      <c r="D195" s="47" t="str">
        <f>[1]!颜色转换成内嵌函数()</f>
        <v>※color(195,213,89)[]</v>
      </c>
      <c r="E195" s="16">
        <f t="shared" si="69"/>
        <v>2</v>
      </c>
      <c r="F195" s="16">
        <f>IF(表1[[#This Row],[level]]+1=E196,A196,"")</f>
        <v>100193</v>
      </c>
      <c r="G195" s="16" t="s">
        <v>113</v>
      </c>
      <c r="H195" s="16" t="str">
        <f t="shared" si="68"/>
        <v>10~17</v>
      </c>
      <c r="I195" s="19" t="s">
        <v>216</v>
      </c>
      <c r="J195" s="19" t="s">
        <v>117</v>
      </c>
      <c r="K195" s="20"/>
      <c r="L195" s="16" t="s">
        <v>159</v>
      </c>
      <c r="M195" s="7"/>
      <c r="N195" s="7"/>
      <c r="O195" s="8" t="s">
        <v>62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6">
        <v>100193</v>
      </c>
      <c r="B196" s="16" t="str">
        <f t="shared" si="72"/>
        <v>灵魂修复</v>
      </c>
      <c r="C196" s="16" t="str">
        <f>表1[[#This Row],[name]]&amp;"+1"</f>
        <v>灵魂修复+1</v>
      </c>
      <c r="D196" s="47" t="str">
        <f>[1]!颜色转换成内嵌函数()</f>
        <v>※color(195,213,89)[]</v>
      </c>
      <c r="E196" s="16">
        <f t="shared" si="69"/>
        <v>3</v>
      </c>
      <c r="F196" s="16">
        <f>IF(表1[[#This Row],[level]]+1=E197,A197,"")</f>
        <v>100194</v>
      </c>
      <c r="G196" s="16" t="s">
        <v>113</v>
      </c>
      <c r="H196" s="16" t="str">
        <f t="shared" ref="H196:H233" si="97">ROUND(S196,0)&amp; "~" &amp; ROUND(T196,0)</f>
        <v>14~21</v>
      </c>
      <c r="I196" s="19" t="s">
        <v>216</v>
      </c>
      <c r="J196" s="19" t="s">
        <v>117</v>
      </c>
      <c r="K196" s="20"/>
      <c r="L196" s="16" t="s">
        <v>159</v>
      </c>
      <c r="M196" s="7"/>
      <c r="N196" s="7"/>
      <c r="O196" s="8" t="s">
        <v>62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6">
        <v>100194</v>
      </c>
      <c r="B197" s="16" t="str">
        <f t="shared" si="72"/>
        <v>灵魂修复</v>
      </c>
      <c r="C197" s="16" t="str">
        <f>表1[[#This Row],[name]]&amp;"+1"</f>
        <v>灵魂修复+1</v>
      </c>
      <c r="D197" s="47" t="str">
        <f>[1]!颜色转换成内嵌函数()</f>
        <v>※color(195,213,89)[]</v>
      </c>
      <c r="E197" s="16">
        <f t="shared" ref="E197:E233" si="100">IF(O197=O196,E196+1,1)</f>
        <v>4</v>
      </c>
      <c r="F197" s="16">
        <f>IF(表1[[#This Row],[level]]+1=E198,A198,"")</f>
        <v>100195</v>
      </c>
      <c r="G197" s="16" t="s">
        <v>113</v>
      </c>
      <c r="H197" s="16" t="str">
        <f t="shared" si="97"/>
        <v>19~26</v>
      </c>
      <c r="I197" s="19" t="s">
        <v>216</v>
      </c>
      <c r="J197" s="19" t="s">
        <v>117</v>
      </c>
      <c r="K197" s="20"/>
      <c r="L197" s="16" t="s">
        <v>160</v>
      </c>
      <c r="M197" s="7"/>
      <c r="N197" s="7"/>
      <c r="O197" s="8" t="s">
        <v>62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6">
        <v>100195</v>
      </c>
      <c r="B198" s="16" t="str">
        <f t="shared" si="72"/>
        <v>灵魂修复</v>
      </c>
      <c r="C198" s="16" t="str">
        <f>表1[[#This Row],[name]]&amp;"+1"</f>
        <v>灵魂修复+1</v>
      </c>
      <c r="D198" s="47" t="str">
        <f>[1]!颜色转换成内嵌函数()</f>
        <v>※color(195,213,89)[]</v>
      </c>
      <c r="E198" s="16">
        <f t="shared" si="100"/>
        <v>5</v>
      </c>
      <c r="F198" s="16" t="str">
        <f>IF(表1[[#This Row],[level]]+1=E199,A199,"")</f>
        <v/>
      </c>
      <c r="G198" s="16" t="s">
        <v>113</v>
      </c>
      <c r="H198" s="16" t="str">
        <f t="shared" si="97"/>
        <v>23~30</v>
      </c>
      <c r="I198" s="19" t="s">
        <v>216</v>
      </c>
      <c r="J198" s="19" t="s">
        <v>117</v>
      </c>
      <c r="K198" s="20"/>
      <c r="L198" s="16" t="s">
        <v>160</v>
      </c>
      <c r="M198" s="7"/>
      <c r="N198" s="7"/>
      <c r="O198" s="8" t="s">
        <v>62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6">
        <v>100196</v>
      </c>
      <c r="B199" s="16" t="str">
        <f t="shared" si="72"/>
        <v>晕眩攻击</v>
      </c>
      <c r="C199" s="16" t="str">
        <f>表1[[#This Row],[name]]&amp;"+1"</f>
        <v>晕眩攻击+1</v>
      </c>
      <c r="D199" s="48" t="str">
        <f>[1]!颜色转换成内嵌函数()</f>
        <v>※color(88,214,202)[]</v>
      </c>
      <c r="E199" s="16">
        <f t="shared" si="100"/>
        <v>1</v>
      </c>
      <c r="F199" s="16">
        <f>IF(表1[[#This Row],[level]]+1=E200,A200,"")</f>
        <v>100197</v>
      </c>
      <c r="G199" s="16" t="s">
        <v>113</v>
      </c>
      <c r="H199" s="16" t="str">
        <f t="shared" si="97"/>
        <v>5~12</v>
      </c>
      <c r="I199" s="19" t="s">
        <v>217</v>
      </c>
      <c r="J199" s="19" t="s">
        <v>117</v>
      </c>
      <c r="K199" s="20"/>
      <c r="L199" s="16" t="s">
        <v>162</v>
      </c>
      <c r="M199" s="7"/>
      <c r="N199" s="7"/>
      <c r="O199" s="8" t="s">
        <v>63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6">
        <v>100197</v>
      </c>
      <c r="B200" s="16" t="str">
        <f t="shared" si="72"/>
        <v>晕眩攻击</v>
      </c>
      <c r="C200" s="16" t="str">
        <f>表1[[#This Row],[name]]&amp;"+1"</f>
        <v>晕眩攻击+1</v>
      </c>
      <c r="D200" s="48" t="str">
        <f>[1]!颜色转换成内嵌函数()</f>
        <v>※color(88,214,202)[]</v>
      </c>
      <c r="E200" s="16">
        <f t="shared" si="100"/>
        <v>2</v>
      </c>
      <c r="F200" s="16">
        <f>IF(表1[[#This Row],[level]]+1=E201,A201,"")</f>
        <v>100198</v>
      </c>
      <c r="G200" s="16" t="s">
        <v>113</v>
      </c>
      <c r="H200" s="16" t="str">
        <f t="shared" si="97"/>
        <v>10~17</v>
      </c>
      <c r="I200" s="19" t="s">
        <v>217</v>
      </c>
      <c r="J200" s="19" t="s">
        <v>117</v>
      </c>
      <c r="K200" s="20"/>
      <c r="L200" s="16" t="s">
        <v>162</v>
      </c>
      <c r="M200" s="7"/>
      <c r="N200" s="7"/>
      <c r="O200" s="8" t="s">
        <v>63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6">
        <v>100198</v>
      </c>
      <c r="B201" s="16" t="str">
        <f t="shared" si="72"/>
        <v>晕眩攻击</v>
      </c>
      <c r="C201" s="16" t="str">
        <f>表1[[#This Row],[name]]&amp;"+1"</f>
        <v>晕眩攻击+1</v>
      </c>
      <c r="D201" s="48" t="str">
        <f>[1]!颜色转换成内嵌函数()</f>
        <v>※color(88,214,202)[]</v>
      </c>
      <c r="E201" s="16">
        <f t="shared" si="100"/>
        <v>3</v>
      </c>
      <c r="F201" s="16">
        <f>IF(表1[[#This Row],[level]]+1=E202,A202,"")</f>
        <v>100199</v>
      </c>
      <c r="G201" s="16" t="s">
        <v>113</v>
      </c>
      <c r="H201" s="16" t="str">
        <f t="shared" si="97"/>
        <v>14~21</v>
      </c>
      <c r="I201" s="19" t="s">
        <v>217</v>
      </c>
      <c r="J201" s="19" t="s">
        <v>117</v>
      </c>
      <c r="K201" s="20"/>
      <c r="L201" s="16" t="s">
        <v>161</v>
      </c>
      <c r="M201" s="7"/>
      <c r="N201" s="7"/>
      <c r="O201" s="8" t="s">
        <v>63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6">
        <v>100199</v>
      </c>
      <c r="B202" s="16" t="str">
        <f t="shared" si="72"/>
        <v>晕眩攻击</v>
      </c>
      <c r="C202" s="16" t="str">
        <f>表1[[#This Row],[name]]&amp;"+1"</f>
        <v>晕眩攻击+1</v>
      </c>
      <c r="D202" s="48" t="str">
        <f>[1]!颜色转换成内嵌函数()</f>
        <v>※color(88,214,202)[]</v>
      </c>
      <c r="E202" s="16">
        <f t="shared" si="100"/>
        <v>4</v>
      </c>
      <c r="F202" s="16">
        <f>IF(表1[[#This Row],[level]]+1=E203,A203,"")</f>
        <v>100200</v>
      </c>
      <c r="G202" s="16" t="s">
        <v>113</v>
      </c>
      <c r="H202" s="16" t="str">
        <f t="shared" si="97"/>
        <v>19~26</v>
      </c>
      <c r="I202" s="19" t="s">
        <v>217</v>
      </c>
      <c r="J202" s="19" t="s">
        <v>117</v>
      </c>
      <c r="K202" s="20"/>
      <c r="L202" s="16" t="s">
        <v>162</v>
      </c>
      <c r="M202" s="7"/>
      <c r="N202" s="7"/>
      <c r="O202" s="8" t="s">
        <v>63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6">
        <v>100200</v>
      </c>
      <c r="B203" s="16" t="str">
        <f t="shared" si="72"/>
        <v>晕眩攻击</v>
      </c>
      <c r="C203" s="16" t="str">
        <f>表1[[#This Row],[name]]&amp;"+1"</f>
        <v>晕眩攻击+1</v>
      </c>
      <c r="D203" s="48" t="str">
        <f>[1]!颜色转换成内嵌函数()</f>
        <v>※color(88,214,202)[]</v>
      </c>
      <c r="E203" s="16">
        <f t="shared" si="100"/>
        <v>5</v>
      </c>
      <c r="F203" s="16" t="str">
        <f>IF(表1[[#This Row],[level]]+1=E204,A204,"")</f>
        <v/>
      </c>
      <c r="G203" s="16" t="s">
        <v>113</v>
      </c>
      <c r="H203" s="16" t="str">
        <f t="shared" si="97"/>
        <v>23~30</v>
      </c>
      <c r="I203" s="19" t="s">
        <v>217</v>
      </c>
      <c r="J203" s="19" t="s">
        <v>117</v>
      </c>
      <c r="K203" s="20"/>
      <c r="L203" s="16" t="s">
        <v>161</v>
      </c>
      <c r="M203" s="7"/>
      <c r="N203" s="7"/>
      <c r="O203" s="8" t="s">
        <v>63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6">
        <v>100201</v>
      </c>
      <c r="B204" s="16" t="str">
        <f t="shared" ref="B204" si="103">O204</f>
        <v>致命攻击</v>
      </c>
      <c r="C204" s="16" t="str">
        <f>表1[[#This Row],[name]]&amp;"+1"</f>
        <v>致命攻击+1</v>
      </c>
      <c r="D204" s="49" t="str">
        <f>[1]!颜色转换成内嵌函数()</f>
        <v>※color(93,152,171)[]</v>
      </c>
      <c r="E204" s="16">
        <f t="shared" si="100"/>
        <v>1</v>
      </c>
      <c r="F204" s="16">
        <f>IF(表1[[#This Row],[level]]+1=E205,A205,"")</f>
        <v>100202</v>
      </c>
      <c r="G204" s="16" t="s">
        <v>113</v>
      </c>
      <c r="H204" s="16" t="str">
        <f t="shared" si="97"/>
        <v>5~12</v>
      </c>
      <c r="I204" s="19" t="s">
        <v>218</v>
      </c>
      <c r="J204" s="19" t="s">
        <v>117</v>
      </c>
      <c r="K204" s="20"/>
      <c r="L204" s="16" t="s">
        <v>146</v>
      </c>
      <c r="M204" s="7"/>
      <c r="N204" s="7"/>
      <c r="O204" s="8" t="s">
        <v>64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6">
        <v>100202</v>
      </c>
      <c r="B205" s="16" t="str">
        <f>O205</f>
        <v>致命攻击</v>
      </c>
      <c r="C205" s="16" t="str">
        <f>表1[[#This Row],[name]]&amp;"+1"</f>
        <v>致命攻击+1</v>
      </c>
      <c r="D205" s="49" t="str">
        <f>[1]!颜色转换成内嵌函数()</f>
        <v>※color(93,152,171)[]</v>
      </c>
      <c r="E205" s="16">
        <f t="shared" si="100"/>
        <v>2</v>
      </c>
      <c r="F205" s="16">
        <f>IF(表1[[#This Row],[level]]+1=E206,A206,"")</f>
        <v>100203</v>
      </c>
      <c r="G205" s="16" t="s">
        <v>113</v>
      </c>
      <c r="H205" s="16" t="str">
        <f t="shared" si="97"/>
        <v>10~17</v>
      </c>
      <c r="I205" s="19" t="s">
        <v>218</v>
      </c>
      <c r="J205" s="19" t="s">
        <v>117</v>
      </c>
      <c r="K205" s="20"/>
      <c r="L205" s="16" t="s">
        <v>147</v>
      </c>
      <c r="M205" s="7"/>
      <c r="N205" s="7"/>
      <c r="O205" s="8" t="s">
        <v>64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6">
        <v>100203</v>
      </c>
      <c r="B206" s="16" t="str">
        <f t="shared" ref="B206:B228" si="104">O206</f>
        <v>致命攻击</v>
      </c>
      <c r="C206" s="16" t="str">
        <f>表1[[#This Row],[name]]&amp;"+1"</f>
        <v>致命攻击+1</v>
      </c>
      <c r="D206" s="49" t="str">
        <f>[1]!颜色转换成内嵌函数()</f>
        <v>※color(93,152,171)[]</v>
      </c>
      <c r="E206" s="16">
        <f t="shared" si="100"/>
        <v>3</v>
      </c>
      <c r="F206" s="16">
        <f>IF(表1[[#This Row],[level]]+1=E207,A207,"")</f>
        <v>100204</v>
      </c>
      <c r="G206" s="16" t="s">
        <v>113</v>
      </c>
      <c r="H206" s="16" t="str">
        <f t="shared" si="97"/>
        <v>14~21</v>
      </c>
      <c r="I206" s="19" t="s">
        <v>218</v>
      </c>
      <c r="J206" s="19" t="s">
        <v>117</v>
      </c>
      <c r="K206" s="20"/>
      <c r="L206" s="16" t="s">
        <v>147</v>
      </c>
      <c r="M206" s="7"/>
      <c r="N206" s="7"/>
      <c r="O206" s="8" t="s">
        <v>64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6">
        <v>100204</v>
      </c>
      <c r="B207" s="16" t="str">
        <f t="shared" si="104"/>
        <v>致命攻击</v>
      </c>
      <c r="C207" s="16" t="str">
        <f>表1[[#This Row],[name]]&amp;"+1"</f>
        <v>致命攻击+1</v>
      </c>
      <c r="D207" s="49" t="str">
        <f>[1]!颜色转换成内嵌函数()</f>
        <v>※color(93,152,171)[]</v>
      </c>
      <c r="E207" s="16">
        <f t="shared" si="100"/>
        <v>4</v>
      </c>
      <c r="F207" s="16">
        <f>IF(表1[[#This Row],[level]]+1=E208,A208,"")</f>
        <v>100205</v>
      </c>
      <c r="G207" s="16" t="s">
        <v>113</v>
      </c>
      <c r="H207" s="16" t="str">
        <f t="shared" si="97"/>
        <v>19~26</v>
      </c>
      <c r="I207" s="19" t="s">
        <v>218</v>
      </c>
      <c r="J207" s="19" t="s">
        <v>117</v>
      </c>
      <c r="K207" s="20"/>
      <c r="L207" s="16" t="s">
        <v>146</v>
      </c>
      <c r="M207" s="7"/>
      <c r="N207" s="7"/>
      <c r="O207" s="8" t="s">
        <v>64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6">
        <v>100205</v>
      </c>
      <c r="B208" s="16" t="str">
        <f t="shared" si="104"/>
        <v>致命攻击</v>
      </c>
      <c r="C208" s="16" t="str">
        <f>表1[[#This Row],[name]]&amp;"+1"</f>
        <v>致命攻击+1</v>
      </c>
      <c r="D208" s="49" t="str">
        <f>[1]!颜色转换成内嵌函数()</f>
        <v>※color(93,152,171)[]</v>
      </c>
      <c r="E208" s="16">
        <f t="shared" si="100"/>
        <v>5</v>
      </c>
      <c r="F208" s="16" t="str">
        <f>IF(表1[[#This Row],[level]]+1=E209,A209,"")</f>
        <v/>
      </c>
      <c r="G208" s="16" t="s">
        <v>113</v>
      </c>
      <c r="H208" s="16" t="str">
        <f t="shared" si="97"/>
        <v>23~30</v>
      </c>
      <c r="I208" s="19" t="s">
        <v>218</v>
      </c>
      <c r="J208" s="19" t="s">
        <v>117</v>
      </c>
      <c r="K208" s="20"/>
      <c r="L208" s="16" t="s">
        <v>146</v>
      </c>
      <c r="M208" s="7"/>
      <c r="N208" s="7"/>
      <c r="O208" s="8" t="s">
        <v>64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6">
        <v>100206</v>
      </c>
      <c r="B209" s="16" t="str">
        <f t="shared" si="104"/>
        <v>浮游A1型</v>
      </c>
      <c r="C209" s="16" t="str">
        <f>表1[[#This Row],[name]]&amp;"+1"</f>
        <v>浮游A1型+1</v>
      </c>
      <c r="D209" s="50" t="str">
        <f>[1]!颜色转换成内嵌函数()</f>
        <v>※color(186,122,36)[]</v>
      </c>
      <c r="E209" s="16">
        <f t="shared" si="100"/>
        <v>1</v>
      </c>
      <c r="F209" s="16">
        <f>IF(表1[[#This Row],[level]]+1=E210,A210,"")</f>
        <v>100207</v>
      </c>
      <c r="G209" s="16" t="s">
        <v>113</v>
      </c>
      <c r="H209" s="16" t="str">
        <f t="shared" si="97"/>
        <v>5~12</v>
      </c>
      <c r="I209" s="19" t="s">
        <v>219</v>
      </c>
      <c r="J209" s="19" t="s">
        <v>117</v>
      </c>
      <c r="K209" s="20"/>
      <c r="L209" s="16" t="s">
        <v>164</v>
      </c>
      <c r="M209" s="7"/>
      <c r="N209" s="7"/>
      <c r="O209" s="8" t="s">
        <v>65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6">
        <v>100207</v>
      </c>
      <c r="B210" s="16" t="str">
        <f t="shared" si="104"/>
        <v>浮游A1型</v>
      </c>
      <c r="C210" s="16" t="str">
        <f>表1[[#This Row],[name]]&amp;"+1"</f>
        <v>浮游A1型+1</v>
      </c>
      <c r="D210" s="50" t="str">
        <f>[1]!颜色转换成内嵌函数()</f>
        <v>※color(186,122,36)[]</v>
      </c>
      <c r="E210" s="16">
        <f t="shared" si="100"/>
        <v>2</v>
      </c>
      <c r="F210" s="16">
        <f>IF(表1[[#This Row],[level]]+1=E211,A211,"")</f>
        <v>100208</v>
      </c>
      <c r="G210" s="16" t="s">
        <v>113</v>
      </c>
      <c r="H210" s="16" t="str">
        <f t="shared" si="97"/>
        <v>10~17</v>
      </c>
      <c r="I210" s="19" t="s">
        <v>219</v>
      </c>
      <c r="J210" s="19" t="s">
        <v>117</v>
      </c>
      <c r="K210" s="20"/>
      <c r="L210" s="16" t="s">
        <v>164</v>
      </c>
      <c r="M210" s="7"/>
      <c r="N210" s="7"/>
      <c r="O210" s="8" t="s">
        <v>65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6">
        <v>100208</v>
      </c>
      <c r="B211" s="16" t="str">
        <f t="shared" si="104"/>
        <v>浮游A1型</v>
      </c>
      <c r="C211" s="16" t="str">
        <f>表1[[#This Row],[name]]&amp;"+1"</f>
        <v>浮游A1型+1</v>
      </c>
      <c r="D211" s="50" t="str">
        <f>[1]!颜色转换成内嵌函数()</f>
        <v>※color(186,122,36)[]</v>
      </c>
      <c r="E211" s="16">
        <f t="shared" si="100"/>
        <v>3</v>
      </c>
      <c r="F211" s="16">
        <f>IF(表1[[#This Row],[level]]+1=E212,A212,"")</f>
        <v>100209</v>
      </c>
      <c r="G211" s="16" t="s">
        <v>113</v>
      </c>
      <c r="H211" s="16" t="str">
        <f t="shared" si="97"/>
        <v>14~21</v>
      </c>
      <c r="I211" s="19" t="s">
        <v>219</v>
      </c>
      <c r="J211" s="19" t="s">
        <v>117</v>
      </c>
      <c r="K211" s="20"/>
      <c r="L211" s="16" t="s">
        <v>164</v>
      </c>
      <c r="M211" s="7"/>
      <c r="N211" s="7"/>
      <c r="O211" s="8" t="s">
        <v>65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6">
        <v>100209</v>
      </c>
      <c r="B212" s="16" t="str">
        <f t="shared" si="104"/>
        <v>浮游A1型</v>
      </c>
      <c r="C212" s="16" t="str">
        <f>表1[[#This Row],[name]]&amp;"+1"</f>
        <v>浮游A1型+1</v>
      </c>
      <c r="D212" s="50" t="str">
        <f>[1]!颜色转换成内嵌函数()</f>
        <v>※color(186,122,36)[]</v>
      </c>
      <c r="E212" s="16">
        <f t="shared" si="100"/>
        <v>4</v>
      </c>
      <c r="F212" s="16">
        <f>IF(表1[[#This Row],[level]]+1=E213,A213,"")</f>
        <v>100210</v>
      </c>
      <c r="G212" s="16" t="s">
        <v>113</v>
      </c>
      <c r="H212" s="16" t="str">
        <f t="shared" si="97"/>
        <v>19~26</v>
      </c>
      <c r="I212" s="19" t="s">
        <v>219</v>
      </c>
      <c r="J212" s="19" t="s">
        <v>117</v>
      </c>
      <c r="K212" s="20"/>
      <c r="L212" s="16" t="s">
        <v>168</v>
      </c>
      <c r="M212" s="7"/>
      <c r="N212" s="7"/>
      <c r="O212" s="8" t="s">
        <v>65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6">
        <v>100210</v>
      </c>
      <c r="B213" s="16" t="str">
        <f t="shared" si="104"/>
        <v>浮游A1型</v>
      </c>
      <c r="C213" s="16" t="str">
        <f>表1[[#This Row],[name]]&amp;"+1"</f>
        <v>浮游A1型+1</v>
      </c>
      <c r="D213" s="50" t="str">
        <f>[1]!颜色转换成内嵌函数()</f>
        <v>※color(186,122,36)[]</v>
      </c>
      <c r="E213" s="16">
        <f t="shared" si="100"/>
        <v>5</v>
      </c>
      <c r="F213" s="16" t="str">
        <f>IF(表1[[#This Row],[level]]+1=E214,A214,"")</f>
        <v/>
      </c>
      <c r="G213" s="16" t="s">
        <v>113</v>
      </c>
      <c r="H213" s="16" t="str">
        <f t="shared" si="97"/>
        <v>23~30</v>
      </c>
      <c r="I213" s="19" t="s">
        <v>219</v>
      </c>
      <c r="J213" s="19" t="s">
        <v>117</v>
      </c>
      <c r="K213" s="20"/>
      <c r="L213" s="16" t="s">
        <v>168</v>
      </c>
      <c r="M213" s="7"/>
      <c r="N213" s="7"/>
      <c r="O213" s="8" t="s">
        <v>65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6">
        <v>100211</v>
      </c>
      <c r="B214" s="16" t="str">
        <f t="shared" si="104"/>
        <v>浮游A2型</v>
      </c>
      <c r="C214" s="16" t="str">
        <f>表1[[#This Row],[name]]&amp;"+1"</f>
        <v>浮游A2型+1</v>
      </c>
      <c r="D214" s="45" t="str">
        <f>[1]!颜色转换成内嵌函数()</f>
        <v>※color(181,79,79)[]</v>
      </c>
      <c r="E214" s="16">
        <f t="shared" si="100"/>
        <v>1</v>
      </c>
      <c r="F214" s="16">
        <f>IF(表1[[#This Row],[level]]+1=E215,A215,"")</f>
        <v>100212</v>
      </c>
      <c r="G214" s="16" t="s">
        <v>113</v>
      </c>
      <c r="H214" s="16" t="str">
        <f t="shared" si="97"/>
        <v>5~12</v>
      </c>
      <c r="I214" s="19" t="s">
        <v>220</v>
      </c>
      <c r="J214" s="19" t="s">
        <v>117</v>
      </c>
      <c r="K214" s="20"/>
      <c r="L214" s="16" t="s">
        <v>149</v>
      </c>
      <c r="M214" s="7"/>
      <c r="N214" s="7"/>
      <c r="O214" s="8" t="s">
        <v>66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6">
        <v>100212</v>
      </c>
      <c r="B215" s="16" t="str">
        <f t="shared" si="104"/>
        <v>浮游A2型</v>
      </c>
      <c r="C215" s="16" t="str">
        <f>表1[[#This Row],[name]]&amp;"+1"</f>
        <v>浮游A2型+1</v>
      </c>
      <c r="D215" s="45" t="str">
        <f>[1]!颜色转换成内嵌函数()</f>
        <v>※color(181,79,79)[]</v>
      </c>
      <c r="E215" s="16">
        <f t="shared" si="100"/>
        <v>2</v>
      </c>
      <c r="F215" s="16">
        <f>IF(表1[[#This Row],[level]]+1=E216,A216,"")</f>
        <v>100213</v>
      </c>
      <c r="G215" s="16" t="s">
        <v>113</v>
      </c>
      <c r="H215" s="16" t="str">
        <f t="shared" si="97"/>
        <v>10~17</v>
      </c>
      <c r="I215" s="19" t="s">
        <v>220</v>
      </c>
      <c r="J215" s="19" t="s">
        <v>117</v>
      </c>
      <c r="K215" s="20"/>
      <c r="L215" s="16" t="s">
        <v>150</v>
      </c>
      <c r="M215" s="7"/>
      <c r="N215" s="7"/>
      <c r="O215" s="8" t="s">
        <v>66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6">
        <v>100213</v>
      </c>
      <c r="B216" s="16" t="str">
        <f t="shared" si="104"/>
        <v>浮游A2型</v>
      </c>
      <c r="C216" s="16" t="str">
        <f>表1[[#This Row],[name]]&amp;"+1"</f>
        <v>浮游A2型+1</v>
      </c>
      <c r="D216" s="45" t="str">
        <f>[1]!颜色转换成内嵌函数()</f>
        <v>※color(181,79,79)[]</v>
      </c>
      <c r="E216" s="16">
        <f t="shared" si="100"/>
        <v>3</v>
      </c>
      <c r="F216" s="16">
        <f>IF(表1[[#This Row],[level]]+1=E217,A217,"")</f>
        <v>100214</v>
      </c>
      <c r="G216" s="16" t="s">
        <v>113</v>
      </c>
      <c r="H216" s="16" t="str">
        <f t="shared" si="97"/>
        <v>14~21</v>
      </c>
      <c r="I216" s="19" t="s">
        <v>220</v>
      </c>
      <c r="J216" s="19" t="s">
        <v>117</v>
      </c>
      <c r="K216" s="20"/>
      <c r="L216" s="16" t="s">
        <v>149</v>
      </c>
      <c r="M216" s="7"/>
      <c r="N216" s="7"/>
      <c r="O216" s="8" t="s">
        <v>66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6">
        <v>100214</v>
      </c>
      <c r="B217" s="16" t="str">
        <f t="shared" si="104"/>
        <v>浮游A2型</v>
      </c>
      <c r="C217" s="16" t="str">
        <f>表1[[#This Row],[name]]&amp;"+1"</f>
        <v>浮游A2型+1</v>
      </c>
      <c r="D217" s="45" t="str">
        <f>[1]!颜色转换成内嵌函数()</f>
        <v>※color(181,79,79)[]</v>
      </c>
      <c r="E217" s="16">
        <f t="shared" si="100"/>
        <v>4</v>
      </c>
      <c r="F217" s="16">
        <f>IF(表1[[#This Row],[level]]+1=E218,A218,"")</f>
        <v>100215</v>
      </c>
      <c r="G217" s="16" t="s">
        <v>113</v>
      </c>
      <c r="H217" s="16" t="str">
        <f t="shared" si="97"/>
        <v>19~26</v>
      </c>
      <c r="I217" s="19" t="s">
        <v>220</v>
      </c>
      <c r="J217" s="19" t="s">
        <v>117</v>
      </c>
      <c r="K217" s="20"/>
      <c r="L217" s="16" t="s">
        <v>149</v>
      </c>
      <c r="M217" s="7"/>
      <c r="N217" s="7"/>
      <c r="O217" s="8" t="s">
        <v>66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6">
        <v>100215</v>
      </c>
      <c r="B218" s="16" t="str">
        <f t="shared" si="104"/>
        <v>浮游A2型</v>
      </c>
      <c r="C218" s="16" t="str">
        <f>表1[[#This Row],[name]]&amp;"+1"</f>
        <v>浮游A2型+1</v>
      </c>
      <c r="D218" s="45" t="str">
        <f>[1]!颜色转换成内嵌函数()</f>
        <v>※color(181,79,79)[]</v>
      </c>
      <c r="E218" s="16">
        <f t="shared" si="100"/>
        <v>5</v>
      </c>
      <c r="F218" s="16" t="str">
        <f>IF(表1[[#This Row],[level]]+1=E219,A219,"")</f>
        <v/>
      </c>
      <c r="G218" s="16" t="s">
        <v>113</v>
      </c>
      <c r="H218" s="16" t="str">
        <f t="shared" si="97"/>
        <v>23~30</v>
      </c>
      <c r="I218" s="19" t="s">
        <v>220</v>
      </c>
      <c r="J218" s="19" t="s">
        <v>117</v>
      </c>
      <c r="K218" s="20"/>
      <c r="L218" s="16" t="s">
        <v>150</v>
      </c>
      <c r="M218" s="7"/>
      <c r="N218" s="7"/>
      <c r="O218" s="8" t="s">
        <v>66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6">
        <v>100216</v>
      </c>
      <c r="B219" s="16" t="str">
        <f t="shared" si="104"/>
        <v>浮游B1型</v>
      </c>
      <c r="C219" s="16" t="str">
        <f>表1[[#This Row],[name]]&amp;"+1"</f>
        <v>浮游B1型+1</v>
      </c>
      <c r="D219" s="46" t="str">
        <f>[1]!颜色转换成内嵌函数()</f>
        <v>※color(181,79,162)[]</v>
      </c>
      <c r="E219" s="16">
        <f t="shared" si="100"/>
        <v>1</v>
      </c>
      <c r="F219" s="16">
        <f>IF(表1[[#This Row],[level]]+1=E220,A220,"")</f>
        <v>100217</v>
      </c>
      <c r="G219" s="16" t="s">
        <v>113</v>
      </c>
      <c r="H219" s="16" t="str">
        <f t="shared" si="97"/>
        <v>5~12</v>
      </c>
      <c r="I219" s="19" t="s">
        <v>221</v>
      </c>
      <c r="J219" s="19" t="s">
        <v>117</v>
      </c>
      <c r="K219" s="20"/>
      <c r="L219" s="16" t="s">
        <v>169</v>
      </c>
      <c r="M219" s="7"/>
      <c r="N219" s="7"/>
      <c r="O219" s="8" t="s">
        <v>67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6">
        <v>100217</v>
      </c>
      <c r="B220" s="16" t="str">
        <f t="shared" si="104"/>
        <v>浮游B1型</v>
      </c>
      <c r="C220" s="16" t="str">
        <f>表1[[#This Row],[name]]&amp;"+1"</f>
        <v>浮游B1型+1</v>
      </c>
      <c r="D220" s="46" t="str">
        <f>[1]!颜色转换成内嵌函数()</f>
        <v>※color(181,79,162)[]</v>
      </c>
      <c r="E220" s="16">
        <f t="shared" si="100"/>
        <v>2</v>
      </c>
      <c r="F220" s="16">
        <f>IF(表1[[#This Row],[level]]+1=E221,A221,"")</f>
        <v>100218</v>
      </c>
      <c r="G220" s="16" t="s">
        <v>113</v>
      </c>
      <c r="H220" s="16" t="str">
        <f t="shared" si="97"/>
        <v>10~17</v>
      </c>
      <c r="I220" s="19" t="s">
        <v>221</v>
      </c>
      <c r="J220" s="19" t="s">
        <v>117</v>
      </c>
      <c r="K220" s="20"/>
      <c r="L220" s="16" t="s">
        <v>152</v>
      </c>
      <c r="M220" s="7"/>
      <c r="N220" s="7"/>
      <c r="O220" s="8" t="s">
        <v>67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6">
        <v>100218</v>
      </c>
      <c r="B221" s="16" t="str">
        <f t="shared" si="104"/>
        <v>浮游B1型</v>
      </c>
      <c r="C221" s="16" t="str">
        <f>表1[[#This Row],[name]]&amp;"+1"</f>
        <v>浮游B1型+1</v>
      </c>
      <c r="D221" s="46" t="str">
        <f>[1]!颜色转换成内嵌函数()</f>
        <v>※color(181,79,162)[]</v>
      </c>
      <c r="E221" s="16">
        <f t="shared" si="100"/>
        <v>3</v>
      </c>
      <c r="F221" s="16">
        <f>IF(表1[[#This Row],[level]]+1=E222,A222,"")</f>
        <v>100219</v>
      </c>
      <c r="G221" s="16" t="s">
        <v>113</v>
      </c>
      <c r="H221" s="16" t="str">
        <f t="shared" si="97"/>
        <v>14~21</v>
      </c>
      <c r="I221" s="19" t="s">
        <v>221</v>
      </c>
      <c r="J221" s="19" t="s">
        <v>117</v>
      </c>
      <c r="K221" s="20"/>
      <c r="L221" s="16" t="s">
        <v>152</v>
      </c>
      <c r="M221" s="7"/>
      <c r="N221" s="7"/>
      <c r="O221" s="8" t="s">
        <v>67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6">
        <v>100219</v>
      </c>
      <c r="B222" s="16" t="str">
        <f t="shared" si="104"/>
        <v>浮游B1型</v>
      </c>
      <c r="C222" s="16" t="str">
        <f>表1[[#This Row],[name]]&amp;"+1"</f>
        <v>浮游B1型+1</v>
      </c>
      <c r="D222" s="46" t="str">
        <f>[1]!颜色转换成内嵌函数()</f>
        <v>※color(181,79,162)[]</v>
      </c>
      <c r="E222" s="16">
        <f t="shared" si="100"/>
        <v>4</v>
      </c>
      <c r="F222" s="16">
        <f>IF(表1[[#This Row],[level]]+1=E223,A223,"")</f>
        <v>100220</v>
      </c>
      <c r="G222" s="16" t="s">
        <v>113</v>
      </c>
      <c r="H222" s="16" t="str">
        <f t="shared" si="97"/>
        <v>19~26</v>
      </c>
      <c r="I222" s="19" t="s">
        <v>221</v>
      </c>
      <c r="J222" s="19" t="s">
        <v>117</v>
      </c>
      <c r="K222" s="20"/>
      <c r="L222" s="16" t="s">
        <v>152</v>
      </c>
      <c r="M222" s="7"/>
      <c r="N222" s="7"/>
      <c r="O222" s="8" t="s">
        <v>67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6">
        <v>100220</v>
      </c>
      <c r="B223" s="16" t="str">
        <f t="shared" si="104"/>
        <v>浮游B1型</v>
      </c>
      <c r="C223" s="16" t="str">
        <f>表1[[#This Row],[name]]&amp;"+1"</f>
        <v>浮游B1型+1</v>
      </c>
      <c r="D223" s="46" t="str">
        <f>[1]!颜色转换成内嵌函数()</f>
        <v>※color(181,79,162)[]</v>
      </c>
      <c r="E223" s="16">
        <f t="shared" si="100"/>
        <v>5</v>
      </c>
      <c r="F223" s="16" t="str">
        <f>IF(表1[[#This Row],[level]]+1=E224,A224,"")</f>
        <v/>
      </c>
      <c r="G223" s="16" t="s">
        <v>113</v>
      </c>
      <c r="H223" s="16" t="str">
        <f t="shared" si="97"/>
        <v>23~30</v>
      </c>
      <c r="I223" s="19" t="s">
        <v>221</v>
      </c>
      <c r="J223" s="19" t="s">
        <v>117</v>
      </c>
      <c r="K223" s="20"/>
      <c r="L223" s="16" t="s">
        <v>152</v>
      </c>
      <c r="M223" s="7"/>
      <c r="N223" s="7"/>
      <c r="O223" s="8" t="s">
        <v>67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6">
        <v>100221</v>
      </c>
      <c r="B224" s="16" t="str">
        <f t="shared" si="104"/>
        <v>浮游B2型</v>
      </c>
      <c r="C224" s="16" t="str">
        <f>表1[[#This Row],[name]]&amp;"+1"</f>
        <v>浮游B2型+1</v>
      </c>
      <c r="D224" s="47" t="str">
        <f>[1]!颜色转换成内嵌函数()</f>
        <v>※color(195,213,89)[]</v>
      </c>
      <c r="E224" s="16">
        <f t="shared" si="100"/>
        <v>1</v>
      </c>
      <c r="F224" s="16">
        <f>IF(表1[[#This Row],[level]]+1=E225,A225,"")</f>
        <v>100222</v>
      </c>
      <c r="G224" s="16" t="s">
        <v>113</v>
      </c>
      <c r="H224" s="16" t="str">
        <f t="shared" si="97"/>
        <v>5~12</v>
      </c>
      <c r="I224" s="19" t="s">
        <v>222</v>
      </c>
      <c r="J224" s="19" t="s">
        <v>117</v>
      </c>
      <c r="K224" s="20"/>
      <c r="L224" s="16" t="s">
        <v>154</v>
      </c>
      <c r="M224" s="7"/>
      <c r="N224" s="7"/>
      <c r="O224" s="8" t="s">
        <v>68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6">
        <v>100222</v>
      </c>
      <c r="B225" s="16" t="str">
        <f t="shared" si="104"/>
        <v>浮游B2型</v>
      </c>
      <c r="C225" s="16" t="str">
        <f>表1[[#This Row],[name]]&amp;"+1"</f>
        <v>浮游B2型+1</v>
      </c>
      <c r="D225" s="47" t="str">
        <f>[1]!颜色转换成内嵌函数()</f>
        <v>※color(195,213,89)[]</v>
      </c>
      <c r="E225" s="16">
        <f t="shared" si="100"/>
        <v>2</v>
      </c>
      <c r="F225" s="16">
        <f>IF(表1[[#This Row],[level]]+1=E226,A226,"")</f>
        <v>100223</v>
      </c>
      <c r="G225" s="16" t="s">
        <v>113</v>
      </c>
      <c r="H225" s="16" t="str">
        <f t="shared" si="97"/>
        <v>10~17</v>
      </c>
      <c r="I225" s="19" t="s">
        <v>222</v>
      </c>
      <c r="J225" s="19" t="s">
        <v>117</v>
      </c>
      <c r="K225" s="20"/>
      <c r="L225" s="16" t="s">
        <v>153</v>
      </c>
      <c r="M225" s="7"/>
      <c r="N225" s="7"/>
      <c r="O225" s="8" t="s">
        <v>68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6">
        <v>100223</v>
      </c>
      <c r="B226" s="16" t="str">
        <f t="shared" si="104"/>
        <v>浮游B2型</v>
      </c>
      <c r="C226" s="16" t="str">
        <f>表1[[#This Row],[name]]&amp;"+1"</f>
        <v>浮游B2型+1</v>
      </c>
      <c r="D226" s="47" t="str">
        <f>[1]!颜色转换成内嵌函数()</f>
        <v>※color(195,213,89)[]</v>
      </c>
      <c r="E226" s="16">
        <f t="shared" si="100"/>
        <v>3</v>
      </c>
      <c r="F226" s="16">
        <f>IF(表1[[#This Row],[level]]+1=E227,A227,"")</f>
        <v>100224</v>
      </c>
      <c r="G226" s="16" t="s">
        <v>113</v>
      </c>
      <c r="H226" s="16" t="str">
        <f t="shared" si="97"/>
        <v>14~21</v>
      </c>
      <c r="I226" s="19" t="s">
        <v>222</v>
      </c>
      <c r="J226" s="19" t="s">
        <v>117</v>
      </c>
      <c r="K226" s="20"/>
      <c r="L226" s="16" t="s">
        <v>153</v>
      </c>
      <c r="M226" s="7"/>
      <c r="N226" s="7"/>
      <c r="O226" s="8" t="s">
        <v>68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6">
        <v>100224</v>
      </c>
      <c r="B227" s="16" t="str">
        <f t="shared" si="104"/>
        <v>浮游B2型</v>
      </c>
      <c r="C227" s="16" t="str">
        <f>表1[[#This Row],[name]]&amp;"+1"</f>
        <v>浮游B2型+1</v>
      </c>
      <c r="D227" s="47" t="str">
        <f>[1]!颜色转换成内嵌函数()</f>
        <v>※color(195,213,89)[]</v>
      </c>
      <c r="E227" s="16">
        <f t="shared" si="100"/>
        <v>4</v>
      </c>
      <c r="F227" s="16">
        <f>IF(表1[[#This Row],[level]]+1=E228,A228,"")</f>
        <v>100225</v>
      </c>
      <c r="G227" s="16" t="s">
        <v>113</v>
      </c>
      <c r="H227" s="16" t="str">
        <f t="shared" si="97"/>
        <v>19~26</v>
      </c>
      <c r="I227" s="19" t="s">
        <v>222</v>
      </c>
      <c r="J227" s="19" t="s">
        <v>117</v>
      </c>
      <c r="K227" s="20"/>
      <c r="L227" s="16" t="s">
        <v>153</v>
      </c>
      <c r="M227" s="7"/>
      <c r="N227" s="7"/>
      <c r="O227" s="8" t="s">
        <v>68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6">
        <v>100225</v>
      </c>
      <c r="B228" s="16" t="str">
        <f t="shared" si="104"/>
        <v>浮游B2型</v>
      </c>
      <c r="C228" s="16" t="str">
        <f>表1[[#This Row],[name]]&amp;"+1"</f>
        <v>浮游B2型+1</v>
      </c>
      <c r="D228" s="47" t="str">
        <f>[1]!颜色转换成内嵌函数()</f>
        <v>※color(195,213,89)[]</v>
      </c>
      <c r="E228" s="16">
        <f t="shared" si="100"/>
        <v>5</v>
      </c>
      <c r="F228" s="16" t="str">
        <f>IF(表1[[#This Row],[level]]+1=E229,A229,"")</f>
        <v/>
      </c>
      <c r="G228" s="16" t="s">
        <v>113</v>
      </c>
      <c r="H228" s="16" t="str">
        <f t="shared" si="97"/>
        <v>23~30</v>
      </c>
      <c r="I228" s="19" t="s">
        <v>222</v>
      </c>
      <c r="J228" s="19" t="s">
        <v>117</v>
      </c>
      <c r="K228" s="20"/>
      <c r="L228" s="16" t="s">
        <v>154</v>
      </c>
      <c r="M228" s="7"/>
      <c r="N228" s="7"/>
      <c r="O228" s="8" t="s">
        <v>68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6">
        <v>100226</v>
      </c>
      <c r="B229" s="16" t="str">
        <f t="shared" ref="B229:B233" si="115">O229</f>
        <v>属性测试</v>
      </c>
      <c r="C229" s="16" t="s">
        <v>225</v>
      </c>
      <c r="D229" s="48" t="str">
        <f>[1]!颜色转换成内嵌函数()</f>
        <v>※color(88,214,202)[]</v>
      </c>
      <c r="E229" s="16">
        <f t="shared" si="100"/>
        <v>1</v>
      </c>
      <c r="F229" s="16">
        <f>IF(表1[[#This Row],[level]]+1=E230,A230,"")</f>
        <v>100227</v>
      </c>
      <c r="G229" s="16" t="s">
        <v>113</v>
      </c>
      <c r="H229" s="20" t="str">
        <f t="shared" si="97"/>
        <v>5~12</v>
      </c>
      <c r="I229" s="19"/>
      <c r="J229" s="19" t="s">
        <v>117</v>
      </c>
      <c r="K229" s="20" t="s">
        <v>107</v>
      </c>
      <c r="L229" s="16" t="s">
        <v>170</v>
      </c>
      <c r="M229" s="7"/>
      <c r="N229" s="7"/>
      <c r="O229" s="8" t="s">
        <v>106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6">
        <v>100227</v>
      </c>
      <c r="B230" s="16" t="str">
        <f t="shared" si="115"/>
        <v>属性测试</v>
      </c>
      <c r="C230" s="16" t="s">
        <v>225</v>
      </c>
      <c r="D230" s="48" t="str">
        <f>[1]!颜色转换成内嵌函数()</f>
        <v>※color(88,214,202)[]</v>
      </c>
      <c r="E230" s="16">
        <f t="shared" si="100"/>
        <v>2</v>
      </c>
      <c r="F230" s="16">
        <f>IF(表1[[#This Row],[level]]+1=E231,A231,"")</f>
        <v>100228</v>
      </c>
      <c r="G230" s="16" t="s">
        <v>113</v>
      </c>
      <c r="H230" s="20" t="str">
        <f t="shared" si="97"/>
        <v>10~17</v>
      </c>
      <c r="I230" s="19"/>
      <c r="J230" s="19" t="s">
        <v>117</v>
      </c>
      <c r="K230" s="20" t="s">
        <v>107</v>
      </c>
      <c r="L230" s="16" t="s">
        <v>170</v>
      </c>
      <c r="M230" s="7"/>
      <c r="N230" s="7"/>
      <c r="O230" s="8" t="s">
        <v>106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6">
        <v>100228</v>
      </c>
      <c r="B231" s="16" t="str">
        <f t="shared" si="115"/>
        <v>属性测试</v>
      </c>
      <c r="C231" s="16" t="s">
        <v>225</v>
      </c>
      <c r="D231" s="48" t="str">
        <f>[1]!颜色转换成内嵌函数()</f>
        <v>※color(88,214,202)[]</v>
      </c>
      <c r="E231" s="16">
        <f t="shared" si="100"/>
        <v>3</v>
      </c>
      <c r="F231" s="16">
        <f>IF(表1[[#This Row],[level]]+1=E232,A232,"")</f>
        <v>100229</v>
      </c>
      <c r="G231" s="16" t="s">
        <v>113</v>
      </c>
      <c r="H231" s="20" t="str">
        <f t="shared" si="97"/>
        <v>14~21</v>
      </c>
      <c r="I231" s="19"/>
      <c r="J231" s="19" t="s">
        <v>117</v>
      </c>
      <c r="K231" s="20" t="s">
        <v>107</v>
      </c>
      <c r="L231" s="16" t="s">
        <v>171</v>
      </c>
      <c r="M231" s="7"/>
      <c r="N231" s="7"/>
      <c r="O231" s="8" t="s">
        <v>106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6">
        <v>100229</v>
      </c>
      <c r="B232" s="16" t="str">
        <f t="shared" si="115"/>
        <v>属性测试</v>
      </c>
      <c r="C232" s="16" t="s">
        <v>225</v>
      </c>
      <c r="D232" s="48" t="str">
        <f>[1]!颜色转换成内嵌函数()</f>
        <v>※color(88,214,202)[]</v>
      </c>
      <c r="E232" s="16">
        <f t="shared" si="100"/>
        <v>4</v>
      </c>
      <c r="F232" s="16">
        <f>IF(表1[[#This Row],[level]]+1=E233,A233,"")</f>
        <v>100230</v>
      </c>
      <c r="G232" s="16" t="s">
        <v>113</v>
      </c>
      <c r="H232" s="20" t="str">
        <f t="shared" si="97"/>
        <v>19~26</v>
      </c>
      <c r="I232" s="19"/>
      <c r="J232" s="19" t="s">
        <v>117</v>
      </c>
      <c r="K232" s="20" t="s">
        <v>107</v>
      </c>
      <c r="L232" s="16" t="s">
        <v>171</v>
      </c>
      <c r="M232" s="7"/>
      <c r="N232" s="7"/>
      <c r="O232" s="8" t="s">
        <v>106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6">
        <v>100230</v>
      </c>
      <c r="B233" s="16" t="str">
        <f t="shared" si="115"/>
        <v>属性测试</v>
      </c>
      <c r="C233" s="16" t="s">
        <v>225</v>
      </c>
      <c r="D233" s="48" t="str">
        <f>[1]!颜色转换成内嵌函数()</f>
        <v>※color(88,214,202)[]</v>
      </c>
      <c r="E233" s="16">
        <f t="shared" si="100"/>
        <v>5</v>
      </c>
      <c r="F233" s="16" t="str">
        <f>IF(表1[[#This Row],[level]]+1=E234,A234,"")</f>
        <v/>
      </c>
      <c r="G233" s="16" t="s">
        <v>113</v>
      </c>
      <c r="H233" s="20" t="str">
        <f t="shared" si="97"/>
        <v>23~30</v>
      </c>
      <c r="I233" s="19"/>
      <c r="J233" s="19" t="s">
        <v>117</v>
      </c>
      <c r="K233" s="20" t="s">
        <v>107</v>
      </c>
      <c r="L233" s="16" t="s">
        <v>170</v>
      </c>
      <c r="M233" s="7"/>
      <c r="N233" s="7"/>
      <c r="O233" s="8" t="s">
        <v>106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60" priority="2"/>
  </conditionalFormatting>
  <conditionalFormatting sqref="A4:A233">
    <cfRule type="duplicateValues" dxfId="159" priority="1"/>
  </conditionalFormatting>
  <dataValidations disablePrompts="1" count="1">
    <dataValidation type="list" allowBlank="1" showInputMessage="1" showErrorMessage="1" sqref="J4:J233">
      <formula1>ChipGrid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G10" sqref="G10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142</v>
      </c>
      <c r="B1" s="14" t="s">
        <v>144</v>
      </c>
      <c r="C1" s="14" t="s">
        <v>145</v>
      </c>
    </row>
    <row r="2" spans="1:3" ht="16.5" x14ac:dyDescent="0.15">
      <c r="A2" s="16" t="s">
        <v>140</v>
      </c>
      <c r="B2" s="23" t="s">
        <v>132</v>
      </c>
      <c r="C2" s="16" t="s">
        <v>130</v>
      </c>
    </row>
    <row r="3" spans="1:3" ht="15" x14ac:dyDescent="0.15">
      <c r="A3" s="18" t="s">
        <v>141</v>
      </c>
      <c r="B3" s="24" t="s">
        <v>133</v>
      </c>
      <c r="C3" s="18" t="s">
        <v>143</v>
      </c>
    </row>
    <row r="4" spans="1:3" ht="16.5" x14ac:dyDescent="0.15">
      <c r="A4" s="16">
        <v>1</v>
      </c>
      <c r="B4" s="16" t="s">
        <v>172</v>
      </c>
      <c r="C4" s="16" t="s">
        <v>173</v>
      </c>
    </row>
    <row r="5" spans="1:3" ht="16.5" x14ac:dyDescent="0.15">
      <c r="A5" s="16">
        <v>2</v>
      </c>
      <c r="B5" s="16" t="s">
        <v>174</v>
      </c>
      <c r="C5" s="16" t="s">
        <v>175</v>
      </c>
    </row>
    <row r="6" spans="1:3" ht="16.5" x14ac:dyDescent="0.15">
      <c r="A6" s="16">
        <v>3</v>
      </c>
      <c r="B6" s="16" t="s">
        <v>176</v>
      </c>
      <c r="C6" s="16" t="s">
        <v>177</v>
      </c>
    </row>
  </sheetData>
  <autoFilter ref="A3:C6"/>
  <phoneticPr fontId="1" type="noConversion"/>
  <conditionalFormatting sqref="A3:C3">
    <cfRule type="duplicateValues" dxfId="158" priority="2"/>
  </conditionalFormatting>
  <conditionalFormatting sqref="A7:A1048576">
    <cfRule type="duplicateValues" dxfId="157" priority="3"/>
  </conditionalFormatting>
  <conditionalFormatting sqref="A4:A6">
    <cfRule type="duplicateValues" dxfId="15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tabSelected="1" workbookViewId="0">
      <selection activeCell="G8" sqref="G8"/>
    </sheetView>
  </sheetViews>
  <sheetFormatPr defaultRowHeight="13.5" x14ac:dyDescent="0.15"/>
  <sheetData>
    <row r="1" spans="1:1" ht="16.5" x14ac:dyDescent="0.3">
      <c r="A1" s="57" t="s">
        <v>231</v>
      </c>
    </row>
    <row r="2" spans="1:1" ht="15" x14ac:dyDescent="0.15">
      <c r="A2" s="22" t="s">
        <v>128</v>
      </c>
    </row>
    <row r="3" spans="1:1" ht="16.5" x14ac:dyDescent="0.15">
      <c r="A3" s="21" t="s">
        <v>116</v>
      </c>
    </row>
    <row r="4" spans="1:1" ht="16.5" x14ac:dyDescent="0.15">
      <c r="A4" s="21" t="s">
        <v>118</v>
      </c>
    </row>
    <row r="5" spans="1:1" ht="16.5" x14ac:dyDescent="0.15">
      <c r="A5" s="21" t="s">
        <v>120</v>
      </c>
    </row>
    <row r="6" spans="1:1" ht="16.5" x14ac:dyDescent="0.15">
      <c r="A6" s="21" t="s">
        <v>122</v>
      </c>
    </row>
    <row r="7" spans="1:1" ht="16.5" x14ac:dyDescent="0.15">
      <c r="A7" s="21" t="s">
        <v>124</v>
      </c>
    </row>
    <row r="8" spans="1:1" ht="16.5" x14ac:dyDescent="0.15">
      <c r="A8" s="21" t="s">
        <v>129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6" t="s">
        <v>79</v>
      </c>
      <c r="C3" s="27"/>
      <c r="D3" s="27"/>
      <c r="H3" s="27" t="str">
        <f>B3</f>
        <v>t1</v>
      </c>
      <c r="I3" s="27"/>
      <c r="J3" s="27"/>
      <c r="N3" s="27" t="str">
        <f>B3</f>
        <v>t1</v>
      </c>
      <c r="O3" s="27"/>
      <c r="P3" s="27"/>
      <c r="T3" s="27" t="str">
        <f>B3</f>
        <v>t1</v>
      </c>
      <c r="U3" s="27"/>
      <c r="V3" s="27"/>
      <c r="Z3" s="27" t="str">
        <f>B3</f>
        <v>t1</v>
      </c>
      <c r="AA3" s="27"/>
      <c r="AB3" s="27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6" t="s">
        <v>72</v>
      </c>
      <c r="C9" s="27"/>
      <c r="D9" s="27"/>
      <c r="H9" s="27" t="str">
        <f>B9</f>
        <v>t2</v>
      </c>
      <c r="I9" s="27"/>
      <c r="J9" s="27"/>
      <c r="N9" s="27" t="str">
        <f>B9</f>
        <v>t2</v>
      </c>
      <c r="O9" s="27"/>
      <c r="P9" s="27"/>
      <c r="T9" s="27" t="str">
        <f>B9</f>
        <v>t2</v>
      </c>
      <c r="U9" s="27"/>
      <c r="V9" s="27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6" t="s">
        <v>73</v>
      </c>
      <c r="C15" s="27"/>
      <c r="D15" s="27"/>
      <c r="H15" s="27" t="str">
        <f>B15</f>
        <v>t3</v>
      </c>
      <c r="I15" s="27"/>
      <c r="J15" s="27"/>
      <c r="N15" s="27" t="str">
        <f>B15</f>
        <v>t3</v>
      </c>
      <c r="O15" s="27"/>
      <c r="P15" s="27"/>
      <c r="T15" s="27" t="str">
        <f>B15</f>
        <v>t3</v>
      </c>
      <c r="U15" s="27"/>
      <c r="V15" s="27"/>
      <c r="Z15" s="27" t="str">
        <f>B15</f>
        <v>t3</v>
      </c>
      <c r="AA15" s="27"/>
      <c r="AB15" s="27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6" t="s">
        <v>74</v>
      </c>
      <c r="C21" s="27"/>
      <c r="D21" s="27"/>
      <c r="H21" s="27" t="str">
        <f>B21</f>
        <v>t4</v>
      </c>
      <c r="I21" s="27"/>
      <c r="J21" s="27"/>
      <c r="N21" s="27" t="str">
        <f>B21</f>
        <v>t4</v>
      </c>
      <c r="O21" s="27"/>
      <c r="P21" s="27"/>
      <c r="T21" s="27" t="str">
        <f>B21</f>
        <v>t4</v>
      </c>
      <c r="U21" s="27"/>
      <c r="V21" s="27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6" t="s">
        <v>75</v>
      </c>
      <c r="C27" s="27"/>
      <c r="D27" s="27"/>
      <c r="H27" s="27" t="str">
        <f>B27</f>
        <v>t5</v>
      </c>
      <c r="I27" s="27"/>
      <c r="J27" s="27"/>
      <c r="N27" s="27" t="str">
        <f>B27</f>
        <v>t5</v>
      </c>
      <c r="O27" s="27"/>
      <c r="P27" s="27"/>
      <c r="T27" s="27" t="str">
        <f>B27</f>
        <v>t5</v>
      </c>
      <c r="U27" s="27"/>
      <c r="V27" s="27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6" t="s">
        <v>76</v>
      </c>
      <c r="C33" s="27"/>
      <c r="D33" s="27"/>
      <c r="H33" s="26" t="str">
        <f>B33</f>
        <v>t6</v>
      </c>
      <c r="I33" s="27"/>
      <c r="J33" s="27"/>
      <c r="N33" s="26" t="str">
        <f>B33</f>
        <v>t6</v>
      </c>
      <c r="O33" s="27"/>
      <c r="P33" s="27"/>
      <c r="T33" s="26" t="str">
        <f>B33</f>
        <v>t6</v>
      </c>
      <c r="U33" s="27"/>
      <c r="V33" s="27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6" t="s">
        <v>77</v>
      </c>
      <c r="C39" s="27"/>
      <c r="D39" s="27"/>
      <c r="E39" s="4"/>
      <c r="H39" s="26" t="s">
        <v>77</v>
      </c>
      <c r="I39" s="27"/>
      <c r="J39" s="27"/>
      <c r="K39" s="4"/>
      <c r="N39" s="26" t="s">
        <v>77</v>
      </c>
      <c r="O39" s="27"/>
      <c r="P39" s="27"/>
      <c r="Q39" s="4"/>
      <c r="T39" s="26" t="s">
        <v>77</v>
      </c>
      <c r="U39" s="27"/>
      <c r="V39" s="27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6" t="s">
        <v>78</v>
      </c>
      <c r="C45" s="27"/>
      <c r="D45" s="27"/>
      <c r="E45" s="4"/>
      <c r="H45" s="26" t="s">
        <v>78</v>
      </c>
      <c r="I45" s="27"/>
      <c r="J45" s="27"/>
      <c r="K45" s="4"/>
      <c r="N45" s="26" t="s">
        <v>78</v>
      </c>
      <c r="O45" s="27"/>
      <c r="P45" s="27"/>
      <c r="Q45" s="4"/>
      <c r="T45" s="26" t="s">
        <v>78</v>
      </c>
      <c r="U45" s="27"/>
      <c r="V45" s="27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6" t="s">
        <v>80</v>
      </c>
      <c r="C51" s="27"/>
      <c r="D51" s="27"/>
      <c r="H51" s="26" t="str">
        <f>B51</f>
        <v>t9</v>
      </c>
      <c r="I51" s="27"/>
      <c r="J51" s="27"/>
      <c r="N51" s="26" t="str">
        <f>H51</f>
        <v>t9</v>
      </c>
      <c r="O51" s="27"/>
      <c r="P51" s="27"/>
      <c r="T51" s="26" t="str">
        <f>N51</f>
        <v>t9</v>
      </c>
      <c r="U51" s="27"/>
      <c r="V51" s="27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6" t="s">
        <v>81</v>
      </c>
      <c r="C57" s="27"/>
      <c r="D57" s="27"/>
      <c r="H57" s="26" t="str">
        <f>B57</f>
        <v>t10</v>
      </c>
      <c r="I57" s="27"/>
      <c r="J57" s="27"/>
      <c r="N57" s="26" t="str">
        <f>H57</f>
        <v>t10</v>
      </c>
      <c r="O57" s="27"/>
      <c r="P57" s="27"/>
      <c r="T57" s="26" t="str">
        <f>N57</f>
        <v>t10</v>
      </c>
      <c r="U57" s="26"/>
      <c r="V57" s="26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H7:I7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K4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Q4:Q6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3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E10:E12">
    <cfRule type="cellIs" dxfId="140" priority="151" operator="equal">
      <formula>3</formula>
    </cfRule>
    <cfRule type="cellIs" dxfId="139" priority="152" operator="equal">
      <formula>2</formula>
    </cfRule>
    <cfRule type="cellIs" dxfId="138" priority="153" operator="equal">
      <formula>1</formula>
    </cfRule>
  </conditionalFormatting>
  <conditionalFormatting sqref="Q10:Q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W8:W12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U13:W13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Q15:Q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15:W19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AC15:AC19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W21:W24 W26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S25:Y25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E27:E28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E29:E30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A31:F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K27:K31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G31:J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Q27:Q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M31:Q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W27:W30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R31:Y31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E33:E36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A37:E37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K33:K37">
    <cfRule type="cellIs" dxfId="80" priority="88" operator="equal">
      <formula>3</formula>
    </cfRule>
    <cfRule type="cellIs" dxfId="79" priority="89" operator="equal">
      <formula>2</formula>
    </cfRule>
    <cfRule type="cellIs" dxfId="78" priority="90" operator="equal">
      <formula>1</formula>
    </cfRule>
  </conditionalFormatting>
  <conditionalFormatting sqref="Q34:Q36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M37:Q37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W33:W37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E39:E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A43:F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K39:K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G43:K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W38:W42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S43:Y43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E45:E48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K45:K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Q45:Q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W45:W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A49:F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J49 G49:H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I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P49 M49:N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O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V49 S49:T49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U49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W51:W54 W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Q51:Q54 Q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K51:K54 K56">
    <cfRule type="cellIs" dxfId="11" priority="16" operator="equal">
      <formula>3</formula>
    </cfRule>
    <cfRule type="cellIs" dxfId="10" priority="17" operator="equal">
      <formula>2</formula>
    </cfRule>
    <cfRule type="cellIs" dxfId="9" priority="18" operator="equal">
      <formula>1</formula>
    </cfRule>
  </conditionalFormatting>
  <conditionalFormatting sqref="E51:E54 E56">
    <cfRule type="cellIs" dxfId="8" priority="13" operator="equal">
      <formula>3</formula>
    </cfRule>
    <cfRule type="cellIs" dxfId="7" priority="14" operator="equal">
      <formula>2</formula>
    </cfRule>
    <cfRule type="cellIs" dxfId="6" priority="15" operator="equal">
      <formula>1</formula>
    </cfRule>
  </conditionalFormatting>
  <conditionalFormatting sqref="Q57:Q60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57:K60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H15" sqref="H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40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</row>
    <row r="2" spans="1:50" ht="22.5" customHeight="1" x14ac:dyDescent="0.15">
      <c r="D2" t="s">
        <v>114</v>
      </c>
      <c r="E2" t="s">
        <v>138</v>
      </c>
      <c r="AV2" s="54" t="s">
        <v>137</v>
      </c>
      <c r="AW2" s="55"/>
      <c r="AX2" s="56"/>
    </row>
    <row r="3" spans="1:50" ht="22.5" customHeight="1" x14ac:dyDescent="0.15">
      <c r="C3" s="32" t="s">
        <v>136</v>
      </c>
      <c r="D3" s="32">
        <v>1</v>
      </c>
      <c r="E3" s="32">
        <v>23</v>
      </c>
      <c r="F3" s="32">
        <v>11</v>
      </c>
      <c r="Q3" s="32" t="s">
        <v>136</v>
      </c>
      <c r="R3" s="32">
        <v>2</v>
      </c>
      <c r="S3" s="32">
        <v>23</v>
      </c>
      <c r="T3" s="32">
        <v>11</v>
      </c>
      <c r="AE3" s="32" t="s">
        <v>136</v>
      </c>
      <c r="AF3" s="32">
        <v>3</v>
      </c>
      <c r="AG3" s="32">
        <v>23</v>
      </c>
      <c r="AH3" s="32">
        <v>11</v>
      </c>
      <c r="AV3" s="25"/>
      <c r="AW3" s="41" t="s">
        <v>115</v>
      </c>
      <c r="AX3" s="42">
        <f>测试单元格颜色(AV3)</f>
        <v>0</v>
      </c>
    </row>
    <row r="4" spans="1:50" ht="22.5" customHeight="1" x14ac:dyDescent="0.15">
      <c r="A4" s="40">
        <v>1</v>
      </c>
      <c r="C4" s="33"/>
      <c r="D4" s="33"/>
      <c r="E4" s="33"/>
      <c r="F4" s="33"/>
      <c r="G4" s="33"/>
      <c r="H4" s="33"/>
      <c r="I4" s="33"/>
      <c r="J4" s="34"/>
      <c r="K4" s="34"/>
      <c r="L4" s="34"/>
      <c r="M4" s="34"/>
      <c r="N4" s="35"/>
      <c r="O4" s="35"/>
      <c r="P4" s="35"/>
      <c r="Q4" s="33"/>
      <c r="R4" s="33"/>
      <c r="S4" s="33"/>
      <c r="T4" s="33"/>
      <c r="U4" s="33"/>
      <c r="V4" s="33"/>
      <c r="W4" s="33"/>
      <c r="X4" s="34"/>
      <c r="Y4" s="34"/>
      <c r="Z4" s="34"/>
      <c r="AA4" s="34"/>
      <c r="AB4" s="35"/>
      <c r="AC4" s="35"/>
      <c r="AD4" s="35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V4" s="30"/>
      <c r="AW4" s="41" t="s">
        <v>119</v>
      </c>
      <c r="AX4" s="42">
        <f>测试单元格颜色(AV4)</f>
        <v>13995347</v>
      </c>
    </row>
    <row r="5" spans="1:50" ht="22.5" customHeight="1" x14ac:dyDescent="0.15">
      <c r="A5" s="40">
        <v>2</v>
      </c>
      <c r="C5" s="33"/>
      <c r="D5" s="36"/>
      <c r="E5" s="33"/>
      <c r="F5" s="33"/>
      <c r="G5" s="33"/>
      <c r="H5" s="33"/>
      <c r="I5" s="33"/>
      <c r="J5" s="34"/>
      <c r="K5" s="34"/>
      <c r="L5" s="34"/>
      <c r="M5" s="34"/>
      <c r="N5" s="35"/>
      <c r="O5" s="35"/>
      <c r="P5" s="35"/>
      <c r="Q5" s="33"/>
      <c r="R5" s="33"/>
      <c r="S5" s="36"/>
      <c r="T5" s="33"/>
      <c r="U5" s="33"/>
      <c r="V5" s="33"/>
      <c r="W5" s="33"/>
      <c r="X5" s="34"/>
      <c r="Y5" s="34"/>
      <c r="Z5" s="34"/>
      <c r="AA5" s="34"/>
      <c r="AB5" s="35"/>
      <c r="AC5" s="35"/>
      <c r="AD5" s="35"/>
      <c r="AE5" s="33"/>
      <c r="AF5" s="33"/>
      <c r="AG5" s="33"/>
      <c r="AH5" s="33"/>
      <c r="AI5" s="33"/>
      <c r="AJ5" s="33"/>
      <c r="AK5" s="33"/>
      <c r="AL5" s="37"/>
      <c r="AM5" s="37"/>
      <c r="AN5" s="37"/>
      <c r="AO5" s="33"/>
      <c r="AV5" s="31"/>
      <c r="AW5" s="41" t="s">
        <v>121</v>
      </c>
      <c r="AX5" s="42">
        <f>测试单元格颜色(AV5)</f>
        <v>192</v>
      </c>
    </row>
    <row r="6" spans="1:50" ht="22.5" customHeight="1" x14ac:dyDescent="0.15">
      <c r="A6" s="40">
        <v>3</v>
      </c>
      <c r="C6" s="33"/>
      <c r="D6" s="33"/>
      <c r="E6" s="33"/>
      <c r="F6" s="33"/>
      <c r="G6" s="33"/>
      <c r="H6" s="33"/>
      <c r="I6" s="33"/>
      <c r="J6" s="34"/>
      <c r="K6" s="34"/>
      <c r="L6" s="34"/>
      <c r="M6" s="34"/>
      <c r="N6" s="35"/>
      <c r="O6" s="35"/>
      <c r="P6" s="35"/>
      <c r="Q6" s="33"/>
      <c r="R6" s="33"/>
      <c r="S6" s="33"/>
      <c r="T6" s="33"/>
      <c r="U6" s="33"/>
      <c r="V6" s="33"/>
      <c r="W6" s="33"/>
      <c r="X6" s="34"/>
      <c r="Y6" s="34"/>
      <c r="Z6" s="34"/>
      <c r="AA6" s="34"/>
      <c r="AB6" s="35"/>
      <c r="AC6" s="35"/>
      <c r="AD6" s="35"/>
      <c r="AE6" s="33"/>
      <c r="AF6" s="33"/>
      <c r="AG6" s="36"/>
      <c r="AH6" s="33"/>
      <c r="AI6" s="38">
        <v>15</v>
      </c>
      <c r="AJ6" s="33"/>
      <c r="AK6" s="33"/>
      <c r="AL6" s="37"/>
      <c r="AM6" s="37"/>
      <c r="AN6" s="37"/>
      <c r="AO6" s="33"/>
      <c r="AV6" s="28"/>
      <c r="AW6" s="41" t="s">
        <v>123</v>
      </c>
      <c r="AX6" s="42">
        <f>测试单元格颜色(AV6)</f>
        <v>65535</v>
      </c>
    </row>
    <row r="7" spans="1:50" ht="22.5" customHeight="1" x14ac:dyDescent="0.15">
      <c r="A7" s="40">
        <v>4</v>
      </c>
      <c r="C7" s="33"/>
      <c r="D7" s="33"/>
      <c r="E7" s="38">
        <v>20</v>
      </c>
      <c r="F7" s="33"/>
      <c r="G7" s="33"/>
      <c r="H7" s="36"/>
      <c r="I7" s="33"/>
      <c r="J7" s="34"/>
      <c r="K7" s="34"/>
      <c r="L7" s="34"/>
      <c r="M7" s="34"/>
      <c r="N7" s="35"/>
      <c r="O7" s="35"/>
      <c r="P7" s="35"/>
      <c r="Q7" s="33"/>
      <c r="R7" s="33"/>
      <c r="S7" s="38">
        <v>15</v>
      </c>
      <c r="T7" s="33"/>
      <c r="U7" s="33"/>
      <c r="V7" s="33"/>
      <c r="W7" s="33"/>
      <c r="X7" s="34"/>
      <c r="Y7" s="34"/>
      <c r="Z7" s="34"/>
      <c r="AA7" s="34"/>
      <c r="AB7" s="35"/>
      <c r="AC7" s="35"/>
      <c r="AD7" s="35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V7" s="29"/>
      <c r="AW7" s="43" t="s">
        <v>139</v>
      </c>
      <c r="AX7" s="44">
        <f>测试单元格颜色(AV7)</f>
        <v>5880731</v>
      </c>
    </row>
    <row r="8" spans="1:50" ht="22.5" customHeight="1" x14ac:dyDescent="0.15">
      <c r="A8" s="40">
        <v>5</v>
      </c>
      <c r="C8" s="33"/>
      <c r="D8" s="33"/>
      <c r="E8" s="33"/>
      <c r="F8" s="33"/>
      <c r="G8" s="33"/>
      <c r="H8" s="33"/>
      <c r="I8" s="33"/>
      <c r="J8" s="34"/>
      <c r="K8" s="34"/>
      <c r="L8" s="34"/>
      <c r="M8" s="34"/>
      <c r="N8" s="35"/>
      <c r="O8" s="35"/>
      <c r="P8" s="35"/>
      <c r="Q8" s="33"/>
      <c r="R8" s="37"/>
      <c r="S8" s="37"/>
      <c r="T8" s="37"/>
      <c r="U8" s="33"/>
      <c r="V8" s="36"/>
      <c r="W8" s="33"/>
      <c r="X8" s="34"/>
      <c r="Y8" s="34"/>
      <c r="Z8" s="34"/>
      <c r="AA8" s="34"/>
      <c r="AB8" s="35"/>
      <c r="AC8" s="35"/>
      <c r="AD8" s="35"/>
      <c r="AE8" s="37"/>
      <c r="AF8" s="37"/>
      <c r="AG8" s="37"/>
      <c r="AH8" s="39"/>
      <c r="AI8" s="39"/>
      <c r="AJ8" s="39"/>
      <c r="AK8" s="39"/>
      <c r="AL8" s="39"/>
      <c r="AM8" s="33"/>
      <c r="AN8" s="33"/>
      <c r="AO8" s="33"/>
    </row>
    <row r="9" spans="1:50" ht="22.5" customHeight="1" x14ac:dyDescent="0.15">
      <c r="A9" s="40">
        <v>6</v>
      </c>
      <c r="C9" s="33"/>
      <c r="D9" s="33"/>
      <c r="E9" s="34"/>
      <c r="F9" s="34"/>
      <c r="G9" s="34"/>
      <c r="H9" s="34"/>
      <c r="I9" s="33"/>
      <c r="J9" s="33"/>
      <c r="K9" s="33"/>
      <c r="L9" s="33"/>
      <c r="M9" s="33"/>
      <c r="N9" s="35"/>
      <c r="O9" s="35"/>
      <c r="P9" s="35"/>
      <c r="Q9" s="33"/>
      <c r="R9" s="37"/>
      <c r="S9" s="37"/>
      <c r="T9" s="37"/>
      <c r="U9" s="33"/>
      <c r="V9" s="33"/>
      <c r="W9" s="33"/>
      <c r="X9" s="33"/>
      <c r="Y9" s="33"/>
      <c r="Z9" s="33"/>
      <c r="AA9" s="33"/>
      <c r="AB9" s="35"/>
      <c r="AC9" s="35"/>
      <c r="AD9" s="35"/>
      <c r="AE9" s="37"/>
      <c r="AF9" s="37"/>
      <c r="AG9" s="37"/>
      <c r="AH9" s="39"/>
      <c r="AI9" s="39"/>
      <c r="AJ9" s="39"/>
      <c r="AK9" s="39"/>
      <c r="AL9" s="39"/>
      <c r="AM9" s="33"/>
      <c r="AN9" s="36"/>
      <c r="AO9" s="33"/>
    </row>
    <row r="10" spans="1:50" ht="22.5" customHeight="1" x14ac:dyDescent="0.15">
      <c r="A10" s="40">
        <v>7</v>
      </c>
      <c r="C10" s="33"/>
      <c r="D10" s="33"/>
      <c r="E10" s="34"/>
      <c r="F10" s="34"/>
      <c r="G10" s="34"/>
      <c r="H10" s="34"/>
      <c r="I10" s="33"/>
      <c r="J10" s="33"/>
      <c r="K10" s="33"/>
      <c r="L10" s="33"/>
      <c r="M10" s="33"/>
      <c r="N10" s="35"/>
      <c r="O10" s="35"/>
      <c r="P10" s="35"/>
      <c r="Q10" s="33"/>
      <c r="R10" s="37"/>
      <c r="S10" s="37"/>
      <c r="T10" s="37"/>
      <c r="U10" s="33"/>
      <c r="V10" s="33"/>
      <c r="W10" s="33"/>
      <c r="X10" s="33"/>
      <c r="Y10" s="38">
        <v>12</v>
      </c>
      <c r="Z10" s="33"/>
      <c r="AA10" s="33"/>
      <c r="AB10" s="35"/>
      <c r="AC10" s="35"/>
      <c r="AD10" s="35"/>
      <c r="AE10" s="37"/>
      <c r="AF10" s="37"/>
      <c r="AG10" s="37"/>
      <c r="AH10" s="39"/>
      <c r="AI10" s="36"/>
      <c r="AJ10" s="39"/>
      <c r="AK10" s="39"/>
      <c r="AL10" s="39"/>
      <c r="AM10" s="33"/>
      <c r="AN10" s="36"/>
      <c r="AO10" s="33"/>
    </row>
    <row r="11" spans="1:50" ht="22.5" customHeight="1" x14ac:dyDescent="0.15">
      <c r="A11" s="40">
        <v>8</v>
      </c>
      <c r="C11" s="33"/>
      <c r="D11" s="33"/>
      <c r="E11" s="34"/>
      <c r="F11" s="34"/>
      <c r="G11" s="34"/>
      <c r="H11" s="34"/>
      <c r="I11" s="33"/>
      <c r="J11" s="39"/>
      <c r="K11" s="38">
        <v>12</v>
      </c>
      <c r="L11" s="39"/>
      <c r="M11" s="39"/>
      <c r="N11" s="35"/>
      <c r="O11" s="35"/>
      <c r="P11" s="35"/>
      <c r="Q11" s="33"/>
      <c r="R11" s="37"/>
      <c r="S11" s="37"/>
      <c r="T11" s="37"/>
      <c r="U11" s="33"/>
      <c r="V11" s="33"/>
      <c r="W11" s="33"/>
      <c r="X11" s="33"/>
      <c r="Y11" s="36"/>
      <c r="Z11" s="33"/>
      <c r="AA11" s="33"/>
      <c r="AB11" s="35"/>
      <c r="AC11" s="35"/>
      <c r="AD11" s="35"/>
      <c r="AE11" s="33"/>
      <c r="AF11" s="33"/>
      <c r="AG11" s="33"/>
      <c r="AH11" s="39"/>
      <c r="AI11" s="39"/>
      <c r="AJ11" s="39"/>
      <c r="AK11" s="39"/>
      <c r="AL11" s="39"/>
      <c r="AM11" s="33"/>
      <c r="AN11" s="33"/>
      <c r="AO11" s="33"/>
    </row>
    <row r="12" spans="1:50" ht="22.5" customHeight="1" x14ac:dyDescent="0.15">
      <c r="A12" s="40">
        <v>9</v>
      </c>
      <c r="C12" s="33"/>
      <c r="D12" s="33"/>
      <c r="E12" s="33"/>
      <c r="F12" s="33"/>
      <c r="G12" s="33"/>
      <c r="H12" s="33"/>
      <c r="I12" s="33"/>
      <c r="J12" s="39"/>
      <c r="K12" s="39"/>
      <c r="L12" s="39"/>
      <c r="M12" s="39"/>
      <c r="N12" s="35"/>
      <c r="O12" s="35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5"/>
      <c r="AC12" s="35"/>
      <c r="AD12" s="35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</row>
    <row r="13" spans="1:50" ht="22.5" customHeight="1" x14ac:dyDescent="0.15">
      <c r="A13" s="40">
        <v>10</v>
      </c>
      <c r="C13" s="33"/>
      <c r="D13" s="36"/>
      <c r="E13" s="33"/>
      <c r="F13" s="33"/>
      <c r="G13" s="33"/>
      <c r="H13" s="33"/>
      <c r="I13" s="33"/>
      <c r="J13" s="39"/>
      <c r="K13" s="39"/>
      <c r="L13" s="39"/>
      <c r="M13" s="39"/>
      <c r="N13" s="35"/>
      <c r="O13" s="35"/>
      <c r="P13" s="35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5"/>
      <c r="AC13" s="35"/>
      <c r="AD13" s="35"/>
      <c r="AE13" s="33"/>
      <c r="AF13" s="33"/>
      <c r="AG13" s="33"/>
      <c r="AH13" s="33"/>
      <c r="AI13" s="33"/>
      <c r="AJ13" s="33"/>
      <c r="AK13" s="33"/>
      <c r="AL13" s="33"/>
      <c r="AM13" s="38">
        <v>8</v>
      </c>
      <c r="AN13" s="33"/>
      <c r="AO13" s="33"/>
    </row>
    <row r="14" spans="1:50" ht="22.5" customHeight="1" x14ac:dyDescent="0.15">
      <c r="A14" s="40">
        <v>11</v>
      </c>
      <c r="C14" s="33"/>
      <c r="D14" s="36"/>
      <c r="E14" s="33"/>
      <c r="F14" s="33"/>
      <c r="G14" s="33"/>
      <c r="H14" s="33"/>
      <c r="I14" s="33"/>
      <c r="J14" s="39"/>
      <c r="K14" s="39"/>
      <c r="L14" s="39"/>
      <c r="M14" s="39"/>
      <c r="N14" s="35"/>
      <c r="O14" s="35"/>
      <c r="P14" s="35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5"/>
      <c r="AC14" s="35"/>
      <c r="AD14" s="35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</row>
    <row r="15" spans="1:50" ht="22.5" customHeight="1" x14ac:dyDescent="0.15">
      <c r="A15" s="40">
        <v>12</v>
      </c>
      <c r="C15" s="33"/>
      <c r="D15" s="33"/>
      <c r="E15" s="33"/>
      <c r="F15" s="38">
        <v>10</v>
      </c>
      <c r="G15" s="33"/>
      <c r="H15" s="33"/>
      <c r="I15" s="33"/>
      <c r="J15" s="33"/>
      <c r="K15" s="33"/>
      <c r="L15" s="33"/>
      <c r="M15" s="33"/>
      <c r="N15" s="35"/>
      <c r="O15" s="35"/>
      <c r="P15" s="35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5"/>
      <c r="AC15" s="35"/>
      <c r="AD15" s="35"/>
      <c r="AE15" s="33"/>
      <c r="AF15" s="33"/>
      <c r="AG15" s="38">
        <v>8</v>
      </c>
      <c r="AH15" s="33"/>
      <c r="AI15" s="33"/>
      <c r="AJ15" s="33"/>
      <c r="AK15" s="33"/>
      <c r="AL15" s="33"/>
      <c r="AM15" s="33"/>
      <c r="AN15" s="33"/>
      <c r="AO15" s="33"/>
    </row>
    <row r="16" spans="1:50" ht="22.5" customHeight="1" x14ac:dyDescent="0.15">
      <c r="A16" s="40">
        <v>13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5"/>
      <c r="O16" s="35"/>
      <c r="P16" s="35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5"/>
      <c r="AC16" s="35"/>
      <c r="AD16" s="35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</row>
    <row r="17" spans="1:41" ht="22.5" customHeight="1" x14ac:dyDescent="0.15">
      <c r="A17" s="40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  <c r="O17" s="35"/>
      <c r="P17" s="35"/>
      <c r="Q17" s="33"/>
      <c r="R17" s="33"/>
      <c r="S17" s="33"/>
      <c r="T17" s="33"/>
      <c r="U17" s="33"/>
      <c r="V17" s="38">
        <v>10</v>
      </c>
      <c r="W17" s="33"/>
      <c r="X17" s="33"/>
      <c r="Y17" s="33"/>
      <c r="Z17" s="33"/>
      <c r="AA17" s="33"/>
      <c r="AB17" s="35"/>
      <c r="AC17" s="35"/>
      <c r="AD17" s="35"/>
      <c r="AE17" s="37"/>
      <c r="AF17" s="37"/>
      <c r="AG17" s="37"/>
      <c r="AH17" s="33"/>
      <c r="AI17" s="33"/>
      <c r="AJ17" s="33"/>
      <c r="AK17" s="33"/>
      <c r="AL17" s="33"/>
      <c r="AM17" s="33"/>
      <c r="AN17" s="33"/>
      <c r="AO17" s="33"/>
    </row>
    <row r="18" spans="1:41" ht="22.5" customHeight="1" x14ac:dyDescent="0.15">
      <c r="A18" s="40">
        <v>15</v>
      </c>
      <c r="C18" s="33"/>
      <c r="D18" s="33"/>
      <c r="E18" s="33"/>
      <c r="F18" s="33"/>
      <c r="G18" s="33"/>
      <c r="H18" s="33"/>
      <c r="I18" s="33"/>
      <c r="J18" s="36"/>
      <c r="K18" s="33"/>
      <c r="L18" s="33"/>
      <c r="M18" s="33"/>
      <c r="N18" s="35"/>
      <c r="O18" s="35"/>
      <c r="P18" s="35"/>
      <c r="Q18" s="33"/>
      <c r="R18" s="33"/>
      <c r="S18" s="33"/>
      <c r="T18" s="33"/>
      <c r="U18" s="33"/>
      <c r="V18" s="33"/>
      <c r="W18" s="33"/>
      <c r="X18" s="37"/>
      <c r="Y18" s="37"/>
      <c r="Z18" s="37"/>
      <c r="AA18" s="33"/>
      <c r="AB18" s="35"/>
      <c r="AC18" s="35"/>
      <c r="AD18" s="35"/>
      <c r="AE18" s="37"/>
      <c r="AF18" s="37"/>
      <c r="AG18" s="37"/>
      <c r="AH18" s="33"/>
      <c r="AI18" s="33"/>
      <c r="AJ18" s="33"/>
      <c r="AK18" s="33"/>
      <c r="AL18" s="33"/>
      <c r="AM18" s="33"/>
      <c r="AN18" s="33"/>
      <c r="AO18" s="33"/>
    </row>
    <row r="19" spans="1:41" ht="22.5" customHeight="1" x14ac:dyDescent="0.15">
      <c r="A19" s="40">
        <v>16</v>
      </c>
      <c r="C19" s="38">
        <v>10</v>
      </c>
      <c r="D19" s="33"/>
      <c r="E19" s="33"/>
      <c r="F19" s="33"/>
      <c r="G19" s="33"/>
      <c r="H19" s="33"/>
      <c r="I19" s="33"/>
      <c r="J19" s="33"/>
      <c r="K19" s="36"/>
      <c r="L19" s="33"/>
      <c r="M19" s="33"/>
      <c r="N19" s="35"/>
      <c r="O19" s="35"/>
      <c r="P19" s="35"/>
      <c r="Q19" s="33"/>
      <c r="R19" s="33"/>
      <c r="S19" s="33"/>
      <c r="T19" s="33"/>
      <c r="U19" s="33"/>
      <c r="V19" s="33"/>
      <c r="W19" s="33"/>
      <c r="X19" s="37"/>
      <c r="Y19" s="37"/>
      <c r="Z19" s="37"/>
      <c r="AA19" s="33"/>
      <c r="AB19" s="35"/>
      <c r="AC19" s="35"/>
      <c r="AD19" s="35"/>
      <c r="AE19" s="37"/>
      <c r="AF19" s="37"/>
      <c r="AG19" s="37"/>
      <c r="AH19" s="33"/>
      <c r="AI19" s="33"/>
      <c r="AJ19" s="33"/>
      <c r="AK19" s="33"/>
      <c r="AL19" s="33"/>
      <c r="AM19" s="33"/>
      <c r="AN19" s="33"/>
      <c r="AO19" s="33"/>
    </row>
    <row r="20" spans="1:41" ht="22.5" customHeight="1" x14ac:dyDescent="0.15">
      <c r="A20" s="40">
        <v>17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5"/>
      <c r="O20" s="35"/>
      <c r="P20" s="35"/>
      <c r="Q20" s="33"/>
      <c r="R20" s="33"/>
      <c r="S20" s="37"/>
      <c r="T20" s="37"/>
      <c r="U20" s="37"/>
      <c r="V20" s="37"/>
      <c r="W20" s="37"/>
      <c r="X20" s="37"/>
      <c r="Y20" s="37"/>
      <c r="Z20" s="37"/>
      <c r="AA20" s="33"/>
      <c r="AB20" s="35"/>
      <c r="AC20" s="35"/>
      <c r="AD20" s="35"/>
      <c r="AE20" s="37"/>
      <c r="AF20" s="37"/>
      <c r="AG20" s="37"/>
      <c r="AH20" s="33"/>
      <c r="AI20" s="33"/>
      <c r="AJ20" s="33"/>
      <c r="AK20" s="39"/>
      <c r="AL20" s="39"/>
      <c r="AM20" s="39"/>
      <c r="AN20" s="39"/>
      <c r="AO20" s="33"/>
    </row>
    <row r="21" spans="1:41" ht="22.5" customHeight="1" x14ac:dyDescent="0.15">
      <c r="A21" s="40">
        <v>18</v>
      </c>
      <c r="C21" s="33"/>
      <c r="D21" s="33"/>
      <c r="E21" s="33"/>
      <c r="F21" s="34"/>
      <c r="G21" s="34"/>
      <c r="H21" s="34"/>
      <c r="I21" s="34"/>
      <c r="J21" s="34"/>
      <c r="K21" s="39"/>
      <c r="L21" s="39"/>
      <c r="M21" s="39"/>
      <c r="N21" s="35"/>
      <c r="O21" s="35"/>
      <c r="P21" s="35"/>
      <c r="Q21" s="33"/>
      <c r="R21" s="33"/>
      <c r="S21" s="37"/>
      <c r="T21" s="37"/>
      <c r="U21" s="37"/>
      <c r="V21" s="37"/>
      <c r="W21" s="37"/>
      <c r="X21" s="37"/>
      <c r="Y21" s="37"/>
      <c r="Z21" s="37"/>
      <c r="AA21" s="33"/>
      <c r="AB21" s="35"/>
      <c r="AC21" s="35"/>
      <c r="AD21" s="35"/>
      <c r="AE21" s="33"/>
      <c r="AF21" s="33"/>
      <c r="AG21" s="33"/>
      <c r="AH21" s="33"/>
      <c r="AI21" s="36"/>
      <c r="AJ21" s="33"/>
      <c r="AK21" s="39"/>
      <c r="AL21" s="39"/>
      <c r="AM21" s="38">
        <v>15</v>
      </c>
      <c r="AN21" s="39"/>
      <c r="AO21" s="33"/>
    </row>
    <row r="22" spans="1:41" ht="22.5" customHeight="1" x14ac:dyDescent="0.15">
      <c r="A22" s="40">
        <v>19</v>
      </c>
      <c r="C22" s="33"/>
      <c r="D22" s="33"/>
      <c r="E22" s="33"/>
      <c r="F22" s="34"/>
      <c r="G22" s="34"/>
      <c r="H22" s="34"/>
      <c r="I22" s="34"/>
      <c r="J22" s="34"/>
      <c r="K22" s="39"/>
      <c r="L22" s="39"/>
      <c r="M22" s="39"/>
      <c r="N22" s="35"/>
      <c r="O22" s="35"/>
      <c r="P22" s="35"/>
      <c r="Q22" s="33"/>
      <c r="R22" s="33"/>
      <c r="S22" s="37"/>
      <c r="T22" s="37"/>
      <c r="U22" s="37"/>
      <c r="V22" s="37"/>
      <c r="W22" s="37"/>
      <c r="X22" s="33"/>
      <c r="Y22" s="36"/>
      <c r="Z22" s="33"/>
      <c r="AA22" s="33"/>
      <c r="AB22" s="35"/>
      <c r="AC22" s="35"/>
      <c r="AD22" s="35"/>
      <c r="AE22" s="33"/>
      <c r="AF22" s="33"/>
      <c r="AG22" s="33"/>
      <c r="AH22" s="39"/>
      <c r="AI22" s="39"/>
      <c r="AJ22" s="39"/>
      <c r="AK22" s="39"/>
      <c r="AL22" s="39"/>
      <c r="AM22" s="39"/>
      <c r="AN22" s="39"/>
      <c r="AO22" s="33"/>
    </row>
    <row r="23" spans="1:41" ht="22.5" customHeight="1" x14ac:dyDescent="0.15">
      <c r="A23" s="40">
        <v>20</v>
      </c>
      <c r="C23" s="33"/>
      <c r="D23" s="36"/>
      <c r="E23" s="33"/>
      <c r="F23" s="34"/>
      <c r="G23" s="34"/>
      <c r="H23" s="34"/>
      <c r="I23" s="34"/>
      <c r="J23" s="34"/>
      <c r="K23" s="39"/>
      <c r="L23" s="39"/>
      <c r="M23" s="39"/>
      <c r="N23" s="35"/>
      <c r="O23" s="35"/>
      <c r="P23" s="35"/>
      <c r="Q23" s="33"/>
      <c r="R23" s="33"/>
      <c r="S23" s="37"/>
      <c r="T23" s="37"/>
      <c r="U23" s="37"/>
      <c r="V23" s="38">
        <v>12</v>
      </c>
      <c r="W23" s="37"/>
      <c r="X23" s="33"/>
      <c r="Y23" s="36"/>
      <c r="Z23" s="33"/>
      <c r="AA23" s="33"/>
      <c r="AB23" s="35"/>
      <c r="AC23" s="35"/>
      <c r="AD23" s="35"/>
      <c r="AE23" s="33"/>
      <c r="AF23" s="33"/>
      <c r="AG23" s="33"/>
      <c r="AH23" s="39"/>
      <c r="AI23" s="39"/>
      <c r="AJ23" s="39"/>
      <c r="AK23" s="39"/>
      <c r="AL23" s="39"/>
      <c r="AM23" s="39"/>
      <c r="AN23" s="39"/>
      <c r="AO23" s="33"/>
    </row>
    <row r="24" spans="1:41" ht="22.5" customHeight="1" x14ac:dyDescent="0.15">
      <c r="A24" s="40">
        <v>21</v>
      </c>
      <c r="C24" s="33"/>
      <c r="D24" s="33"/>
      <c r="E24" s="33"/>
      <c r="F24" s="34"/>
      <c r="G24" s="34"/>
      <c r="H24" s="34"/>
      <c r="I24" s="34"/>
      <c r="J24" s="34"/>
      <c r="K24" s="33"/>
      <c r="L24" s="33"/>
      <c r="M24" s="33"/>
      <c r="N24" s="35"/>
      <c r="O24" s="35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5"/>
      <c r="AC24" s="35"/>
      <c r="AD24" s="35"/>
      <c r="AE24" s="33"/>
      <c r="AF24" s="36"/>
      <c r="AG24" s="36"/>
      <c r="AH24" s="33"/>
      <c r="AI24" s="39"/>
      <c r="AJ24" s="39"/>
      <c r="AK24" s="39"/>
      <c r="AL24" s="39"/>
      <c r="AM24" s="39"/>
      <c r="AN24" s="39"/>
      <c r="AO24" s="33"/>
    </row>
    <row r="25" spans="1:41" ht="22.5" customHeight="1" x14ac:dyDescent="0.15">
      <c r="A25" s="40">
        <v>22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5"/>
      <c r="O25" s="35"/>
      <c r="P25" s="35"/>
      <c r="Q25" s="33"/>
      <c r="R25" s="33"/>
      <c r="S25" s="36"/>
      <c r="T25" s="33"/>
      <c r="U25" s="33"/>
      <c r="V25" s="33"/>
      <c r="W25" s="33"/>
      <c r="X25" s="33"/>
      <c r="Y25" s="33"/>
      <c r="Z25" s="33"/>
      <c r="AA25" s="33"/>
      <c r="AB25" s="35"/>
      <c r="AC25" s="35"/>
      <c r="AD25" s="35"/>
      <c r="AE25" s="33"/>
      <c r="AF25" s="33"/>
      <c r="AG25" s="33"/>
      <c r="AH25" s="33"/>
      <c r="AI25" s="39"/>
      <c r="AJ25" s="39"/>
      <c r="AK25" s="39"/>
      <c r="AL25" s="39"/>
      <c r="AM25" s="39"/>
      <c r="AN25" s="39"/>
      <c r="AO25" s="33"/>
    </row>
    <row r="26" spans="1:41" ht="22.5" customHeight="1" x14ac:dyDescent="0.15">
      <c r="A26" s="40">
        <v>23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5"/>
      <c r="O26" s="35"/>
      <c r="P26" s="35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5"/>
      <c r="AC26" s="35"/>
      <c r="AD26" s="35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2017-10-14T08:37:16Z</dcterms:modified>
</cp:coreProperties>
</file>