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枚举" sheetId="2" r:id="rId2"/>
    <sheet name="形状描述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U18" i="1" l="1"/>
  <c r="F55" i="1" l="1"/>
  <c r="F56" i="1"/>
  <c r="F57" i="1"/>
  <c r="F54" i="1" l="1"/>
  <c r="F4" i="1" l="1"/>
  <c r="F5" i="1"/>
  <c r="F6" i="1"/>
  <c r="F7" i="1"/>
  <c r="F8" i="1"/>
  <c r="F9" i="1"/>
  <c r="F10" i="1"/>
  <c r="F11" i="1"/>
  <c r="F12" i="1"/>
  <c r="T37" i="3" l="1"/>
  <c r="N37" i="3"/>
  <c r="H37" i="3"/>
  <c r="T29" i="3"/>
  <c r="N29" i="3"/>
  <c r="H29" i="3"/>
  <c r="Z20" i="3"/>
  <c r="T20" i="3"/>
  <c r="N20" i="3"/>
  <c r="H20" i="3"/>
  <c r="T10" i="3"/>
  <c r="N10" i="3"/>
  <c r="H10" i="3"/>
  <c r="Z1" i="3"/>
  <c r="T1" i="3"/>
  <c r="N1" i="3"/>
  <c r="H1" i="3"/>
  <c r="O45" i="1" l="1"/>
  <c r="O46" i="1" s="1"/>
  <c r="O47" i="1" s="1"/>
  <c r="O48" i="1" s="1"/>
  <c r="O49" i="1" s="1"/>
  <c r="O50" i="1" s="1"/>
  <c r="O51" i="1" s="1"/>
  <c r="O52" i="1" s="1"/>
  <c r="O53" i="1" s="1"/>
  <c r="O35" i="1"/>
  <c r="O36" i="1" s="1"/>
  <c r="O37" i="1" s="1"/>
  <c r="O38" i="1" s="1"/>
  <c r="O39" i="1" s="1"/>
  <c r="O40" i="1" s="1"/>
  <c r="O41" i="1" s="1"/>
  <c r="O42" i="1" s="1"/>
  <c r="O43" i="1" s="1"/>
  <c r="O25" i="1"/>
  <c r="O26" i="1" s="1"/>
  <c r="O27" i="1" s="1"/>
  <c r="O28" i="1" s="1"/>
  <c r="O29" i="1" s="1"/>
  <c r="O30" i="1" s="1"/>
  <c r="O31" i="1" s="1"/>
  <c r="O32" i="1" s="1"/>
  <c r="O33" i="1" s="1"/>
  <c r="P34" i="1"/>
  <c r="P35" i="1" s="1"/>
  <c r="O15" i="1"/>
  <c r="O16" i="1" s="1"/>
  <c r="O17" i="1" s="1"/>
  <c r="O18" i="1" s="1"/>
  <c r="O19" i="1" s="1"/>
  <c r="O20" i="1" s="1"/>
  <c r="O21" i="1" s="1"/>
  <c r="O22" i="1" s="1"/>
  <c r="O23" i="1" s="1"/>
  <c r="P44" i="1"/>
  <c r="P45" i="1" s="1"/>
  <c r="P24" i="1"/>
  <c r="P25" i="1" s="1"/>
  <c r="P14" i="1"/>
  <c r="Q14" i="1" s="1"/>
  <c r="H14" i="1" s="1"/>
  <c r="P4" i="1"/>
  <c r="G4" i="1" s="1"/>
  <c r="O5" i="1"/>
  <c r="O6" i="1" s="1"/>
  <c r="O7" i="1" s="1"/>
  <c r="O8" i="1" s="1"/>
  <c r="O9" i="1" s="1"/>
  <c r="O10" i="1" s="1"/>
  <c r="O11" i="1" s="1"/>
  <c r="O12" i="1" s="1"/>
  <c r="O13" i="1" s="1"/>
  <c r="G14" i="1" l="1"/>
  <c r="P15" i="1"/>
  <c r="Q15" i="1" s="1"/>
  <c r="H15" i="1" s="1"/>
  <c r="Q4" i="1"/>
  <c r="H4" i="1" s="1"/>
  <c r="P5" i="1"/>
  <c r="P46" i="1"/>
  <c r="Q45" i="1"/>
  <c r="Q44" i="1"/>
  <c r="H44" i="1" s="1"/>
  <c r="G44" i="1"/>
  <c r="Q35" i="1"/>
  <c r="H35" i="1" s="1"/>
  <c r="P36" i="1"/>
  <c r="Q34" i="1"/>
  <c r="H34" i="1" s="1"/>
  <c r="G34" i="1"/>
  <c r="G35" i="1"/>
  <c r="P26" i="1"/>
  <c r="Q25" i="1"/>
  <c r="H25" i="1" s="1"/>
  <c r="Q24" i="1"/>
  <c r="H24" i="1" s="1"/>
  <c r="G25" i="1"/>
  <c r="G24" i="1"/>
  <c r="E15" i="1"/>
  <c r="E16" i="1"/>
  <c r="E17" i="1"/>
  <c r="E18" i="1"/>
  <c r="E19" i="1"/>
  <c r="E20" i="1"/>
  <c r="E21" i="1"/>
  <c r="E22" i="1"/>
  <c r="E23" i="1"/>
  <c r="E14" i="1"/>
  <c r="P16" i="1" l="1"/>
  <c r="P17" i="1" s="1"/>
  <c r="E30" i="1"/>
  <c r="F19" i="1"/>
  <c r="E26" i="1"/>
  <c r="F15" i="1"/>
  <c r="E33" i="1"/>
  <c r="F22" i="1"/>
  <c r="E29" i="1"/>
  <c r="F18" i="1"/>
  <c r="E25" i="1"/>
  <c r="F14" i="1"/>
  <c r="E32" i="1"/>
  <c r="F21" i="1"/>
  <c r="E28" i="1"/>
  <c r="F17" i="1"/>
  <c r="E24" i="1"/>
  <c r="F13" i="1"/>
  <c r="E31" i="1"/>
  <c r="F20" i="1"/>
  <c r="E27" i="1"/>
  <c r="F16" i="1"/>
  <c r="G15" i="1"/>
  <c r="P6" i="1"/>
  <c r="Q5" i="1"/>
  <c r="H5" i="1" s="1"/>
  <c r="G5" i="1"/>
  <c r="P47" i="1"/>
  <c r="Q46" i="1"/>
  <c r="H45" i="1"/>
  <c r="G45" i="1"/>
  <c r="P37" i="1"/>
  <c r="Q36" i="1"/>
  <c r="H36" i="1" s="1"/>
  <c r="P27" i="1"/>
  <c r="Q26" i="1"/>
  <c r="H26" i="1" s="1"/>
  <c r="G36" i="1"/>
  <c r="G26" i="1"/>
  <c r="Y6" i="1"/>
  <c r="G16" i="1" l="1"/>
  <c r="Q16" i="1"/>
  <c r="H16" i="1" s="1"/>
  <c r="E37" i="1"/>
  <c r="F26" i="1"/>
  <c r="E34" i="1"/>
  <c r="F23" i="1"/>
  <c r="E42" i="1"/>
  <c r="F31" i="1"/>
  <c r="E39" i="1"/>
  <c r="F28" i="1"/>
  <c r="E36" i="1"/>
  <c r="F25" i="1"/>
  <c r="E41" i="1"/>
  <c r="F30" i="1"/>
  <c r="E38" i="1"/>
  <c r="F27" i="1"/>
  <c r="E35" i="1"/>
  <c r="F24" i="1"/>
  <c r="E43" i="1"/>
  <c r="F32" i="1"/>
  <c r="E40" i="1"/>
  <c r="F29" i="1"/>
  <c r="P7" i="1"/>
  <c r="Q6" i="1"/>
  <c r="H6" i="1" s="1"/>
  <c r="G6" i="1"/>
  <c r="Q47" i="1"/>
  <c r="P48" i="1"/>
  <c r="H46" i="1"/>
  <c r="G46" i="1"/>
  <c r="Q37" i="1"/>
  <c r="H37" i="1" s="1"/>
  <c r="P38" i="1"/>
  <c r="Q27" i="1"/>
  <c r="H27" i="1" s="1"/>
  <c r="P28" i="1"/>
  <c r="G37" i="1"/>
  <c r="G27" i="1"/>
  <c r="Q17" i="1"/>
  <c r="H17" i="1" s="1"/>
  <c r="G17" i="1"/>
  <c r="P18" i="1"/>
  <c r="E45" i="1" l="1"/>
  <c r="F34" i="1"/>
  <c r="E51" i="1"/>
  <c r="F40" i="1"/>
  <c r="E49" i="1"/>
  <c r="F38" i="1"/>
  <c r="E44" i="1"/>
  <c r="F43" i="1" s="1"/>
  <c r="F33" i="1"/>
  <c r="E48" i="1"/>
  <c r="F37" i="1"/>
  <c r="E50" i="1"/>
  <c r="F39" i="1"/>
  <c r="E53" i="1"/>
  <c r="F42" i="1"/>
  <c r="E46" i="1"/>
  <c r="F35" i="1"/>
  <c r="E52" i="1"/>
  <c r="F41" i="1"/>
  <c r="E47" i="1"/>
  <c r="F46" i="1" s="1"/>
  <c r="F36" i="1"/>
  <c r="Q7" i="1"/>
  <c r="H7" i="1" s="1"/>
  <c r="G7" i="1"/>
  <c r="P8" i="1"/>
  <c r="P49" i="1"/>
  <c r="Q48" i="1"/>
  <c r="H47" i="1"/>
  <c r="G47" i="1"/>
  <c r="P39" i="1"/>
  <c r="Q38" i="1"/>
  <c r="H38" i="1" s="1"/>
  <c r="P29" i="1"/>
  <c r="Q28" i="1"/>
  <c r="H28" i="1" s="1"/>
  <c r="G38" i="1"/>
  <c r="G28" i="1"/>
  <c r="Q18" i="1"/>
  <c r="H18" i="1" s="1"/>
  <c r="P19" i="1"/>
  <c r="G18" i="1"/>
  <c r="F45" i="1" l="1"/>
  <c r="F49" i="1"/>
  <c r="F50" i="1"/>
  <c r="F51" i="1"/>
  <c r="F52" i="1"/>
  <c r="F53" i="1"/>
  <c r="F47" i="1"/>
  <c r="F48" i="1"/>
  <c r="F44" i="1"/>
  <c r="Q8" i="1"/>
  <c r="H8" i="1" s="1"/>
  <c r="G8" i="1"/>
  <c r="P9" i="1"/>
  <c r="P50" i="1"/>
  <c r="Q49" i="1"/>
  <c r="G48" i="1"/>
  <c r="H48" i="1"/>
  <c r="Q39" i="1"/>
  <c r="H39" i="1" s="1"/>
  <c r="P40" i="1"/>
  <c r="P30" i="1"/>
  <c r="Q29" i="1"/>
  <c r="H29" i="1" s="1"/>
  <c r="G39" i="1"/>
  <c r="G29" i="1"/>
  <c r="Q19" i="1"/>
  <c r="H19" i="1" s="1"/>
  <c r="G19" i="1"/>
  <c r="P20" i="1"/>
  <c r="Q9" i="1" l="1"/>
  <c r="H9" i="1" s="1"/>
  <c r="P10" i="1"/>
  <c r="G9" i="1"/>
  <c r="P51" i="1"/>
  <c r="Q50" i="1"/>
  <c r="H49" i="1"/>
  <c r="G49" i="1"/>
  <c r="P41" i="1"/>
  <c r="Q40" i="1"/>
  <c r="H40" i="1" s="1"/>
  <c r="P31" i="1"/>
  <c r="Q30" i="1"/>
  <c r="H30" i="1" s="1"/>
  <c r="G40" i="1"/>
  <c r="G30" i="1"/>
  <c r="Q20" i="1"/>
  <c r="H20" i="1" s="1"/>
  <c r="G20" i="1"/>
  <c r="P21" i="1"/>
  <c r="Q10" i="1" l="1"/>
  <c r="H10" i="1" s="1"/>
  <c r="P11" i="1"/>
  <c r="G10" i="1"/>
  <c r="Q51" i="1"/>
  <c r="P52" i="1"/>
  <c r="H50" i="1"/>
  <c r="G50" i="1"/>
  <c r="Q41" i="1"/>
  <c r="H41" i="1" s="1"/>
  <c r="P42" i="1"/>
  <c r="Q31" i="1"/>
  <c r="H31" i="1" s="1"/>
  <c r="P32" i="1"/>
  <c r="G41" i="1"/>
  <c r="G31" i="1"/>
  <c r="Q21" i="1"/>
  <c r="H21" i="1" s="1"/>
  <c r="G21" i="1"/>
  <c r="P22" i="1"/>
  <c r="Q11" i="1" l="1"/>
  <c r="H11" i="1" s="1"/>
  <c r="G11" i="1"/>
  <c r="P12" i="1"/>
  <c r="P53" i="1"/>
  <c r="Q53" i="1" s="1"/>
  <c r="Q52" i="1"/>
  <c r="H51" i="1"/>
  <c r="G51" i="1"/>
  <c r="P43" i="1"/>
  <c r="Q43" i="1" s="1"/>
  <c r="Q42" i="1"/>
  <c r="H42" i="1" s="1"/>
  <c r="P33" i="1"/>
  <c r="Q33" i="1" s="1"/>
  <c r="Q32" i="1"/>
  <c r="H32" i="1" s="1"/>
  <c r="G42" i="1"/>
  <c r="G32" i="1"/>
  <c r="P23" i="1"/>
  <c r="Q22" i="1"/>
  <c r="H22" i="1" s="1"/>
  <c r="G22" i="1"/>
  <c r="Q12" i="1" l="1"/>
  <c r="H12" i="1" s="1"/>
  <c r="P13" i="1"/>
  <c r="G12" i="1"/>
  <c r="G52" i="1"/>
  <c r="H52" i="1"/>
  <c r="H43" i="1"/>
  <c r="G43" i="1"/>
  <c r="H33" i="1"/>
  <c r="G33" i="1"/>
  <c r="Q23" i="1"/>
  <c r="H23" i="1" s="1"/>
  <c r="G23" i="1"/>
  <c r="G13" i="1" l="1"/>
  <c r="Q13" i="1"/>
  <c r="H13" i="1" s="1"/>
  <c r="H53" i="1"/>
  <c r="G53" i="1"/>
</calcChain>
</file>

<file path=xl/sharedStrings.xml><?xml version="1.0" encoding="utf-8"?>
<sst xmlns="http://schemas.openxmlformats.org/spreadsheetml/2006/main" count="270" uniqueCount="83">
  <si>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</si>
  <si>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</si>
  <si>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</si>
  <si>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</si>
  <si>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</si>
  <si>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</si>
  <si>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</si>
  <si>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</si>
  <si>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</si>
  <si>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</si>
  <si>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</si>
  <si>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</si>
  <si>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</si>
  <si>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</si>
  <si>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</si>
  <si>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</si>
  <si>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</si>
  <si>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</si>
  <si>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</si>
  <si>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</si>
  <si>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</si>
  <si>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SD.DG</t>
  </si>
  <si>
    <t>GS.DG</t>
  </si>
  <si>
    <t>RSN</t>
  </si>
  <si>
    <t>GHS.50</t>
  </si>
  <si>
    <t>增加实弹伤害</t>
  </si>
  <si>
    <t>增加光束伤害</t>
  </si>
  <si>
    <t>近战吸血</t>
  </si>
  <si>
    <t>远程吸血</t>
  </si>
  <si>
    <t>生命值增加</t>
    <phoneticPr fontId="1" type="noConversion"/>
  </si>
  <si>
    <t>DE.P</t>
    <phoneticPr fontId="1" type="noConversion"/>
  </si>
  <si>
    <t>消耗下限（合成）</t>
  </si>
  <si>
    <t>消耗下限（自然产出）</t>
  </si>
  <si>
    <t>消耗上限</t>
  </si>
  <si>
    <t>RSN</t>
    <phoneticPr fontId="1" type="noConversion"/>
  </si>
  <si>
    <t>RSN</t>
    <phoneticPr fontId="1" type="noConversion"/>
  </si>
  <si>
    <t>GHS.50</t>
    <phoneticPr fontId="1" type="noConversion"/>
  </si>
  <si>
    <t>DE.P</t>
    <phoneticPr fontId="1" type="noConversion"/>
  </si>
  <si>
    <t>SD.DG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</si>
  <si>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</si>
  <si>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</si>
  <si>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</si>
  <si>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</si>
  <si>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</si>
  <si>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</si>
  <si>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</si>
  <si>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</si>
  <si>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</si>
  <si>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GHS.50</t>
    <phoneticPr fontId="1" type="noConversion"/>
  </si>
  <si>
    <t>FF0000FF</t>
  </si>
  <si>
    <t>FFD811FF</t>
  </si>
  <si>
    <t>FF7A7AFF</t>
  </si>
  <si>
    <t>GS.DG</t>
    <phoneticPr fontId="1" type="noConversion"/>
  </si>
  <si>
    <t>costDownwards</t>
    <phoneticPr fontId="1" type="noConversion"/>
  </si>
  <si>
    <t>costUpwards</t>
    <phoneticPr fontId="1" type="noConversion"/>
  </si>
  <si>
    <t>升级对应ID</t>
    <phoneticPr fontId="1" type="noConversion"/>
  </si>
  <si>
    <t>ulong</t>
    <phoneticPr fontId="1" type="noConversion"/>
  </si>
  <si>
    <t>upgradeId</t>
    <phoneticPr fontId="1" type="noConversion"/>
  </si>
  <si>
    <t>C95B1FFF</t>
  </si>
  <si>
    <t>YoRHa.Type B</t>
    <phoneticPr fontId="1" type="noConversion"/>
  </si>
  <si>
    <t>YoRHa.Type B</t>
    <phoneticPr fontId="1" type="noConversion"/>
  </si>
  <si>
    <t>连接测试</t>
    <phoneticPr fontId="1" type="noConversion"/>
  </si>
  <si>
    <t>76B7FFFF</t>
  </si>
  <si>
    <t>0;0;0;0;0;1;2;1;0;0;1;3;0;0;0;0|3;1;0;0;1;2;1;0;0;0;1;0;0;0;0;0|0;1;0;0;0;2;1;0;0;1;0;0;0;0;3;0|0;0;0;0;0;3;1;0;1;2;0;0;0;0;0;0|0;1;0;0;0;2;3;0;0;1;0;0;0;0;0;0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</si>
  <si>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</si>
  <si>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</si>
  <si>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</si>
  <si>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</si>
  <si>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</si>
  <si>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</si>
  <si>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</si>
  <si>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</si>
  <si>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0;0;0;0;0;0;0;0;0;2;1;3;0;0;0;0|0;2;0;0;0;1;0;0;0;3;0;0;0;0;0;0|0;0;0;0;0;0;3;0;0;0;1;0;0;0;2;0|0;0;0;0;0;0;0;0;0;3;1;2;0;0;0;0</t>
  </si>
  <si>
    <t>绑定技能</t>
    <phoneticPr fontId="1" type="noConversion"/>
  </si>
  <si>
    <t>ulong</t>
    <phoneticPr fontId="1" type="noConversion"/>
  </si>
  <si>
    <t>bindSkill</t>
    <phoneticPr fontId="1" type="noConversion"/>
  </si>
  <si>
    <t>属性加成</t>
    <phoneticPr fontId="1" type="noConversion"/>
  </si>
  <si>
    <t>propertyAddition</t>
    <phoneticPr fontId="1" type="noConversion"/>
  </si>
  <si>
    <t>string[|:]</t>
    <phoneticPr fontId="1" type="noConversion"/>
  </si>
  <si>
    <t>p_pat:1</t>
    <phoneticPr fontId="1" type="noConversion"/>
  </si>
  <si>
    <t>p_pat:1</t>
    <phoneticPr fontId="1" type="noConversion"/>
  </si>
  <si>
    <t>p_pat:1</t>
    <phoneticPr fontId="1" type="noConversion"/>
  </si>
  <si>
    <t>p_pat:1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</si>
</sst>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left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</cellXfs>
  <cellStyles count="1">
    <cellStyle name="常规" xfId="0" builtinId="0"/>
  </cellStyles>
  <dxfs count="16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409574</xdr:colOff>
      <xdr:row>8</xdr:row>
      <xdr:rowOff>28576</xdr:rowOff>
    </xdr:from>
    <xdr:to>
      <xdr:col>26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0</xdr:row>
          <xdr:rowOff>104775</xdr:rowOff>
        </xdr:from>
        <xdr:to>
          <xdr:col>45</xdr:col>
          <xdr:colOff>171450</xdr:colOff>
          <xdr:row>3</xdr:row>
          <xdr:rowOff>47625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57" totalsRowShown="0" headerRowDxfId="15" dataDxfId="14">
  <autoFilter ref="A3:K57"/>
  <tableColumns count="11">
    <tableColumn id="1" name="id" dataDxfId="13"/>
    <tableColumn id="2" name="name" dataDxfId="12"/>
    <tableColumn id="3" name="descrip" dataDxfId="11"/>
    <tableColumn id="9" name="color" dataDxfId="10"/>
    <tableColumn id="4" name="level" dataDxfId="9"/>
    <tableColumn id="10" name="upgradeId" dataDxfId="8">
      <calculatedColumnFormula>IF(表1[[#This Row],[level]]+1=E5,A5,"")</calculatedColumnFormula>
    </tableColumn>
    <tableColumn id="6" name="costDownwards" dataDxfId="7">
      <calculatedColumnFormula>ROUND(P4,0)</calculatedColumnFormula>
    </tableColumn>
    <tableColumn id="7" name="costUpwards" dataDxfId="6">
      <calculatedColumnFormula>ROUND(Q4,0)</calculatedColumnFormula>
    </tableColumn>
    <tableColumn id="11" name="bindSkill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57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5" sqref="H15"/>
    </sheetView>
  </sheetViews>
  <sheetFormatPr defaultRowHeight="16.5" x14ac:dyDescent="0.3"/>
  <cols>
    <col min="1" max="1" width="8.5" style="2" bestFit="1" customWidth="1"/>
    <col min="2" max="2" width="9.125" style="2" bestFit="1" customWidth="1"/>
    <col min="3" max="3" width="13.25" style="2" bestFit="1" customWidth="1"/>
    <col min="4" max="4" width="13.25" style="2" customWidth="1"/>
    <col min="5" max="5" width="8.125" style="2" bestFit="1" customWidth="1"/>
    <col min="6" max="6" width="13.75" style="2" bestFit="1" customWidth="1"/>
    <col min="7" max="7" width="16.375" style="2" bestFit="1" customWidth="1"/>
    <col min="8" max="8" width="19.625" style="2" bestFit="1" customWidth="1"/>
    <col min="9" max="9" width="19.625" style="2" customWidth="1"/>
    <col min="10" max="10" width="28.625" style="2" bestFit="1" customWidth="1"/>
    <col min="11" max="11" width="255.625" style="2" bestFit="1" customWidth="1"/>
    <col min="12" max="13" width="9.75" style="2" customWidth="1"/>
    <col min="14" max="14" width="9.25" style="2" bestFit="1" customWidth="1"/>
    <col min="15" max="15" width="17.5" style="2" bestFit="1" customWidth="1"/>
    <col min="16" max="16" width="21.625" style="2" bestFit="1" customWidth="1"/>
    <col min="17" max="17" width="9.25" style="2" bestFit="1" customWidth="1"/>
    <col min="18" max="21" width="9" style="2"/>
    <col min="22" max="22" width="5.5" style="2" bestFit="1" customWidth="1"/>
    <col min="23" max="24" width="4" style="2" bestFit="1" customWidth="1"/>
    <col min="25" max="25" width="6.25" style="2" bestFit="1" customWidth="1"/>
    <col min="26" max="16384" width="9" style="2"/>
  </cols>
  <sheetData>
    <row r="1" spans="1:25" x14ac:dyDescent="0.3">
      <c r="A1" s="3" t="s">
        <v>0</v>
      </c>
      <c r="B1" s="3" t="s">
        <v>3</v>
      </c>
      <c r="C1" s="3" t="s">
        <v>6</v>
      </c>
      <c r="D1" s="3" t="s">
        <v>44</v>
      </c>
      <c r="E1" s="3" t="s">
        <v>8</v>
      </c>
      <c r="F1" s="3" t="s">
        <v>55</v>
      </c>
      <c r="G1" s="3" t="s">
        <v>13</v>
      </c>
      <c r="H1" s="3" t="s">
        <v>14</v>
      </c>
      <c r="I1" s="3" t="s">
        <v>73</v>
      </c>
      <c r="J1" s="3" t="s">
        <v>76</v>
      </c>
      <c r="K1" s="3" t="s">
        <v>19</v>
      </c>
      <c r="L1" s="5"/>
      <c r="M1" s="5"/>
      <c r="N1" s="11" t="s">
        <v>11</v>
      </c>
      <c r="O1" s="11" t="s">
        <v>31</v>
      </c>
      <c r="P1" s="11" t="s">
        <v>32</v>
      </c>
      <c r="Q1" s="11" t="s">
        <v>33</v>
      </c>
    </row>
    <row r="2" spans="1:25" x14ac:dyDescent="0.3">
      <c r="A2" s="3" t="s">
        <v>1</v>
      </c>
      <c r="B2" s="3" t="s">
        <v>4</v>
      </c>
      <c r="C2" s="3" t="s">
        <v>4</v>
      </c>
      <c r="D2" s="3" t="s">
        <v>45</v>
      </c>
      <c r="E2" s="3" t="s">
        <v>9</v>
      </c>
      <c r="F2" s="3" t="s">
        <v>56</v>
      </c>
      <c r="G2" s="3" t="s">
        <v>12</v>
      </c>
      <c r="H2" s="3" t="s">
        <v>12</v>
      </c>
      <c r="I2" s="3" t="s">
        <v>74</v>
      </c>
      <c r="J2" s="3" t="s">
        <v>78</v>
      </c>
      <c r="K2" s="3" t="s">
        <v>43</v>
      </c>
      <c r="L2" s="5"/>
      <c r="M2" s="5"/>
      <c r="N2" s="12"/>
      <c r="O2" s="12"/>
      <c r="P2" s="12"/>
      <c r="Q2" s="12"/>
    </row>
    <row r="3" spans="1:25" x14ac:dyDescent="0.3">
      <c r="A3" s="2" t="s">
        <v>2</v>
      </c>
      <c r="B3" s="2" t="s">
        <v>5</v>
      </c>
      <c r="C3" s="2" t="s">
        <v>7</v>
      </c>
      <c r="D3" s="2" t="s">
        <v>46</v>
      </c>
      <c r="E3" s="2" t="s">
        <v>10</v>
      </c>
      <c r="F3" s="2" t="s">
        <v>57</v>
      </c>
      <c r="G3" s="2" t="s">
        <v>53</v>
      </c>
      <c r="H3" s="2" t="s">
        <v>54</v>
      </c>
      <c r="I3" s="2" t="s">
        <v>75</v>
      </c>
      <c r="J3" s="2" t="s">
        <v>77</v>
      </c>
      <c r="K3" s="2" t="s">
        <v>20</v>
      </c>
      <c r="N3" s="13"/>
      <c r="O3" s="13"/>
      <c r="P3" s="13"/>
      <c r="Q3" s="13"/>
    </row>
    <row r="4" spans="1:25" x14ac:dyDescent="0.3">
      <c r="A4" s="2">
        <v>100001</v>
      </c>
      <c r="B4" s="2" t="s">
        <v>21</v>
      </c>
      <c r="C4" s="2" t="s">
        <v>25</v>
      </c>
      <c r="D4" s="2" t="s">
        <v>47</v>
      </c>
      <c r="E4" s="2">
        <v>1</v>
      </c>
      <c r="F4" s="2">
        <f>IF(表1[[#This Row],[level]]+1=E5,A5,"")</f>
        <v>100002</v>
      </c>
      <c r="G4" s="2">
        <f t="shared" ref="G4:G35" si="0">ROUND(P4,0)</f>
        <v>5</v>
      </c>
      <c r="H4" s="2">
        <f t="shared" ref="H4:H35" si="1">ROUND(Q4,0)</f>
        <v>12</v>
      </c>
      <c r="I4" s="2">
        <v>1000002</v>
      </c>
      <c r="K4" s="2" t="s">
        <v>39</v>
      </c>
      <c r="N4" s="4">
        <v>7</v>
      </c>
      <c r="O4" s="6">
        <v>5</v>
      </c>
      <c r="P4" s="4">
        <f>O4</f>
        <v>5</v>
      </c>
      <c r="Q4" s="4">
        <f>N4+P4</f>
        <v>12</v>
      </c>
    </row>
    <row r="5" spans="1:25" x14ac:dyDescent="0.3">
      <c r="A5" s="2">
        <v>100002</v>
      </c>
      <c r="B5" s="2" t="s">
        <v>21</v>
      </c>
      <c r="C5" s="2" t="s">
        <v>25</v>
      </c>
      <c r="D5" s="2" t="s">
        <v>47</v>
      </c>
      <c r="E5" s="2">
        <v>2</v>
      </c>
      <c r="F5" s="2">
        <f>IF(表1[[#This Row],[level]]+1=E6,A6,"")</f>
        <v>100003</v>
      </c>
      <c r="G5" s="2">
        <f t="shared" si="0"/>
        <v>10</v>
      </c>
      <c r="H5" s="2">
        <f t="shared" si="1"/>
        <v>17</v>
      </c>
      <c r="I5" s="2">
        <v>1000002</v>
      </c>
      <c r="K5" s="2" t="s">
        <v>63</v>
      </c>
      <c r="N5" s="4">
        <v>7</v>
      </c>
      <c r="O5" s="2">
        <f>O4+N5/2</f>
        <v>8.5</v>
      </c>
      <c r="P5" s="4">
        <f>P4+N4/2+1</f>
        <v>9.5</v>
      </c>
      <c r="Q5" s="4">
        <f t="shared" ref="Q5:Q13" si="2">N5+P5</f>
        <v>16.5</v>
      </c>
      <c r="V5" s="2" t="s">
        <v>15</v>
      </c>
      <c r="W5" s="2" t="s">
        <v>16</v>
      </c>
      <c r="X5" s="2" t="s">
        <v>17</v>
      </c>
      <c r="Y5" s="2" t="s">
        <v>18</v>
      </c>
    </row>
    <row r="6" spans="1:25" x14ac:dyDescent="0.3">
      <c r="A6" s="2">
        <v>100003</v>
      </c>
      <c r="B6" s="2" t="s">
        <v>21</v>
      </c>
      <c r="C6" s="2" t="s">
        <v>25</v>
      </c>
      <c r="D6" s="2" t="s">
        <v>47</v>
      </c>
      <c r="E6" s="2">
        <v>3</v>
      </c>
      <c r="F6" s="2">
        <f>IF(表1[[#This Row],[level]]+1=E7,A7,"")</f>
        <v>100004</v>
      </c>
      <c r="G6" s="2">
        <f t="shared" si="0"/>
        <v>14</v>
      </c>
      <c r="H6" s="2">
        <f t="shared" si="1"/>
        <v>21</v>
      </c>
      <c r="I6" s="2">
        <v>1000002</v>
      </c>
      <c r="K6" s="2" t="s">
        <v>63</v>
      </c>
      <c r="N6" s="4">
        <v>7</v>
      </c>
      <c r="O6" s="4">
        <f t="shared" ref="O6:O13" si="3">O5+N6/2</f>
        <v>12</v>
      </c>
      <c r="P6" s="4">
        <f t="shared" ref="P6:P13" si="4">P5+N5/2+1</f>
        <v>14</v>
      </c>
      <c r="Q6" s="4">
        <f t="shared" si="2"/>
        <v>21</v>
      </c>
      <c r="V6" s="2">
        <v>7</v>
      </c>
      <c r="W6" s="2">
        <v>41</v>
      </c>
      <c r="X6" s="2">
        <v>41</v>
      </c>
      <c r="Y6" s="2">
        <f>AVERAGE(W6:X6)+V6/2</f>
        <v>44.5</v>
      </c>
    </row>
    <row r="7" spans="1:25" x14ac:dyDescent="0.3">
      <c r="A7" s="2">
        <v>100004</v>
      </c>
      <c r="B7" s="2" t="s">
        <v>21</v>
      </c>
      <c r="C7" s="2" t="s">
        <v>25</v>
      </c>
      <c r="D7" s="2" t="s">
        <v>47</v>
      </c>
      <c r="E7" s="2">
        <v>4</v>
      </c>
      <c r="F7" s="2">
        <f>IF(表1[[#This Row],[level]]+1=E8,A8,"")</f>
        <v>100005</v>
      </c>
      <c r="G7" s="2">
        <f t="shared" si="0"/>
        <v>19</v>
      </c>
      <c r="H7" s="2">
        <f t="shared" si="1"/>
        <v>26</v>
      </c>
      <c r="I7" s="2">
        <v>1000002</v>
      </c>
      <c r="K7" s="2" t="s">
        <v>63</v>
      </c>
      <c r="N7" s="4">
        <v>7</v>
      </c>
      <c r="O7" s="4">
        <f t="shared" si="3"/>
        <v>15.5</v>
      </c>
      <c r="P7" s="4">
        <f t="shared" si="4"/>
        <v>18.5</v>
      </c>
      <c r="Q7" s="4">
        <f t="shared" si="2"/>
        <v>25.5</v>
      </c>
    </row>
    <row r="8" spans="1:25" x14ac:dyDescent="0.3">
      <c r="A8" s="2">
        <v>100005</v>
      </c>
      <c r="B8" s="2" t="s">
        <v>21</v>
      </c>
      <c r="C8" s="2" t="s">
        <v>25</v>
      </c>
      <c r="D8" s="2" t="s">
        <v>47</v>
      </c>
      <c r="E8" s="2">
        <v>5</v>
      </c>
      <c r="F8" s="2">
        <f>IF(表1[[#This Row],[level]]+1=E9,A9,"")</f>
        <v>100006</v>
      </c>
      <c r="G8" s="2">
        <f t="shared" si="0"/>
        <v>23</v>
      </c>
      <c r="H8" s="2">
        <f t="shared" si="1"/>
        <v>30</v>
      </c>
      <c r="I8" s="2">
        <v>1000002</v>
      </c>
      <c r="K8" s="2" t="s">
        <v>39</v>
      </c>
      <c r="N8" s="4">
        <v>7</v>
      </c>
      <c r="O8" s="4">
        <f t="shared" si="3"/>
        <v>19</v>
      </c>
      <c r="P8" s="4">
        <f t="shared" si="4"/>
        <v>23</v>
      </c>
      <c r="Q8" s="4">
        <f t="shared" si="2"/>
        <v>30</v>
      </c>
    </row>
    <row r="9" spans="1:25" x14ac:dyDescent="0.3">
      <c r="A9" s="2">
        <v>100006</v>
      </c>
      <c r="B9" s="2" t="s">
        <v>21</v>
      </c>
      <c r="C9" s="2" t="s">
        <v>25</v>
      </c>
      <c r="D9" s="2" t="s">
        <v>47</v>
      </c>
      <c r="E9" s="2">
        <v>6</v>
      </c>
      <c r="F9" s="2">
        <f>IF(表1[[#This Row],[level]]+1=E10,A10,"")</f>
        <v>100007</v>
      </c>
      <c r="G9" s="2">
        <f t="shared" si="0"/>
        <v>28</v>
      </c>
      <c r="H9" s="2">
        <f t="shared" si="1"/>
        <v>35</v>
      </c>
      <c r="I9" s="2">
        <v>1000002</v>
      </c>
      <c r="K9" s="2" t="s">
        <v>39</v>
      </c>
      <c r="N9" s="4">
        <v>7</v>
      </c>
      <c r="O9" s="4">
        <f t="shared" si="3"/>
        <v>22.5</v>
      </c>
      <c r="P9" s="4">
        <f t="shared" si="4"/>
        <v>27.5</v>
      </c>
      <c r="Q9" s="4">
        <f t="shared" si="2"/>
        <v>34.5</v>
      </c>
    </row>
    <row r="10" spans="1:25" x14ac:dyDescent="0.3">
      <c r="A10" s="2">
        <v>100007</v>
      </c>
      <c r="B10" s="2" t="s">
        <v>21</v>
      </c>
      <c r="C10" s="2" t="s">
        <v>25</v>
      </c>
      <c r="D10" s="2" t="s">
        <v>47</v>
      </c>
      <c r="E10" s="2">
        <v>7</v>
      </c>
      <c r="F10" s="2">
        <f>IF(表1[[#This Row],[level]]+1=E11,A11,"")</f>
        <v>100008</v>
      </c>
      <c r="G10" s="2">
        <f t="shared" si="0"/>
        <v>32</v>
      </c>
      <c r="H10" s="2">
        <f t="shared" si="1"/>
        <v>39</v>
      </c>
      <c r="I10" s="2">
        <v>1000002</v>
      </c>
      <c r="K10" s="2" t="s">
        <v>39</v>
      </c>
      <c r="N10" s="4">
        <v>7</v>
      </c>
      <c r="O10" s="4">
        <f t="shared" si="3"/>
        <v>26</v>
      </c>
      <c r="P10" s="4">
        <f t="shared" si="4"/>
        <v>32</v>
      </c>
      <c r="Q10" s="4">
        <f t="shared" si="2"/>
        <v>39</v>
      </c>
    </row>
    <row r="11" spans="1:25" x14ac:dyDescent="0.3">
      <c r="A11" s="2">
        <v>100008</v>
      </c>
      <c r="B11" s="2" t="s">
        <v>21</v>
      </c>
      <c r="C11" s="2" t="s">
        <v>25</v>
      </c>
      <c r="D11" s="2" t="s">
        <v>47</v>
      </c>
      <c r="E11" s="2">
        <v>8</v>
      </c>
      <c r="F11" s="2">
        <f>IF(表1[[#This Row],[level]]+1=E12,A12,"")</f>
        <v>100009</v>
      </c>
      <c r="G11" s="2">
        <f t="shared" si="0"/>
        <v>37</v>
      </c>
      <c r="H11" s="2">
        <f t="shared" si="1"/>
        <v>44</v>
      </c>
      <c r="I11" s="2">
        <v>1000002</v>
      </c>
      <c r="K11" s="2" t="s">
        <v>39</v>
      </c>
      <c r="N11" s="4">
        <v>7</v>
      </c>
      <c r="O11" s="4">
        <f t="shared" si="3"/>
        <v>29.5</v>
      </c>
      <c r="P11" s="4">
        <f t="shared" si="4"/>
        <v>36.5</v>
      </c>
      <c r="Q11" s="4">
        <f t="shared" si="2"/>
        <v>43.5</v>
      </c>
    </row>
    <row r="12" spans="1:25" x14ac:dyDescent="0.3">
      <c r="A12" s="2">
        <v>100009</v>
      </c>
      <c r="B12" s="2" t="s">
        <v>21</v>
      </c>
      <c r="C12" s="2" t="s">
        <v>25</v>
      </c>
      <c r="D12" s="2" t="s">
        <v>47</v>
      </c>
      <c r="E12" s="2">
        <v>9</v>
      </c>
      <c r="F12" s="2">
        <f>IF(表1[[#This Row],[level]]+1=E13,A13,"")</f>
        <v>100010</v>
      </c>
      <c r="G12" s="2">
        <f t="shared" si="0"/>
        <v>41</v>
      </c>
      <c r="H12" s="2">
        <f t="shared" si="1"/>
        <v>48</v>
      </c>
      <c r="I12" s="2">
        <v>1000002</v>
      </c>
      <c r="K12" s="2" t="s">
        <v>64</v>
      </c>
      <c r="N12" s="4">
        <v>7</v>
      </c>
      <c r="O12" s="4">
        <f t="shared" si="3"/>
        <v>33</v>
      </c>
      <c r="P12" s="4">
        <f t="shared" si="4"/>
        <v>41</v>
      </c>
      <c r="Q12" s="4">
        <f t="shared" si="2"/>
        <v>48</v>
      </c>
    </row>
    <row r="13" spans="1:25" x14ac:dyDescent="0.3">
      <c r="A13" s="2">
        <v>100010</v>
      </c>
      <c r="B13" s="2" t="s">
        <v>21</v>
      </c>
      <c r="C13" s="2" t="s">
        <v>25</v>
      </c>
      <c r="D13" s="2" t="s">
        <v>47</v>
      </c>
      <c r="E13" s="2">
        <v>10</v>
      </c>
      <c r="F13" s="2" t="str">
        <f>IF(表1[[#This Row],[level]]+1=E14,A14,"")</f>
        <v/>
      </c>
      <c r="G13" s="2">
        <f t="shared" si="0"/>
        <v>46</v>
      </c>
      <c r="H13" s="2">
        <f t="shared" si="1"/>
        <v>53</v>
      </c>
      <c r="I13" s="2">
        <v>1000002</v>
      </c>
      <c r="K13" s="2" t="s">
        <v>39</v>
      </c>
      <c r="N13" s="4">
        <v>7</v>
      </c>
      <c r="O13" s="4">
        <f t="shared" si="3"/>
        <v>36.5</v>
      </c>
      <c r="P13" s="4">
        <f t="shared" si="4"/>
        <v>45.5</v>
      </c>
      <c r="Q13" s="4">
        <f t="shared" si="2"/>
        <v>52.5</v>
      </c>
    </row>
    <row r="14" spans="1:25" x14ac:dyDescent="0.3">
      <c r="A14" s="2">
        <v>100011</v>
      </c>
      <c r="B14" s="2" t="s">
        <v>22</v>
      </c>
      <c r="C14" s="2" t="s">
        <v>26</v>
      </c>
      <c r="D14" s="2" t="s">
        <v>50</v>
      </c>
      <c r="E14" s="2">
        <f>E4</f>
        <v>1</v>
      </c>
      <c r="F14" s="2">
        <f>IF(表1[[#This Row],[level]]+1=E15,A15,"")</f>
        <v>100012</v>
      </c>
      <c r="G14" s="2">
        <f t="shared" si="0"/>
        <v>6</v>
      </c>
      <c r="H14" s="2">
        <f t="shared" si="1"/>
        <v>14</v>
      </c>
      <c r="I14" s="2">
        <v>1000002</v>
      </c>
      <c r="K14" s="2" t="s">
        <v>65</v>
      </c>
      <c r="N14" s="4">
        <v>8</v>
      </c>
      <c r="O14" s="6">
        <v>6</v>
      </c>
      <c r="P14" s="4">
        <f>O14</f>
        <v>6</v>
      </c>
      <c r="Q14" s="4">
        <f>N14+P14</f>
        <v>14</v>
      </c>
    </row>
    <row r="15" spans="1:25" x14ac:dyDescent="0.3">
      <c r="A15" s="2">
        <v>100012</v>
      </c>
      <c r="B15" s="2" t="s">
        <v>22</v>
      </c>
      <c r="C15" s="2" t="s">
        <v>26</v>
      </c>
      <c r="D15" s="2" t="s">
        <v>50</v>
      </c>
      <c r="E15" s="2">
        <f t="shared" ref="E15:E53" si="5">E5</f>
        <v>2</v>
      </c>
      <c r="F15" s="2">
        <f>IF(表1[[#This Row],[level]]+1=E16,A16,"")</f>
        <v>100013</v>
      </c>
      <c r="G15" s="2">
        <f t="shared" si="0"/>
        <v>11</v>
      </c>
      <c r="H15" s="2">
        <f t="shared" si="1"/>
        <v>19</v>
      </c>
      <c r="I15" s="2">
        <v>1000002</v>
      </c>
      <c r="K15" s="2" t="s">
        <v>65</v>
      </c>
      <c r="N15" s="4">
        <v>8</v>
      </c>
      <c r="O15" s="2">
        <f>O14+N15/2</f>
        <v>10</v>
      </c>
      <c r="P15" s="4">
        <f>P14+N14/2+1</f>
        <v>11</v>
      </c>
      <c r="Q15" s="4">
        <f t="shared" ref="Q15:Q23" si="6">N15+P15</f>
        <v>19</v>
      </c>
    </row>
    <row r="16" spans="1:25" x14ac:dyDescent="0.3">
      <c r="A16" s="2">
        <v>100013</v>
      </c>
      <c r="B16" s="2" t="s">
        <v>22</v>
      </c>
      <c r="C16" s="2" t="s">
        <v>26</v>
      </c>
      <c r="D16" s="2" t="s">
        <v>50</v>
      </c>
      <c r="E16" s="2">
        <f t="shared" si="5"/>
        <v>3</v>
      </c>
      <c r="F16" s="2">
        <f>IF(表1[[#This Row],[level]]+1=E17,A17,"")</f>
        <v>100014</v>
      </c>
      <c r="G16" s="2">
        <f t="shared" si="0"/>
        <v>16</v>
      </c>
      <c r="H16" s="2">
        <f t="shared" si="1"/>
        <v>24</v>
      </c>
      <c r="I16" s="2">
        <v>1000002</v>
      </c>
      <c r="K16" s="2" t="s">
        <v>66</v>
      </c>
      <c r="N16" s="4">
        <v>8</v>
      </c>
      <c r="O16" s="4">
        <f t="shared" ref="O16:O23" si="7">O15+N16/2</f>
        <v>14</v>
      </c>
      <c r="P16" s="4">
        <f t="shared" ref="P16:P23" si="8">P15+N15/2+1</f>
        <v>16</v>
      </c>
      <c r="Q16" s="4">
        <f t="shared" si="6"/>
        <v>24</v>
      </c>
    </row>
    <row r="17" spans="1:21" x14ac:dyDescent="0.3">
      <c r="A17" s="2">
        <v>100014</v>
      </c>
      <c r="B17" s="2" t="s">
        <v>22</v>
      </c>
      <c r="C17" s="2" t="s">
        <v>26</v>
      </c>
      <c r="D17" s="2" t="s">
        <v>50</v>
      </c>
      <c r="E17" s="2">
        <f t="shared" si="5"/>
        <v>4</v>
      </c>
      <c r="F17" s="2">
        <f>IF(表1[[#This Row],[level]]+1=E18,A18,"")</f>
        <v>100015</v>
      </c>
      <c r="G17" s="2">
        <f t="shared" si="0"/>
        <v>21</v>
      </c>
      <c r="H17" s="2">
        <f t="shared" si="1"/>
        <v>29</v>
      </c>
      <c r="I17" s="2">
        <v>1000002</v>
      </c>
      <c r="K17" s="2" t="s">
        <v>65</v>
      </c>
      <c r="N17" s="4">
        <v>8</v>
      </c>
      <c r="O17" s="4">
        <f t="shared" si="7"/>
        <v>18</v>
      </c>
      <c r="P17" s="4">
        <f t="shared" si="8"/>
        <v>21</v>
      </c>
      <c r="Q17" s="4">
        <f t="shared" si="6"/>
        <v>29</v>
      </c>
    </row>
    <row r="18" spans="1:21" x14ac:dyDescent="0.3">
      <c r="A18" s="2">
        <v>100015</v>
      </c>
      <c r="B18" s="2" t="s">
        <v>22</v>
      </c>
      <c r="C18" s="2" t="s">
        <v>26</v>
      </c>
      <c r="D18" s="2" t="s">
        <v>50</v>
      </c>
      <c r="E18" s="2">
        <f t="shared" si="5"/>
        <v>5</v>
      </c>
      <c r="F18" s="2">
        <f>IF(表1[[#This Row],[level]]+1=E19,A19,"")</f>
        <v>100016</v>
      </c>
      <c r="G18" s="2">
        <f t="shared" si="0"/>
        <v>26</v>
      </c>
      <c r="H18" s="2">
        <f t="shared" si="1"/>
        <v>34</v>
      </c>
      <c r="I18" s="2">
        <v>1000002</v>
      </c>
      <c r="K18" s="2" t="s">
        <v>65</v>
      </c>
      <c r="N18" s="4">
        <v>8</v>
      </c>
      <c r="O18" s="4">
        <f t="shared" si="7"/>
        <v>22</v>
      </c>
      <c r="P18" s="4">
        <f t="shared" si="8"/>
        <v>26</v>
      </c>
      <c r="Q18" s="4">
        <f t="shared" si="6"/>
        <v>34</v>
      </c>
      <c r="U18" s="2">
        <f>5+7/2</f>
        <v>8.5</v>
      </c>
    </row>
    <row r="19" spans="1:21" x14ac:dyDescent="0.3">
      <c r="A19" s="2">
        <v>100016</v>
      </c>
      <c r="B19" s="2" t="s">
        <v>22</v>
      </c>
      <c r="C19" s="2" t="s">
        <v>26</v>
      </c>
      <c r="D19" s="2" t="s">
        <v>50</v>
      </c>
      <c r="E19" s="2">
        <f t="shared" si="5"/>
        <v>6</v>
      </c>
      <c r="F19" s="2">
        <f>IF(表1[[#This Row],[level]]+1=E20,A20,"")</f>
        <v>100017</v>
      </c>
      <c r="G19" s="2">
        <f t="shared" si="0"/>
        <v>31</v>
      </c>
      <c r="H19" s="2">
        <f t="shared" si="1"/>
        <v>39</v>
      </c>
      <c r="I19" s="2">
        <v>1000002</v>
      </c>
      <c r="K19" s="2" t="s">
        <v>65</v>
      </c>
      <c r="N19" s="4">
        <v>8</v>
      </c>
      <c r="O19" s="4">
        <f t="shared" si="7"/>
        <v>26</v>
      </c>
      <c r="P19" s="4">
        <f t="shared" si="8"/>
        <v>31</v>
      </c>
      <c r="Q19" s="4">
        <f t="shared" si="6"/>
        <v>39</v>
      </c>
    </row>
    <row r="20" spans="1:21" x14ac:dyDescent="0.3">
      <c r="A20" s="2">
        <v>100017</v>
      </c>
      <c r="B20" s="2" t="s">
        <v>22</v>
      </c>
      <c r="C20" s="2" t="s">
        <v>26</v>
      </c>
      <c r="D20" s="2" t="s">
        <v>50</v>
      </c>
      <c r="E20" s="2">
        <f t="shared" si="5"/>
        <v>7</v>
      </c>
      <c r="F20" s="2">
        <f>IF(表1[[#This Row],[level]]+1=E21,A21,"")</f>
        <v>100018</v>
      </c>
      <c r="G20" s="2">
        <f t="shared" si="0"/>
        <v>36</v>
      </c>
      <c r="H20" s="2">
        <f t="shared" si="1"/>
        <v>44</v>
      </c>
      <c r="I20" s="2">
        <v>1000002</v>
      </c>
      <c r="K20" s="2" t="s">
        <v>65</v>
      </c>
      <c r="N20" s="4">
        <v>8</v>
      </c>
      <c r="O20" s="4">
        <f t="shared" si="7"/>
        <v>30</v>
      </c>
      <c r="P20" s="4">
        <f t="shared" si="8"/>
        <v>36</v>
      </c>
      <c r="Q20" s="4">
        <f t="shared" si="6"/>
        <v>44</v>
      </c>
    </row>
    <row r="21" spans="1:21" x14ac:dyDescent="0.3">
      <c r="A21" s="2">
        <v>100018</v>
      </c>
      <c r="B21" s="2" t="s">
        <v>22</v>
      </c>
      <c r="C21" s="2" t="s">
        <v>26</v>
      </c>
      <c r="D21" s="2" t="s">
        <v>50</v>
      </c>
      <c r="E21" s="2">
        <f t="shared" si="5"/>
        <v>8</v>
      </c>
      <c r="F21" s="2">
        <f>IF(表1[[#This Row],[level]]+1=E22,A22,"")</f>
        <v>100019</v>
      </c>
      <c r="G21" s="2">
        <f t="shared" si="0"/>
        <v>41</v>
      </c>
      <c r="H21" s="2">
        <f t="shared" si="1"/>
        <v>49</v>
      </c>
      <c r="I21" s="2">
        <v>1000002</v>
      </c>
      <c r="K21" s="2" t="s">
        <v>66</v>
      </c>
      <c r="N21" s="4">
        <v>8</v>
      </c>
      <c r="O21" s="4">
        <f t="shared" si="7"/>
        <v>34</v>
      </c>
      <c r="P21" s="4">
        <f t="shared" si="8"/>
        <v>41</v>
      </c>
      <c r="Q21" s="4">
        <f t="shared" si="6"/>
        <v>49</v>
      </c>
    </row>
    <row r="22" spans="1:21" x14ac:dyDescent="0.3">
      <c r="A22" s="2">
        <v>100019</v>
      </c>
      <c r="B22" s="2" t="s">
        <v>22</v>
      </c>
      <c r="C22" s="2" t="s">
        <v>26</v>
      </c>
      <c r="D22" s="2" t="s">
        <v>50</v>
      </c>
      <c r="E22" s="2">
        <f t="shared" si="5"/>
        <v>9</v>
      </c>
      <c r="F22" s="2">
        <f>IF(表1[[#This Row],[level]]+1=E23,A23,"")</f>
        <v>100020</v>
      </c>
      <c r="G22" s="2">
        <f t="shared" si="0"/>
        <v>46</v>
      </c>
      <c r="H22" s="2">
        <f t="shared" si="1"/>
        <v>54</v>
      </c>
      <c r="I22" s="2">
        <v>1000002</v>
      </c>
      <c r="K22" s="2" t="s">
        <v>66</v>
      </c>
      <c r="N22" s="4">
        <v>8</v>
      </c>
      <c r="O22" s="4">
        <f t="shared" si="7"/>
        <v>38</v>
      </c>
      <c r="P22" s="4">
        <f t="shared" si="8"/>
        <v>46</v>
      </c>
      <c r="Q22" s="4">
        <f t="shared" si="6"/>
        <v>54</v>
      </c>
    </row>
    <row r="23" spans="1:21" x14ac:dyDescent="0.3">
      <c r="A23" s="2">
        <v>100020</v>
      </c>
      <c r="B23" s="2" t="s">
        <v>22</v>
      </c>
      <c r="C23" s="2" t="s">
        <v>26</v>
      </c>
      <c r="D23" s="2" t="s">
        <v>50</v>
      </c>
      <c r="E23" s="2">
        <f t="shared" si="5"/>
        <v>10</v>
      </c>
      <c r="F23" s="2" t="str">
        <f>IF(表1[[#This Row],[level]]+1=E24,A24,"")</f>
        <v/>
      </c>
      <c r="G23" s="2">
        <f t="shared" si="0"/>
        <v>51</v>
      </c>
      <c r="H23" s="2">
        <f t="shared" si="1"/>
        <v>59</v>
      </c>
      <c r="I23" s="2">
        <v>1000002</v>
      </c>
      <c r="K23" s="2" t="s">
        <v>66</v>
      </c>
      <c r="N23" s="4">
        <v>8</v>
      </c>
      <c r="O23" s="4">
        <f t="shared" si="7"/>
        <v>42</v>
      </c>
      <c r="P23" s="4">
        <f t="shared" si="8"/>
        <v>51</v>
      </c>
      <c r="Q23" s="4">
        <f t="shared" si="6"/>
        <v>59</v>
      </c>
    </row>
    <row r="24" spans="1:21" x14ac:dyDescent="0.3">
      <c r="A24" s="2">
        <v>100021</v>
      </c>
      <c r="B24" s="2" t="s">
        <v>34</v>
      </c>
      <c r="C24" s="2" t="s">
        <v>27</v>
      </c>
      <c r="D24" s="2" t="s">
        <v>49</v>
      </c>
      <c r="E24" s="2">
        <f t="shared" si="5"/>
        <v>1</v>
      </c>
      <c r="F24" s="2">
        <f>IF(表1[[#This Row],[level]]+1=E25,A25,"")</f>
        <v>100022</v>
      </c>
      <c r="G24" s="2">
        <f t="shared" si="0"/>
        <v>7</v>
      </c>
      <c r="H24" s="2">
        <f t="shared" si="1"/>
        <v>15</v>
      </c>
      <c r="I24" s="2">
        <v>1000002</v>
      </c>
      <c r="K24" s="2" t="s">
        <v>40</v>
      </c>
      <c r="N24" s="4">
        <v>8</v>
      </c>
      <c r="O24" s="6">
        <v>7</v>
      </c>
      <c r="P24" s="4">
        <f>O24</f>
        <v>7</v>
      </c>
      <c r="Q24" s="4">
        <f>N24+P24</f>
        <v>15</v>
      </c>
    </row>
    <row r="25" spans="1:21" x14ac:dyDescent="0.3">
      <c r="A25" s="2">
        <v>100022</v>
      </c>
      <c r="B25" s="2" t="s">
        <v>23</v>
      </c>
      <c r="C25" s="2" t="s">
        <v>27</v>
      </c>
      <c r="D25" s="2" t="s">
        <v>49</v>
      </c>
      <c r="E25" s="2">
        <f t="shared" si="5"/>
        <v>2</v>
      </c>
      <c r="F25" s="2">
        <f>IF(表1[[#This Row],[level]]+1=E26,A26,"")</f>
        <v>100023</v>
      </c>
      <c r="G25" s="2">
        <f t="shared" si="0"/>
        <v>12</v>
      </c>
      <c r="H25" s="2">
        <f t="shared" si="1"/>
        <v>20</v>
      </c>
      <c r="I25" s="2">
        <v>1000002</v>
      </c>
      <c r="K25" s="2" t="s">
        <v>40</v>
      </c>
      <c r="N25" s="4">
        <v>8</v>
      </c>
      <c r="O25" s="2">
        <f>O24+N25/2</f>
        <v>11</v>
      </c>
      <c r="P25" s="4">
        <f>P24+N24/2+1</f>
        <v>12</v>
      </c>
      <c r="Q25" s="4">
        <f t="shared" ref="Q25:Q33" si="9">N25+P25</f>
        <v>20</v>
      </c>
    </row>
    <row r="26" spans="1:21" x14ac:dyDescent="0.3">
      <c r="A26" s="2">
        <v>100023</v>
      </c>
      <c r="B26" s="2" t="s">
        <v>23</v>
      </c>
      <c r="C26" s="2" t="s">
        <v>27</v>
      </c>
      <c r="D26" s="2" t="s">
        <v>49</v>
      </c>
      <c r="E26" s="2">
        <f t="shared" si="5"/>
        <v>3</v>
      </c>
      <c r="F26" s="2">
        <f>IF(表1[[#This Row],[level]]+1=E27,A27,"")</f>
        <v>100024</v>
      </c>
      <c r="G26" s="2">
        <f t="shared" si="0"/>
        <v>17</v>
      </c>
      <c r="H26" s="2">
        <f t="shared" si="1"/>
        <v>25</v>
      </c>
      <c r="I26" s="2">
        <v>1000002</v>
      </c>
      <c r="K26" s="2" t="s">
        <v>67</v>
      </c>
      <c r="N26" s="4">
        <v>8</v>
      </c>
      <c r="O26" s="4">
        <f t="shared" ref="O26:O33" si="10">O25+N26/2</f>
        <v>15</v>
      </c>
      <c r="P26" s="4">
        <f t="shared" ref="P26:P33" si="11">P25+N25/2+1</f>
        <v>17</v>
      </c>
      <c r="Q26" s="4">
        <f t="shared" si="9"/>
        <v>25</v>
      </c>
    </row>
    <row r="27" spans="1:21" x14ac:dyDescent="0.3">
      <c r="A27" s="2">
        <v>100024</v>
      </c>
      <c r="B27" s="2" t="s">
        <v>23</v>
      </c>
      <c r="C27" s="2" t="s">
        <v>27</v>
      </c>
      <c r="D27" s="2" t="s">
        <v>49</v>
      </c>
      <c r="E27" s="2">
        <f t="shared" si="5"/>
        <v>4</v>
      </c>
      <c r="F27" s="2">
        <f>IF(表1[[#This Row],[level]]+1=E28,A28,"")</f>
        <v>100025</v>
      </c>
      <c r="G27" s="2">
        <f t="shared" si="0"/>
        <v>22</v>
      </c>
      <c r="H27" s="2">
        <f t="shared" si="1"/>
        <v>30</v>
      </c>
      <c r="I27" s="2">
        <v>1000002</v>
      </c>
      <c r="K27" s="2" t="s">
        <v>40</v>
      </c>
      <c r="N27" s="4">
        <v>8</v>
      </c>
      <c r="O27" s="4">
        <f t="shared" si="10"/>
        <v>19</v>
      </c>
      <c r="P27" s="4">
        <f t="shared" si="11"/>
        <v>22</v>
      </c>
      <c r="Q27" s="4">
        <f t="shared" si="9"/>
        <v>30</v>
      </c>
    </row>
    <row r="28" spans="1:21" x14ac:dyDescent="0.3">
      <c r="A28" s="2">
        <v>100025</v>
      </c>
      <c r="B28" s="2" t="s">
        <v>23</v>
      </c>
      <c r="C28" s="2" t="s">
        <v>27</v>
      </c>
      <c r="D28" s="2" t="s">
        <v>49</v>
      </c>
      <c r="E28" s="2">
        <f t="shared" si="5"/>
        <v>5</v>
      </c>
      <c r="F28" s="2">
        <f>IF(表1[[#This Row],[level]]+1=E29,A29,"")</f>
        <v>100026</v>
      </c>
      <c r="G28" s="2">
        <f t="shared" si="0"/>
        <v>27</v>
      </c>
      <c r="H28" s="2">
        <f t="shared" si="1"/>
        <v>35</v>
      </c>
      <c r="I28" s="2">
        <v>1000002</v>
      </c>
      <c r="K28" s="2" t="s">
        <v>40</v>
      </c>
      <c r="N28" s="4">
        <v>8</v>
      </c>
      <c r="O28" s="4">
        <f t="shared" si="10"/>
        <v>23</v>
      </c>
      <c r="P28" s="4">
        <f t="shared" si="11"/>
        <v>27</v>
      </c>
      <c r="Q28" s="4">
        <f t="shared" si="9"/>
        <v>35</v>
      </c>
    </row>
    <row r="29" spans="1:21" x14ac:dyDescent="0.3">
      <c r="A29" s="2">
        <v>100026</v>
      </c>
      <c r="B29" s="2" t="s">
        <v>23</v>
      </c>
      <c r="C29" s="2" t="s">
        <v>27</v>
      </c>
      <c r="D29" s="2" t="s">
        <v>49</v>
      </c>
      <c r="E29" s="2">
        <f t="shared" si="5"/>
        <v>6</v>
      </c>
      <c r="F29" s="2">
        <f>IF(表1[[#This Row],[level]]+1=E30,A30,"")</f>
        <v>100027</v>
      </c>
      <c r="G29" s="2">
        <f t="shared" si="0"/>
        <v>32</v>
      </c>
      <c r="H29" s="2">
        <f t="shared" si="1"/>
        <v>40</v>
      </c>
      <c r="I29" s="2">
        <v>1000002</v>
      </c>
      <c r="K29" s="2" t="s">
        <v>40</v>
      </c>
      <c r="N29" s="4">
        <v>8</v>
      </c>
      <c r="O29" s="4">
        <f t="shared" si="10"/>
        <v>27</v>
      </c>
      <c r="P29" s="4">
        <f t="shared" si="11"/>
        <v>32</v>
      </c>
      <c r="Q29" s="4">
        <f t="shared" si="9"/>
        <v>40</v>
      </c>
    </row>
    <row r="30" spans="1:21" x14ac:dyDescent="0.3">
      <c r="A30" s="2">
        <v>100027</v>
      </c>
      <c r="B30" s="2" t="s">
        <v>23</v>
      </c>
      <c r="C30" s="2" t="s">
        <v>27</v>
      </c>
      <c r="D30" s="2" t="s">
        <v>49</v>
      </c>
      <c r="E30" s="2">
        <f t="shared" si="5"/>
        <v>7</v>
      </c>
      <c r="F30" s="2">
        <f>IF(表1[[#This Row],[level]]+1=E31,A31,"")</f>
        <v>100028</v>
      </c>
      <c r="G30" s="2">
        <f t="shared" si="0"/>
        <v>37</v>
      </c>
      <c r="H30" s="2">
        <f t="shared" si="1"/>
        <v>45</v>
      </c>
      <c r="I30" s="2">
        <v>1000002</v>
      </c>
      <c r="K30" s="2" t="s">
        <v>40</v>
      </c>
      <c r="N30" s="4">
        <v>8</v>
      </c>
      <c r="O30" s="4">
        <f t="shared" si="10"/>
        <v>31</v>
      </c>
      <c r="P30" s="4">
        <f t="shared" si="11"/>
        <v>37</v>
      </c>
      <c r="Q30" s="4">
        <f t="shared" si="9"/>
        <v>45</v>
      </c>
    </row>
    <row r="31" spans="1:21" x14ac:dyDescent="0.3">
      <c r="A31" s="2">
        <v>100028</v>
      </c>
      <c r="B31" s="2" t="s">
        <v>23</v>
      </c>
      <c r="C31" s="2" t="s">
        <v>27</v>
      </c>
      <c r="D31" s="2" t="s">
        <v>49</v>
      </c>
      <c r="E31" s="2">
        <f t="shared" si="5"/>
        <v>8</v>
      </c>
      <c r="F31" s="2">
        <f>IF(表1[[#This Row],[level]]+1=E32,A32,"")</f>
        <v>100029</v>
      </c>
      <c r="G31" s="2">
        <f t="shared" si="0"/>
        <v>42</v>
      </c>
      <c r="H31" s="2">
        <f t="shared" si="1"/>
        <v>50</v>
      </c>
      <c r="I31" s="2">
        <v>1000002</v>
      </c>
      <c r="K31" s="2" t="s">
        <v>40</v>
      </c>
      <c r="N31" s="4">
        <v>8</v>
      </c>
      <c r="O31" s="4">
        <f t="shared" si="10"/>
        <v>35</v>
      </c>
      <c r="P31" s="4">
        <f t="shared" si="11"/>
        <v>42</v>
      </c>
      <c r="Q31" s="4">
        <f t="shared" si="9"/>
        <v>50</v>
      </c>
    </row>
    <row r="32" spans="1:21" x14ac:dyDescent="0.3">
      <c r="A32" s="2">
        <v>100029</v>
      </c>
      <c r="B32" s="2" t="s">
        <v>23</v>
      </c>
      <c r="C32" s="2" t="s">
        <v>27</v>
      </c>
      <c r="D32" s="2" t="s">
        <v>49</v>
      </c>
      <c r="E32" s="2">
        <f t="shared" si="5"/>
        <v>9</v>
      </c>
      <c r="F32" s="2">
        <f>IF(表1[[#This Row],[level]]+1=E33,A33,"")</f>
        <v>100030</v>
      </c>
      <c r="G32" s="2">
        <f t="shared" si="0"/>
        <v>47</v>
      </c>
      <c r="H32" s="2">
        <f t="shared" si="1"/>
        <v>55</v>
      </c>
      <c r="I32" s="2">
        <v>1000002</v>
      </c>
      <c r="K32" s="2" t="s">
        <v>40</v>
      </c>
      <c r="N32" s="4">
        <v>8</v>
      </c>
      <c r="O32" s="4">
        <f t="shared" si="10"/>
        <v>39</v>
      </c>
      <c r="P32" s="4">
        <f t="shared" si="11"/>
        <v>47</v>
      </c>
      <c r="Q32" s="4">
        <f t="shared" si="9"/>
        <v>55</v>
      </c>
    </row>
    <row r="33" spans="1:17" x14ac:dyDescent="0.3">
      <c r="A33" s="2">
        <v>100030</v>
      </c>
      <c r="B33" s="2" t="s">
        <v>23</v>
      </c>
      <c r="C33" s="2" t="s">
        <v>27</v>
      </c>
      <c r="D33" s="2" t="s">
        <v>49</v>
      </c>
      <c r="E33" s="2">
        <f t="shared" si="5"/>
        <v>10</v>
      </c>
      <c r="F33" s="2" t="str">
        <f>IF(表1[[#This Row],[level]]+1=E34,A34,"")</f>
        <v/>
      </c>
      <c r="G33" s="2">
        <f t="shared" si="0"/>
        <v>52</v>
      </c>
      <c r="H33" s="2">
        <f t="shared" si="1"/>
        <v>60</v>
      </c>
      <c r="I33" s="2">
        <v>1000002</v>
      </c>
      <c r="K33" s="2" t="s">
        <v>40</v>
      </c>
      <c r="N33" s="4">
        <v>8</v>
      </c>
      <c r="O33" s="4">
        <f t="shared" si="10"/>
        <v>43</v>
      </c>
      <c r="P33" s="4">
        <f t="shared" si="11"/>
        <v>52</v>
      </c>
      <c r="Q33" s="4">
        <f t="shared" si="9"/>
        <v>60</v>
      </c>
    </row>
    <row r="34" spans="1:17" x14ac:dyDescent="0.3">
      <c r="A34" s="2">
        <v>100031</v>
      </c>
      <c r="B34" s="2" t="s">
        <v>36</v>
      </c>
      <c r="C34" s="2" t="s">
        <v>28</v>
      </c>
      <c r="D34" s="2" t="s">
        <v>58</v>
      </c>
      <c r="E34" s="2">
        <f t="shared" si="5"/>
        <v>1</v>
      </c>
      <c r="F34" s="2">
        <f>IF(表1[[#This Row],[level]]+1=E35,A35,"")</f>
        <v>100032</v>
      </c>
      <c r="G34" s="2">
        <f t="shared" si="0"/>
        <v>5</v>
      </c>
      <c r="H34" s="2">
        <f t="shared" si="1"/>
        <v>10</v>
      </c>
      <c r="I34" s="2">
        <v>1000002</v>
      </c>
      <c r="K34" s="2" t="s">
        <v>41</v>
      </c>
      <c r="N34" s="4">
        <v>5</v>
      </c>
      <c r="O34" s="6">
        <v>5</v>
      </c>
      <c r="P34" s="4">
        <f>O34</f>
        <v>5</v>
      </c>
      <c r="Q34" s="4">
        <f>N34+P34</f>
        <v>10</v>
      </c>
    </row>
    <row r="35" spans="1:17" x14ac:dyDescent="0.3">
      <c r="A35" s="2">
        <v>100032</v>
      </c>
      <c r="B35" s="2" t="s">
        <v>24</v>
      </c>
      <c r="C35" s="2" t="s">
        <v>28</v>
      </c>
      <c r="D35" s="2" t="s">
        <v>58</v>
      </c>
      <c r="E35" s="2">
        <f t="shared" si="5"/>
        <v>2</v>
      </c>
      <c r="F35" s="2">
        <f>IF(表1[[#This Row],[level]]+1=E36,A36,"")</f>
        <v>100033</v>
      </c>
      <c r="G35" s="2">
        <f t="shared" si="0"/>
        <v>9</v>
      </c>
      <c r="H35" s="2">
        <f t="shared" si="1"/>
        <v>15</v>
      </c>
      <c r="I35" s="2">
        <v>1000002</v>
      </c>
      <c r="K35" s="2" t="s">
        <v>41</v>
      </c>
      <c r="N35" s="4">
        <v>6</v>
      </c>
      <c r="O35" s="2">
        <f>O34+N35/2</f>
        <v>8</v>
      </c>
      <c r="P35" s="4">
        <f>P34+N34/2+1</f>
        <v>8.5</v>
      </c>
      <c r="Q35" s="4">
        <f t="shared" ref="Q35:Q43" si="12">N35+P35</f>
        <v>14.5</v>
      </c>
    </row>
    <row r="36" spans="1:17" x14ac:dyDescent="0.3">
      <c r="A36" s="2">
        <v>100033</v>
      </c>
      <c r="B36" s="2" t="s">
        <v>24</v>
      </c>
      <c r="C36" s="2" t="s">
        <v>28</v>
      </c>
      <c r="D36" s="2" t="s">
        <v>58</v>
      </c>
      <c r="E36" s="2">
        <f t="shared" si="5"/>
        <v>3</v>
      </c>
      <c r="F36" s="2">
        <f>IF(表1[[#This Row],[level]]+1=E37,A37,"")</f>
        <v>100034</v>
      </c>
      <c r="G36" s="2">
        <f t="shared" ref="G36:G53" si="13">ROUND(P36,0)</f>
        <v>13</v>
      </c>
      <c r="H36" s="2">
        <f t="shared" ref="H36:H53" si="14">ROUND(Q36,0)</f>
        <v>19</v>
      </c>
      <c r="I36" s="2">
        <v>1000002</v>
      </c>
      <c r="K36" s="2" t="s">
        <v>41</v>
      </c>
      <c r="N36" s="4">
        <v>6</v>
      </c>
      <c r="O36" s="4">
        <f t="shared" ref="O36:O43" si="15">O35+N36/2</f>
        <v>11</v>
      </c>
      <c r="P36" s="4">
        <f t="shared" ref="P36:P43" si="16">P35+N35/2+1</f>
        <v>12.5</v>
      </c>
      <c r="Q36" s="4">
        <f t="shared" si="12"/>
        <v>18.5</v>
      </c>
    </row>
    <row r="37" spans="1:17" x14ac:dyDescent="0.3">
      <c r="A37" s="2">
        <v>100034</v>
      </c>
      <c r="B37" s="2" t="s">
        <v>24</v>
      </c>
      <c r="C37" s="2" t="s">
        <v>28</v>
      </c>
      <c r="D37" s="2" t="s">
        <v>58</v>
      </c>
      <c r="E37" s="2">
        <f t="shared" si="5"/>
        <v>4</v>
      </c>
      <c r="F37" s="2">
        <f>IF(表1[[#This Row],[level]]+1=E38,A38,"")</f>
        <v>100035</v>
      </c>
      <c r="G37" s="2">
        <f t="shared" si="13"/>
        <v>17</v>
      </c>
      <c r="H37" s="2">
        <f t="shared" si="14"/>
        <v>23</v>
      </c>
      <c r="I37" s="2">
        <v>1000002</v>
      </c>
      <c r="K37" s="2" t="s">
        <v>41</v>
      </c>
      <c r="N37" s="4">
        <v>6</v>
      </c>
      <c r="O37" s="4">
        <f t="shared" si="15"/>
        <v>14</v>
      </c>
      <c r="P37" s="4">
        <f t="shared" si="16"/>
        <v>16.5</v>
      </c>
      <c r="Q37" s="4">
        <f t="shared" si="12"/>
        <v>22.5</v>
      </c>
    </row>
    <row r="38" spans="1:17" x14ac:dyDescent="0.3">
      <c r="A38" s="2">
        <v>100035</v>
      </c>
      <c r="B38" s="2" t="s">
        <v>24</v>
      </c>
      <c r="C38" s="2" t="s">
        <v>28</v>
      </c>
      <c r="D38" s="2" t="s">
        <v>58</v>
      </c>
      <c r="E38" s="2">
        <f t="shared" si="5"/>
        <v>5</v>
      </c>
      <c r="F38" s="2">
        <f>IF(表1[[#This Row],[level]]+1=E39,A39,"")</f>
        <v>100036</v>
      </c>
      <c r="G38" s="2">
        <f t="shared" si="13"/>
        <v>21</v>
      </c>
      <c r="H38" s="2">
        <f t="shared" si="14"/>
        <v>28</v>
      </c>
      <c r="I38" s="2">
        <v>1000002</v>
      </c>
      <c r="K38" s="2" t="s">
        <v>41</v>
      </c>
      <c r="N38" s="4">
        <v>7</v>
      </c>
      <c r="O38" s="4">
        <f t="shared" si="15"/>
        <v>17.5</v>
      </c>
      <c r="P38" s="4">
        <f t="shared" si="16"/>
        <v>20.5</v>
      </c>
      <c r="Q38" s="4">
        <f t="shared" si="12"/>
        <v>27.5</v>
      </c>
    </row>
    <row r="39" spans="1:17" x14ac:dyDescent="0.3">
      <c r="A39" s="2">
        <v>100036</v>
      </c>
      <c r="B39" s="2" t="s">
        <v>24</v>
      </c>
      <c r="C39" s="2" t="s">
        <v>28</v>
      </c>
      <c r="D39" s="2" t="s">
        <v>58</v>
      </c>
      <c r="E39" s="2">
        <f t="shared" si="5"/>
        <v>6</v>
      </c>
      <c r="F39" s="2">
        <f>IF(表1[[#This Row],[level]]+1=E40,A40,"")</f>
        <v>100037</v>
      </c>
      <c r="G39" s="2">
        <f t="shared" si="13"/>
        <v>25</v>
      </c>
      <c r="H39" s="2">
        <f t="shared" si="14"/>
        <v>32</v>
      </c>
      <c r="I39" s="2">
        <v>1000002</v>
      </c>
      <c r="K39" s="2" t="s">
        <v>41</v>
      </c>
      <c r="N39" s="4">
        <v>7</v>
      </c>
      <c r="O39" s="4">
        <f t="shared" si="15"/>
        <v>21</v>
      </c>
      <c r="P39" s="4">
        <f t="shared" si="16"/>
        <v>25</v>
      </c>
      <c r="Q39" s="4">
        <f t="shared" si="12"/>
        <v>32</v>
      </c>
    </row>
    <row r="40" spans="1:17" x14ac:dyDescent="0.3">
      <c r="A40" s="2">
        <v>100037</v>
      </c>
      <c r="B40" s="2" t="s">
        <v>24</v>
      </c>
      <c r="C40" s="2" t="s">
        <v>28</v>
      </c>
      <c r="D40" s="2" t="s">
        <v>58</v>
      </c>
      <c r="E40" s="2">
        <f t="shared" si="5"/>
        <v>7</v>
      </c>
      <c r="F40" s="2">
        <f>IF(表1[[#This Row],[level]]+1=E41,A41,"")</f>
        <v>100038</v>
      </c>
      <c r="G40" s="2">
        <f t="shared" si="13"/>
        <v>30</v>
      </c>
      <c r="H40" s="2">
        <f t="shared" si="14"/>
        <v>37</v>
      </c>
      <c r="I40" s="2">
        <v>1000002</v>
      </c>
      <c r="K40" s="2" t="s">
        <v>68</v>
      </c>
      <c r="N40" s="4">
        <v>7</v>
      </c>
      <c r="O40" s="4">
        <f t="shared" si="15"/>
        <v>24.5</v>
      </c>
      <c r="P40" s="4">
        <f t="shared" si="16"/>
        <v>29.5</v>
      </c>
      <c r="Q40" s="4">
        <f t="shared" si="12"/>
        <v>36.5</v>
      </c>
    </row>
    <row r="41" spans="1:17" x14ac:dyDescent="0.3">
      <c r="A41" s="2">
        <v>100038</v>
      </c>
      <c r="B41" s="2" t="s">
        <v>24</v>
      </c>
      <c r="C41" s="2" t="s">
        <v>28</v>
      </c>
      <c r="D41" s="2" t="s">
        <v>58</v>
      </c>
      <c r="E41" s="2">
        <f t="shared" si="5"/>
        <v>8</v>
      </c>
      <c r="F41" s="2">
        <f>IF(表1[[#This Row],[level]]+1=E42,A42,"")</f>
        <v>100039</v>
      </c>
      <c r="G41" s="2">
        <f t="shared" si="13"/>
        <v>34</v>
      </c>
      <c r="H41" s="2">
        <f t="shared" si="14"/>
        <v>42</v>
      </c>
      <c r="I41" s="2">
        <v>1000002</v>
      </c>
      <c r="K41" s="2" t="s">
        <v>69</v>
      </c>
      <c r="N41" s="4">
        <v>8</v>
      </c>
      <c r="O41" s="4">
        <f t="shared" si="15"/>
        <v>28.5</v>
      </c>
      <c r="P41" s="4">
        <f t="shared" si="16"/>
        <v>34</v>
      </c>
      <c r="Q41" s="4">
        <f t="shared" si="12"/>
        <v>42</v>
      </c>
    </row>
    <row r="42" spans="1:17" x14ac:dyDescent="0.3">
      <c r="A42" s="2">
        <v>100039</v>
      </c>
      <c r="B42" s="2" t="s">
        <v>24</v>
      </c>
      <c r="C42" s="2" t="s">
        <v>28</v>
      </c>
      <c r="D42" s="2" t="s">
        <v>58</v>
      </c>
      <c r="E42" s="2">
        <f t="shared" si="5"/>
        <v>9</v>
      </c>
      <c r="F42" s="2">
        <f>IF(表1[[#This Row],[level]]+1=E43,A43,"")</f>
        <v>100040</v>
      </c>
      <c r="G42" s="2">
        <f t="shared" si="13"/>
        <v>39</v>
      </c>
      <c r="H42" s="2">
        <f t="shared" si="14"/>
        <v>47</v>
      </c>
      <c r="I42" s="2">
        <v>1000002</v>
      </c>
      <c r="K42" s="2" t="s">
        <v>41</v>
      </c>
      <c r="N42" s="4">
        <v>8</v>
      </c>
      <c r="O42" s="4">
        <f t="shared" si="15"/>
        <v>32.5</v>
      </c>
      <c r="P42" s="4">
        <f t="shared" si="16"/>
        <v>39</v>
      </c>
      <c r="Q42" s="4">
        <f t="shared" si="12"/>
        <v>47</v>
      </c>
    </row>
    <row r="43" spans="1:17" x14ac:dyDescent="0.3">
      <c r="A43" s="2">
        <v>100040</v>
      </c>
      <c r="B43" s="2" t="s">
        <v>24</v>
      </c>
      <c r="C43" s="2" t="s">
        <v>28</v>
      </c>
      <c r="D43" s="2" t="s">
        <v>58</v>
      </c>
      <c r="E43" s="2">
        <f t="shared" si="5"/>
        <v>10</v>
      </c>
      <c r="F43" s="2" t="str">
        <f>IF(表1[[#This Row],[level]]+1=E44,A44,"")</f>
        <v/>
      </c>
      <c r="G43" s="2">
        <f t="shared" si="13"/>
        <v>44</v>
      </c>
      <c r="H43" s="2">
        <f t="shared" si="14"/>
        <v>52</v>
      </c>
      <c r="I43" s="2">
        <v>1000002</v>
      </c>
      <c r="K43" s="2" t="s">
        <v>41</v>
      </c>
      <c r="N43" s="4">
        <v>8</v>
      </c>
      <c r="O43" s="4">
        <f t="shared" si="15"/>
        <v>36.5</v>
      </c>
      <c r="P43" s="4">
        <f t="shared" si="16"/>
        <v>44</v>
      </c>
      <c r="Q43" s="4">
        <f t="shared" si="12"/>
        <v>52</v>
      </c>
    </row>
    <row r="44" spans="1:17" x14ac:dyDescent="0.3">
      <c r="A44" s="2">
        <v>100041</v>
      </c>
      <c r="B44" s="2" t="s">
        <v>30</v>
      </c>
      <c r="C44" s="2" t="s">
        <v>29</v>
      </c>
      <c r="D44" s="2" t="s">
        <v>51</v>
      </c>
      <c r="E44" s="2">
        <f t="shared" si="5"/>
        <v>1</v>
      </c>
      <c r="F44" s="2">
        <f>IF(表1[[#This Row],[level]]+1=E45,A45,"")</f>
        <v>100042</v>
      </c>
      <c r="G44" s="2">
        <f t="shared" si="13"/>
        <v>6</v>
      </c>
      <c r="H44" s="2">
        <f t="shared" si="14"/>
        <v>10</v>
      </c>
      <c r="I44" s="2">
        <v>1000002</v>
      </c>
      <c r="K44" s="2" t="s">
        <v>42</v>
      </c>
      <c r="N44" s="4">
        <v>4</v>
      </c>
      <c r="O44" s="6">
        <v>6</v>
      </c>
      <c r="P44" s="4">
        <f>O44</f>
        <v>6</v>
      </c>
      <c r="Q44" s="4">
        <f>N44+P44</f>
        <v>10</v>
      </c>
    </row>
    <row r="45" spans="1:17" x14ac:dyDescent="0.3">
      <c r="A45" s="2">
        <v>100042</v>
      </c>
      <c r="B45" s="2" t="s">
        <v>30</v>
      </c>
      <c r="C45" s="2" t="s">
        <v>29</v>
      </c>
      <c r="D45" s="2" t="s">
        <v>51</v>
      </c>
      <c r="E45" s="2">
        <f t="shared" si="5"/>
        <v>2</v>
      </c>
      <c r="F45" s="2">
        <f>IF(表1[[#This Row],[level]]+1=E46,A46,"")</f>
        <v>100043</v>
      </c>
      <c r="G45" s="2">
        <f t="shared" si="13"/>
        <v>9</v>
      </c>
      <c r="H45" s="2">
        <f t="shared" si="14"/>
        <v>13</v>
      </c>
      <c r="I45" s="2">
        <v>1000002</v>
      </c>
      <c r="K45" s="2" t="s">
        <v>70</v>
      </c>
      <c r="N45" s="4">
        <v>4</v>
      </c>
      <c r="O45" s="2">
        <f>O44+N45/2</f>
        <v>8</v>
      </c>
      <c r="P45" s="4">
        <f>P44+N44/2+1</f>
        <v>9</v>
      </c>
      <c r="Q45" s="4">
        <f t="shared" ref="Q45:Q53" si="17">N45+P45</f>
        <v>13</v>
      </c>
    </row>
    <row r="46" spans="1:17" x14ac:dyDescent="0.3">
      <c r="A46" s="2">
        <v>100043</v>
      </c>
      <c r="B46" s="2" t="s">
        <v>30</v>
      </c>
      <c r="C46" s="2" t="s">
        <v>29</v>
      </c>
      <c r="D46" s="2" t="s">
        <v>51</v>
      </c>
      <c r="E46" s="2">
        <f t="shared" si="5"/>
        <v>3</v>
      </c>
      <c r="F46" s="2">
        <f>IF(表1[[#This Row],[level]]+1=E47,A47,"")</f>
        <v>100044</v>
      </c>
      <c r="G46" s="2">
        <f t="shared" si="13"/>
        <v>12</v>
      </c>
      <c r="H46" s="2">
        <f t="shared" si="14"/>
        <v>16</v>
      </c>
      <c r="I46" s="2">
        <v>1000002</v>
      </c>
      <c r="K46" s="2" t="s">
        <v>42</v>
      </c>
      <c r="N46" s="4">
        <v>4</v>
      </c>
      <c r="O46" s="4">
        <f t="shared" ref="O46:O53" si="18">O45+N46/2</f>
        <v>10</v>
      </c>
      <c r="P46" s="4">
        <f t="shared" ref="P46:P53" si="19">P45+N45/2+1</f>
        <v>12</v>
      </c>
      <c r="Q46" s="4">
        <f t="shared" si="17"/>
        <v>16</v>
      </c>
    </row>
    <row r="47" spans="1:17" x14ac:dyDescent="0.3">
      <c r="A47" s="2">
        <v>100044</v>
      </c>
      <c r="B47" s="2" t="s">
        <v>30</v>
      </c>
      <c r="C47" s="2" t="s">
        <v>29</v>
      </c>
      <c r="D47" s="2" t="s">
        <v>51</v>
      </c>
      <c r="E47" s="2">
        <f t="shared" si="5"/>
        <v>4</v>
      </c>
      <c r="F47" s="2">
        <f>IF(表1[[#This Row],[level]]+1=E48,A48,"")</f>
        <v>100045</v>
      </c>
      <c r="G47" s="2">
        <f t="shared" si="13"/>
        <v>15</v>
      </c>
      <c r="H47" s="2">
        <f t="shared" si="14"/>
        <v>19</v>
      </c>
      <c r="I47" s="2">
        <v>1000002</v>
      </c>
      <c r="K47" s="2" t="s">
        <v>42</v>
      </c>
      <c r="N47" s="4">
        <v>4</v>
      </c>
      <c r="O47" s="4">
        <f t="shared" si="18"/>
        <v>12</v>
      </c>
      <c r="P47" s="4">
        <f t="shared" si="19"/>
        <v>15</v>
      </c>
      <c r="Q47" s="4">
        <f t="shared" si="17"/>
        <v>19</v>
      </c>
    </row>
    <row r="48" spans="1:17" x14ac:dyDescent="0.3">
      <c r="A48" s="2">
        <v>100045</v>
      </c>
      <c r="B48" s="2" t="s">
        <v>30</v>
      </c>
      <c r="C48" s="2" t="s">
        <v>29</v>
      </c>
      <c r="D48" s="2" t="s">
        <v>51</v>
      </c>
      <c r="E48" s="2">
        <f t="shared" si="5"/>
        <v>5</v>
      </c>
      <c r="F48" s="2">
        <f>IF(表1[[#This Row],[level]]+1=E49,A49,"")</f>
        <v>100046</v>
      </c>
      <c r="G48" s="2">
        <f t="shared" si="13"/>
        <v>18</v>
      </c>
      <c r="H48" s="2">
        <f t="shared" si="14"/>
        <v>22</v>
      </c>
      <c r="I48" s="2">
        <v>1000002</v>
      </c>
      <c r="K48" s="2" t="s">
        <v>42</v>
      </c>
      <c r="N48" s="4">
        <v>4</v>
      </c>
      <c r="O48" s="4">
        <f t="shared" si="18"/>
        <v>14</v>
      </c>
      <c r="P48" s="4">
        <f t="shared" si="19"/>
        <v>18</v>
      </c>
      <c r="Q48" s="4">
        <f t="shared" si="17"/>
        <v>22</v>
      </c>
    </row>
    <row r="49" spans="1:17" x14ac:dyDescent="0.3">
      <c r="A49" s="2">
        <v>100046</v>
      </c>
      <c r="B49" s="2" t="s">
        <v>30</v>
      </c>
      <c r="C49" s="2" t="s">
        <v>29</v>
      </c>
      <c r="D49" s="2" t="s">
        <v>51</v>
      </c>
      <c r="E49" s="2">
        <f t="shared" si="5"/>
        <v>6</v>
      </c>
      <c r="F49" s="2">
        <f>IF(表1[[#This Row],[level]]+1=E50,A50,"")</f>
        <v>100047</v>
      </c>
      <c r="G49" s="2">
        <f t="shared" si="13"/>
        <v>21</v>
      </c>
      <c r="H49" s="2">
        <f t="shared" si="14"/>
        <v>25</v>
      </c>
      <c r="I49" s="2">
        <v>1000002</v>
      </c>
      <c r="K49" s="2" t="s">
        <v>42</v>
      </c>
      <c r="N49" s="4">
        <v>4</v>
      </c>
      <c r="O49" s="4">
        <f t="shared" si="18"/>
        <v>16</v>
      </c>
      <c r="P49" s="4">
        <f t="shared" si="19"/>
        <v>21</v>
      </c>
      <c r="Q49" s="4">
        <f t="shared" si="17"/>
        <v>25</v>
      </c>
    </row>
    <row r="50" spans="1:17" x14ac:dyDescent="0.3">
      <c r="A50" s="2">
        <v>100047</v>
      </c>
      <c r="B50" s="2" t="s">
        <v>30</v>
      </c>
      <c r="C50" s="2" t="s">
        <v>29</v>
      </c>
      <c r="D50" s="2" t="s">
        <v>51</v>
      </c>
      <c r="E50" s="2">
        <f t="shared" si="5"/>
        <v>7</v>
      </c>
      <c r="F50" s="2">
        <f>IF(表1[[#This Row],[level]]+1=E51,A51,"")</f>
        <v>100048</v>
      </c>
      <c r="G50" s="2">
        <f t="shared" si="13"/>
        <v>24</v>
      </c>
      <c r="H50" s="2">
        <f t="shared" si="14"/>
        <v>28</v>
      </c>
      <c r="I50" s="2">
        <v>1000002</v>
      </c>
      <c r="K50" s="2" t="s">
        <v>42</v>
      </c>
      <c r="N50" s="4">
        <v>4</v>
      </c>
      <c r="O50" s="4">
        <f t="shared" si="18"/>
        <v>18</v>
      </c>
      <c r="P50" s="4">
        <f t="shared" si="19"/>
        <v>24</v>
      </c>
      <c r="Q50" s="4">
        <f t="shared" si="17"/>
        <v>28</v>
      </c>
    </row>
    <row r="51" spans="1:17" x14ac:dyDescent="0.3">
      <c r="A51" s="2">
        <v>100048</v>
      </c>
      <c r="B51" s="2" t="s">
        <v>30</v>
      </c>
      <c r="C51" s="2" t="s">
        <v>29</v>
      </c>
      <c r="D51" s="2" t="s">
        <v>51</v>
      </c>
      <c r="E51" s="2">
        <f t="shared" si="5"/>
        <v>8</v>
      </c>
      <c r="F51" s="2">
        <f>IF(表1[[#This Row],[level]]+1=E52,A52,"")</f>
        <v>100049</v>
      </c>
      <c r="G51" s="2">
        <f t="shared" si="13"/>
        <v>27</v>
      </c>
      <c r="H51" s="2">
        <f t="shared" si="14"/>
        <v>31</v>
      </c>
      <c r="I51" s="2">
        <v>1000002</v>
      </c>
      <c r="K51" s="2" t="s">
        <v>42</v>
      </c>
      <c r="N51" s="4">
        <v>4</v>
      </c>
      <c r="O51" s="4">
        <f t="shared" si="18"/>
        <v>20</v>
      </c>
      <c r="P51" s="4">
        <f t="shared" si="19"/>
        <v>27</v>
      </c>
      <c r="Q51" s="4">
        <f t="shared" si="17"/>
        <v>31</v>
      </c>
    </row>
    <row r="52" spans="1:17" x14ac:dyDescent="0.3">
      <c r="A52" s="2">
        <v>100049</v>
      </c>
      <c r="B52" s="2" t="s">
        <v>30</v>
      </c>
      <c r="C52" s="2" t="s">
        <v>29</v>
      </c>
      <c r="D52" s="2" t="s">
        <v>51</v>
      </c>
      <c r="E52" s="2">
        <f t="shared" si="5"/>
        <v>9</v>
      </c>
      <c r="F52" s="2">
        <f>IF(表1[[#This Row],[level]]+1=E53,A53,"")</f>
        <v>100050</v>
      </c>
      <c r="G52" s="2">
        <f t="shared" si="13"/>
        <v>30</v>
      </c>
      <c r="H52" s="2">
        <f t="shared" si="14"/>
        <v>34</v>
      </c>
      <c r="I52" s="2">
        <v>1000002</v>
      </c>
      <c r="K52" s="2" t="s">
        <v>71</v>
      </c>
      <c r="N52" s="4">
        <v>4</v>
      </c>
      <c r="O52" s="4">
        <f t="shared" si="18"/>
        <v>22</v>
      </c>
      <c r="P52" s="4">
        <f t="shared" si="19"/>
        <v>30</v>
      </c>
      <c r="Q52" s="4">
        <f t="shared" si="17"/>
        <v>34</v>
      </c>
    </row>
    <row r="53" spans="1:17" x14ac:dyDescent="0.3">
      <c r="A53" s="2">
        <v>100050</v>
      </c>
      <c r="B53" s="2" t="s">
        <v>30</v>
      </c>
      <c r="C53" s="2" t="s">
        <v>29</v>
      </c>
      <c r="D53" s="2" t="s">
        <v>51</v>
      </c>
      <c r="E53" s="2">
        <f t="shared" si="5"/>
        <v>10</v>
      </c>
      <c r="F53" s="2" t="str">
        <f>IF(表1[[#This Row],[level]]+1=E58,A58,"")</f>
        <v/>
      </c>
      <c r="G53" s="2">
        <f t="shared" si="13"/>
        <v>33</v>
      </c>
      <c r="H53" s="2">
        <f t="shared" si="14"/>
        <v>37</v>
      </c>
      <c r="I53" s="2">
        <v>1000002</v>
      </c>
      <c r="K53" s="2" t="s">
        <v>71</v>
      </c>
      <c r="N53" s="4">
        <v>4</v>
      </c>
      <c r="O53" s="4">
        <f t="shared" si="18"/>
        <v>24</v>
      </c>
      <c r="P53" s="4">
        <f t="shared" si="19"/>
        <v>33</v>
      </c>
      <c r="Q53" s="4">
        <f t="shared" si="17"/>
        <v>37</v>
      </c>
    </row>
    <row r="54" spans="1:17" x14ac:dyDescent="0.3">
      <c r="A54" s="2">
        <v>100051</v>
      </c>
      <c r="B54" s="2" t="s">
        <v>60</v>
      </c>
      <c r="C54" s="2" t="s">
        <v>61</v>
      </c>
      <c r="D54" s="2" t="s">
        <v>62</v>
      </c>
      <c r="E54" s="2">
        <v>1</v>
      </c>
      <c r="F54" s="10" t="str">
        <f>IF(表1[[#This Row],[level]]+1=E58,A58,"")</f>
        <v/>
      </c>
      <c r="G54" s="10">
        <v>1</v>
      </c>
      <c r="H54" s="10">
        <v>1</v>
      </c>
      <c r="I54" s="10">
        <v>1000001</v>
      </c>
      <c r="J54" s="10" t="s">
        <v>79</v>
      </c>
      <c r="K54" s="2" t="s">
        <v>72</v>
      </c>
    </row>
    <row r="55" spans="1:17" x14ac:dyDescent="0.3">
      <c r="A55" s="2">
        <v>100052</v>
      </c>
      <c r="B55" s="2" t="s">
        <v>60</v>
      </c>
      <c r="C55" s="2" t="s">
        <v>61</v>
      </c>
      <c r="D55" s="2" t="s">
        <v>51</v>
      </c>
      <c r="E55" s="2">
        <v>1</v>
      </c>
      <c r="F55" s="10" t="str">
        <f>IF(表1[[#This Row],[level]]+1=E56,A56,"")</f>
        <v/>
      </c>
      <c r="G55" s="10">
        <v>1</v>
      </c>
      <c r="H55" s="10">
        <v>1</v>
      </c>
      <c r="I55" s="10">
        <v>1000002</v>
      </c>
      <c r="J55" s="10" t="s">
        <v>80</v>
      </c>
      <c r="K55" s="2" t="s">
        <v>72</v>
      </c>
    </row>
    <row r="56" spans="1:17" x14ac:dyDescent="0.3">
      <c r="A56" s="2">
        <v>100053</v>
      </c>
      <c r="B56" s="2" t="s">
        <v>60</v>
      </c>
      <c r="C56" s="2" t="s">
        <v>61</v>
      </c>
      <c r="D56" s="2" t="s">
        <v>50</v>
      </c>
      <c r="E56" s="2">
        <v>1</v>
      </c>
      <c r="F56" s="10" t="str">
        <f>IF(表1[[#This Row],[level]]+1=E57,A57,"")</f>
        <v/>
      </c>
      <c r="G56" s="10">
        <v>1</v>
      </c>
      <c r="H56" s="10">
        <v>1</v>
      </c>
      <c r="I56" s="10">
        <v>2000001</v>
      </c>
      <c r="J56" s="10" t="s">
        <v>81</v>
      </c>
      <c r="K56" s="2" t="s">
        <v>72</v>
      </c>
    </row>
    <row r="57" spans="1:17" x14ac:dyDescent="0.3">
      <c r="A57" s="2">
        <v>100054</v>
      </c>
      <c r="B57" s="2" t="s">
        <v>60</v>
      </c>
      <c r="C57" s="2" t="s">
        <v>61</v>
      </c>
      <c r="D57" s="2" t="s">
        <v>47</v>
      </c>
      <c r="E57" s="2">
        <v>1</v>
      </c>
      <c r="F57" s="10" t="str">
        <f>IF(表1[[#This Row],[level]]+1=E58,A58,"")</f>
        <v/>
      </c>
      <c r="G57" s="10">
        <v>1</v>
      </c>
      <c r="H57" s="10">
        <v>1</v>
      </c>
      <c r="I57" s="10">
        <v>2000002</v>
      </c>
      <c r="J57" s="10" t="s">
        <v>82</v>
      </c>
      <c r="K57" s="2" t="s">
        <v>72</v>
      </c>
    </row>
  </sheetData>
  <mergeCells count="4">
    <mergeCell ref="N1:N3"/>
    <mergeCell ref="O1:O3"/>
    <mergeCell ref="P1:P3"/>
    <mergeCell ref="Q1:Q3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>
      <selection sqref="A1:A1048576"/>
    </sheetView>
  </sheetViews>
  <sheetFormatPr defaultRowHeight="16.5" x14ac:dyDescent="0.3"/>
  <cols>
    <col min="1" max="16384" width="9" style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50"/>
  <sheetViews>
    <sheetView showGridLines="0" topLeftCell="A22" workbookViewId="0">
      <selection activeCell="AD36" sqref="AD36:AE36"/>
    </sheetView>
  </sheetViews>
  <sheetFormatPr defaultColWidth="2.5" defaultRowHeight="13.5" x14ac:dyDescent="0.15"/>
  <cols>
    <col min="1" max="25" width="2.5" style="7"/>
    <col min="26" max="26" width="2.625" style="7" customWidth="1"/>
    <col min="27" max="35" width="2.5" style="7"/>
    <col min="36" max="16384" width="2.5" style="8"/>
  </cols>
  <sheetData>
    <row r="1" spans="2:29" x14ac:dyDescent="0.15">
      <c r="B1" s="15" t="s">
        <v>38</v>
      </c>
      <c r="C1" s="15"/>
      <c r="D1" s="15"/>
      <c r="E1" s="15"/>
      <c r="H1" s="15" t="str">
        <f>B1</f>
        <v>SD.DG</v>
      </c>
      <c r="I1" s="15"/>
      <c r="J1" s="15"/>
      <c r="K1" s="15"/>
      <c r="N1" s="15" t="str">
        <f>B1</f>
        <v>SD.DG</v>
      </c>
      <c r="O1" s="15"/>
      <c r="P1" s="15"/>
      <c r="Q1" s="15"/>
      <c r="T1" s="15" t="str">
        <f>B1</f>
        <v>SD.DG</v>
      </c>
      <c r="U1" s="15"/>
      <c r="V1" s="15"/>
      <c r="W1" s="15"/>
      <c r="Z1" s="15" t="str">
        <f>B1</f>
        <v>SD.DG</v>
      </c>
      <c r="AA1" s="15"/>
      <c r="AB1" s="15"/>
      <c r="AC1" s="15"/>
    </row>
    <row r="2" spans="2:29" x14ac:dyDescent="0.15">
      <c r="B2" s="9"/>
      <c r="C2" s="9"/>
      <c r="D2" s="9"/>
      <c r="E2" s="9"/>
      <c r="H2" s="9">
        <v>3</v>
      </c>
      <c r="I2" s="9">
        <v>1</v>
      </c>
      <c r="J2" s="9"/>
      <c r="K2" s="9"/>
      <c r="N2" s="9"/>
      <c r="O2" s="9">
        <v>1</v>
      </c>
      <c r="P2" s="9"/>
      <c r="Q2" s="9"/>
      <c r="T2" s="9"/>
      <c r="U2" s="9"/>
      <c r="V2" s="9"/>
      <c r="W2" s="9"/>
      <c r="Z2" s="9"/>
      <c r="AA2" s="9">
        <v>1</v>
      </c>
      <c r="AB2" s="9"/>
      <c r="AC2" s="9"/>
    </row>
    <row r="3" spans="2:29" x14ac:dyDescent="0.15">
      <c r="B3" s="9"/>
      <c r="C3" s="9">
        <v>1</v>
      </c>
      <c r="D3" s="9">
        <v>2</v>
      </c>
      <c r="E3" s="9">
        <v>1</v>
      </c>
      <c r="H3" s="9">
        <v>1</v>
      </c>
      <c r="I3" s="9">
        <v>2</v>
      </c>
      <c r="J3" s="9">
        <v>1</v>
      </c>
      <c r="K3" s="9"/>
      <c r="N3" s="9"/>
      <c r="O3" s="9">
        <v>2</v>
      </c>
      <c r="P3" s="9">
        <v>1</v>
      </c>
      <c r="Q3" s="9"/>
      <c r="T3" s="9"/>
      <c r="U3" s="9">
        <v>3</v>
      </c>
      <c r="V3" s="9">
        <v>1</v>
      </c>
      <c r="W3" s="9"/>
      <c r="Z3" s="9"/>
      <c r="AA3" s="9">
        <v>2</v>
      </c>
      <c r="AB3" s="9">
        <v>3</v>
      </c>
      <c r="AC3" s="9"/>
    </row>
    <row r="4" spans="2:29" x14ac:dyDescent="0.15">
      <c r="B4" s="9"/>
      <c r="C4" s="9"/>
      <c r="D4" s="9">
        <v>1</v>
      </c>
      <c r="E4" s="9">
        <v>3</v>
      </c>
      <c r="H4" s="9"/>
      <c r="I4" s="9"/>
      <c r="J4" s="9">
        <v>1</v>
      </c>
      <c r="K4" s="9"/>
      <c r="N4" s="9"/>
      <c r="O4" s="9">
        <v>1</v>
      </c>
      <c r="P4" s="9"/>
      <c r="Q4" s="9"/>
      <c r="T4" s="9">
        <v>1</v>
      </c>
      <c r="U4" s="9">
        <v>2</v>
      </c>
      <c r="V4" s="9"/>
      <c r="W4" s="9"/>
      <c r="Z4" s="9"/>
      <c r="AA4" s="9">
        <v>1</v>
      </c>
      <c r="AB4" s="9"/>
      <c r="AC4" s="9"/>
    </row>
    <row r="5" spans="2:29" x14ac:dyDescent="0.15">
      <c r="B5" s="9"/>
      <c r="C5" s="9"/>
      <c r="D5" s="9"/>
      <c r="E5" s="9"/>
      <c r="H5" s="9"/>
      <c r="I5" s="9"/>
      <c r="J5" s="9"/>
      <c r="K5" s="9"/>
      <c r="N5" s="9"/>
      <c r="O5" s="9"/>
      <c r="P5" s="9">
        <v>3</v>
      </c>
      <c r="Q5" s="9"/>
      <c r="T5" s="9"/>
      <c r="U5" s="9"/>
      <c r="V5" s="9"/>
      <c r="W5" s="9"/>
      <c r="Z5" s="9"/>
      <c r="AA5" s="9"/>
      <c r="AB5" s="9"/>
      <c r="AC5" s="9"/>
    </row>
    <row r="10" spans="2:29" x14ac:dyDescent="0.15">
      <c r="B10" s="14" t="s">
        <v>52</v>
      </c>
      <c r="C10" s="15"/>
      <c r="D10" s="15"/>
      <c r="E10" s="15"/>
      <c r="H10" s="15" t="str">
        <f>B10</f>
        <v>GS.DG</v>
      </c>
      <c r="I10" s="15"/>
      <c r="J10" s="15"/>
      <c r="K10" s="15"/>
      <c r="N10" s="15" t="str">
        <f>B10</f>
        <v>GS.DG</v>
      </c>
      <c r="O10" s="15"/>
      <c r="P10" s="15"/>
      <c r="Q10" s="15"/>
      <c r="T10" s="15" t="str">
        <f>B10</f>
        <v>GS.DG</v>
      </c>
      <c r="U10" s="15"/>
      <c r="V10" s="15"/>
      <c r="W10" s="15"/>
    </row>
    <row r="11" spans="2:29" x14ac:dyDescent="0.15">
      <c r="B11" s="9"/>
      <c r="C11" s="9"/>
      <c r="D11" s="9"/>
      <c r="E11" s="9"/>
      <c r="H11" s="9"/>
      <c r="I11" s="9"/>
      <c r="J11" s="9"/>
      <c r="K11" s="9"/>
      <c r="N11" s="9"/>
      <c r="O11" s="9">
        <v>1</v>
      </c>
      <c r="P11" s="9"/>
      <c r="Q11" s="9"/>
      <c r="T11" s="9"/>
      <c r="U11" s="9">
        <v>1</v>
      </c>
      <c r="V11" s="9"/>
      <c r="W11" s="9"/>
    </row>
    <row r="12" spans="2:29" x14ac:dyDescent="0.15">
      <c r="B12" s="9">
        <v>1</v>
      </c>
      <c r="C12" s="9">
        <v>2</v>
      </c>
      <c r="D12" s="9">
        <v>1</v>
      </c>
      <c r="E12" s="9"/>
      <c r="H12" s="9"/>
      <c r="I12" s="9">
        <v>1</v>
      </c>
      <c r="J12" s="9">
        <v>1</v>
      </c>
      <c r="K12" s="9">
        <v>3</v>
      </c>
      <c r="N12" s="9">
        <v>1</v>
      </c>
      <c r="O12" s="9">
        <v>2</v>
      </c>
      <c r="P12" s="9">
        <v>1</v>
      </c>
      <c r="Q12" s="9"/>
      <c r="T12" s="9">
        <v>3</v>
      </c>
      <c r="U12" s="9"/>
      <c r="V12" s="9">
        <v>2</v>
      </c>
      <c r="W12" s="9"/>
    </row>
    <row r="13" spans="2:29" x14ac:dyDescent="0.15">
      <c r="B13" s="9"/>
      <c r="C13" s="9">
        <v>3</v>
      </c>
      <c r="D13" s="9"/>
      <c r="E13" s="9"/>
      <c r="H13" s="9"/>
      <c r="I13" s="9"/>
      <c r="J13" s="9">
        <v>2</v>
      </c>
      <c r="K13" s="9"/>
      <c r="N13" s="9">
        <v>3</v>
      </c>
      <c r="O13" s="9"/>
      <c r="P13" s="9"/>
      <c r="Q13" s="9"/>
      <c r="T13" s="9"/>
      <c r="U13" s="9"/>
      <c r="V13" s="9">
        <v>1</v>
      </c>
      <c r="W13" s="9"/>
    </row>
    <row r="14" spans="2:29" x14ac:dyDescent="0.15">
      <c r="B14" s="9"/>
      <c r="C14" s="9"/>
      <c r="D14" s="9"/>
      <c r="E14" s="9"/>
      <c r="H14" s="9"/>
      <c r="I14" s="9">
        <v>1</v>
      </c>
      <c r="J14" s="9"/>
      <c r="K14" s="9"/>
      <c r="N14" s="9"/>
      <c r="O14" s="9"/>
      <c r="P14" s="9"/>
      <c r="Q14" s="9"/>
      <c r="T14" s="9"/>
      <c r="U14" s="9"/>
      <c r="V14" s="9"/>
      <c r="W14" s="9"/>
    </row>
    <row r="20" spans="2:29" x14ac:dyDescent="0.15">
      <c r="B20" s="14" t="s">
        <v>35</v>
      </c>
      <c r="C20" s="15"/>
      <c r="D20" s="15"/>
      <c r="E20" s="15"/>
      <c r="H20" s="15" t="str">
        <f>B20</f>
        <v>RSN</v>
      </c>
      <c r="I20" s="15"/>
      <c r="J20" s="15"/>
      <c r="K20" s="15"/>
      <c r="N20" s="15" t="str">
        <f>B20</f>
        <v>RSN</v>
      </c>
      <c r="O20" s="15"/>
      <c r="P20" s="15"/>
      <c r="Q20" s="15"/>
      <c r="T20" s="15" t="str">
        <f>B20</f>
        <v>RSN</v>
      </c>
      <c r="U20" s="15"/>
      <c r="V20" s="15"/>
      <c r="W20" s="15"/>
      <c r="Z20" s="15" t="str">
        <f>B20</f>
        <v>RSN</v>
      </c>
      <c r="AA20" s="15"/>
      <c r="AB20" s="15"/>
      <c r="AC20" s="15"/>
    </row>
    <row r="21" spans="2:29" x14ac:dyDescent="0.15">
      <c r="B21" s="9"/>
      <c r="C21" s="9"/>
      <c r="D21" s="9">
        <v>1</v>
      </c>
      <c r="E21" s="9"/>
      <c r="H21" s="9"/>
      <c r="I21" s="9">
        <v>3</v>
      </c>
      <c r="J21" s="9"/>
      <c r="K21" s="9"/>
      <c r="N21" s="9">
        <v>1</v>
      </c>
      <c r="O21" s="9"/>
      <c r="P21" s="9">
        <v>1</v>
      </c>
      <c r="Q21" s="9"/>
      <c r="T21" s="9"/>
      <c r="U21" s="9"/>
      <c r="V21" s="9"/>
      <c r="W21" s="9"/>
      <c r="Z21" s="9"/>
      <c r="AA21" s="9"/>
      <c r="AB21" s="9"/>
      <c r="AC21" s="9"/>
    </row>
    <row r="22" spans="2:29" x14ac:dyDescent="0.15">
      <c r="B22" s="9"/>
      <c r="C22" s="9">
        <v>3</v>
      </c>
      <c r="D22" s="9"/>
      <c r="E22" s="9"/>
      <c r="H22" s="9"/>
      <c r="I22" s="9"/>
      <c r="J22" s="9">
        <v>2</v>
      </c>
      <c r="K22" s="9"/>
      <c r="N22" s="9"/>
      <c r="O22" s="9">
        <v>2</v>
      </c>
      <c r="P22" s="9"/>
      <c r="Q22" s="9"/>
      <c r="T22" s="9">
        <v>1</v>
      </c>
      <c r="U22" s="9">
        <v>2</v>
      </c>
      <c r="V22" s="9">
        <v>3</v>
      </c>
      <c r="W22" s="9"/>
      <c r="Z22" s="9"/>
      <c r="AA22" s="9"/>
      <c r="AB22" s="9"/>
      <c r="AC22" s="9">
        <v>1</v>
      </c>
    </row>
    <row r="23" spans="2:29" x14ac:dyDescent="0.15">
      <c r="B23" s="9"/>
      <c r="C23" s="9"/>
      <c r="D23" s="9">
        <v>2</v>
      </c>
      <c r="E23" s="9"/>
      <c r="H23" s="9"/>
      <c r="I23" s="9">
        <v>1</v>
      </c>
      <c r="J23" s="9"/>
      <c r="K23" s="9"/>
      <c r="N23" s="9"/>
      <c r="O23" s="9">
        <v>3</v>
      </c>
      <c r="P23" s="9"/>
      <c r="Q23" s="9"/>
      <c r="T23" s="9"/>
      <c r="U23" s="9">
        <v>1</v>
      </c>
      <c r="V23" s="9"/>
      <c r="W23" s="9"/>
      <c r="Z23" s="9">
        <v>1</v>
      </c>
      <c r="AA23" s="9"/>
      <c r="AB23" s="9">
        <v>2</v>
      </c>
      <c r="AC23" s="9"/>
    </row>
    <row r="24" spans="2:29" x14ac:dyDescent="0.15">
      <c r="B24" s="9"/>
      <c r="C24" s="9">
        <v>1</v>
      </c>
      <c r="D24" s="9"/>
      <c r="E24" s="9"/>
      <c r="H24" s="9"/>
      <c r="I24" s="9"/>
      <c r="J24" s="9">
        <v>1</v>
      </c>
      <c r="K24" s="9"/>
      <c r="N24" s="9"/>
      <c r="O24" s="9"/>
      <c r="P24" s="9"/>
      <c r="Q24" s="9"/>
      <c r="T24" s="9"/>
      <c r="U24" s="9"/>
      <c r="V24" s="9"/>
      <c r="W24" s="9"/>
      <c r="Z24" s="9"/>
      <c r="AA24" s="9">
        <v>3</v>
      </c>
      <c r="AB24" s="9"/>
      <c r="AC24" s="9"/>
    </row>
    <row r="29" spans="2:29" x14ac:dyDescent="0.15">
      <c r="B29" s="14" t="s">
        <v>48</v>
      </c>
      <c r="C29" s="15"/>
      <c r="D29" s="15"/>
      <c r="E29" s="15"/>
      <c r="H29" s="15" t="str">
        <f>B29</f>
        <v>GHS.50</v>
      </c>
      <c r="I29" s="15"/>
      <c r="J29" s="15"/>
      <c r="K29" s="15"/>
      <c r="N29" s="15" t="str">
        <f>B29</f>
        <v>GHS.50</v>
      </c>
      <c r="O29" s="15"/>
      <c r="P29" s="15"/>
      <c r="Q29" s="15"/>
      <c r="T29" s="15" t="str">
        <f>B29</f>
        <v>GHS.50</v>
      </c>
      <c r="U29" s="15"/>
      <c r="V29" s="15"/>
      <c r="W29" s="15"/>
    </row>
    <row r="30" spans="2:29" x14ac:dyDescent="0.15">
      <c r="B30" s="9"/>
      <c r="C30" s="9"/>
      <c r="D30" s="9"/>
      <c r="E30" s="9"/>
      <c r="H30" s="9"/>
      <c r="I30" s="9"/>
      <c r="J30" s="9"/>
      <c r="K30" s="9"/>
      <c r="N30" s="9"/>
      <c r="O30" s="9"/>
      <c r="P30" s="9"/>
      <c r="Q30" s="9"/>
      <c r="T30" s="9">
        <v>1</v>
      </c>
      <c r="U30" s="9"/>
      <c r="V30" s="9">
        <v>3</v>
      </c>
      <c r="W30" s="9"/>
    </row>
    <row r="31" spans="2:29" x14ac:dyDescent="0.15">
      <c r="B31" s="9"/>
      <c r="C31" s="9">
        <v>3</v>
      </c>
      <c r="D31" s="9"/>
      <c r="E31" s="9">
        <v>1</v>
      </c>
      <c r="H31" s="9"/>
      <c r="I31" s="9">
        <v>3</v>
      </c>
      <c r="J31" s="9"/>
      <c r="K31" s="9">
        <v>1</v>
      </c>
      <c r="N31" s="9">
        <v>1</v>
      </c>
      <c r="O31" s="9"/>
      <c r="P31" s="9">
        <v>1</v>
      </c>
      <c r="Q31" s="9"/>
      <c r="T31" s="9"/>
      <c r="U31" s="9">
        <v>2</v>
      </c>
      <c r="V31" s="9"/>
      <c r="W31" s="9">
        <v>1</v>
      </c>
    </row>
    <row r="32" spans="2:29" x14ac:dyDescent="0.15">
      <c r="B32" s="9">
        <v>1</v>
      </c>
      <c r="C32" s="9"/>
      <c r="D32" s="9">
        <v>2</v>
      </c>
      <c r="E32" s="9"/>
      <c r="H32" s="9"/>
      <c r="I32" s="9"/>
      <c r="J32" s="9">
        <v>2</v>
      </c>
      <c r="K32" s="9"/>
      <c r="N32" s="9"/>
      <c r="O32" s="9">
        <v>2</v>
      </c>
      <c r="P32" s="9"/>
      <c r="Q32" s="9"/>
      <c r="T32" s="9">
        <v>1</v>
      </c>
      <c r="U32" s="9"/>
      <c r="V32" s="9"/>
      <c r="W32" s="9"/>
    </row>
    <row r="33" spans="2:23" x14ac:dyDescent="0.15">
      <c r="B33" s="9"/>
      <c r="C33" s="9"/>
      <c r="D33" s="9"/>
      <c r="E33" s="9"/>
      <c r="H33" s="9"/>
      <c r="I33" s="9"/>
      <c r="J33" s="9"/>
      <c r="K33" s="9">
        <v>1</v>
      </c>
      <c r="N33" s="9">
        <v>3</v>
      </c>
      <c r="O33" s="9"/>
      <c r="P33" s="9">
        <v>1</v>
      </c>
      <c r="Q33" s="9"/>
      <c r="T33" s="9"/>
      <c r="U33" s="9"/>
      <c r="V33" s="9"/>
      <c r="W33" s="9"/>
    </row>
    <row r="37" spans="2:23" x14ac:dyDescent="0.15">
      <c r="B37" s="15" t="s">
        <v>37</v>
      </c>
      <c r="C37" s="15"/>
      <c r="D37" s="15"/>
      <c r="E37" s="15"/>
      <c r="H37" s="15" t="str">
        <f>B37</f>
        <v>DE.P</v>
      </c>
      <c r="I37" s="15"/>
      <c r="J37" s="15"/>
      <c r="K37" s="15"/>
      <c r="N37" s="15" t="str">
        <f>B37</f>
        <v>DE.P</v>
      </c>
      <c r="O37" s="15"/>
      <c r="P37" s="15"/>
      <c r="Q37" s="15"/>
      <c r="T37" s="15" t="str">
        <f>B37</f>
        <v>DE.P</v>
      </c>
      <c r="U37" s="15"/>
      <c r="V37" s="15"/>
      <c r="W37" s="15"/>
    </row>
    <row r="38" spans="2:23" x14ac:dyDescent="0.15">
      <c r="B38" s="9"/>
      <c r="C38" s="9"/>
      <c r="D38" s="9"/>
      <c r="E38" s="9"/>
      <c r="H38" s="9"/>
      <c r="I38" s="9"/>
      <c r="J38" s="9"/>
      <c r="K38" s="9"/>
      <c r="N38" s="9"/>
      <c r="O38" s="9"/>
      <c r="P38" s="9"/>
      <c r="Q38" s="9">
        <v>1</v>
      </c>
      <c r="T38" s="9"/>
      <c r="U38" s="9"/>
      <c r="V38" s="9">
        <v>1</v>
      </c>
      <c r="W38" s="9"/>
    </row>
    <row r="39" spans="2:23" x14ac:dyDescent="0.15">
      <c r="B39" s="9"/>
      <c r="C39" s="9"/>
      <c r="D39" s="9">
        <v>1</v>
      </c>
      <c r="E39" s="9">
        <v>3</v>
      </c>
      <c r="H39" s="9"/>
      <c r="I39" s="9"/>
      <c r="J39" s="9">
        <v>1</v>
      </c>
      <c r="K39" s="9"/>
      <c r="N39" s="9"/>
      <c r="O39" s="9"/>
      <c r="P39" s="9">
        <v>2</v>
      </c>
      <c r="Q39" s="9"/>
      <c r="T39" s="9"/>
      <c r="U39" s="9">
        <v>3</v>
      </c>
      <c r="V39" s="9"/>
      <c r="W39" s="9">
        <v>1</v>
      </c>
    </row>
    <row r="40" spans="2:23" x14ac:dyDescent="0.15">
      <c r="B40" s="9"/>
      <c r="C40" s="9">
        <v>2</v>
      </c>
      <c r="D40" s="9"/>
      <c r="E40" s="9"/>
      <c r="H40" s="9">
        <v>3</v>
      </c>
      <c r="I40" s="9">
        <v>2</v>
      </c>
      <c r="J40" s="9"/>
      <c r="K40" s="9"/>
      <c r="N40" s="9"/>
      <c r="O40" s="9">
        <v>3</v>
      </c>
      <c r="P40" s="9">
        <v>1</v>
      </c>
      <c r="Q40" s="9"/>
      <c r="T40" s="9"/>
      <c r="U40" s="9"/>
      <c r="V40" s="9">
        <v>2</v>
      </c>
      <c r="W40" s="9"/>
    </row>
    <row r="41" spans="2:23" x14ac:dyDescent="0.15">
      <c r="B41" s="9"/>
      <c r="C41" s="9"/>
      <c r="D41" s="9">
        <v>1</v>
      </c>
      <c r="E41" s="9">
        <v>1</v>
      </c>
      <c r="H41" s="9"/>
      <c r="I41" s="9"/>
      <c r="J41" s="9">
        <v>1</v>
      </c>
      <c r="K41" s="9"/>
      <c r="N41" s="9"/>
      <c r="O41" s="9"/>
      <c r="P41" s="9"/>
      <c r="Q41" s="9"/>
      <c r="T41" s="9"/>
      <c r="U41" s="9">
        <v>1</v>
      </c>
      <c r="V41" s="9"/>
      <c r="W41" s="9"/>
    </row>
    <row r="46" spans="2:23" x14ac:dyDescent="0.15">
      <c r="B46" s="14" t="s">
        <v>59</v>
      </c>
      <c r="C46" s="15"/>
      <c r="D46" s="15"/>
      <c r="E46" s="15"/>
      <c r="H46" s="14" t="s">
        <v>59</v>
      </c>
      <c r="I46" s="15"/>
      <c r="J46" s="15"/>
      <c r="K46" s="15"/>
      <c r="N46" s="14" t="s">
        <v>59</v>
      </c>
      <c r="O46" s="15"/>
      <c r="P46" s="15"/>
      <c r="Q46" s="15"/>
      <c r="T46" s="14" t="s">
        <v>59</v>
      </c>
      <c r="U46" s="15"/>
      <c r="V46" s="15"/>
      <c r="W46" s="15"/>
    </row>
    <row r="47" spans="2:23" x14ac:dyDescent="0.15">
      <c r="B47" s="9"/>
      <c r="C47" s="9"/>
      <c r="D47" s="9"/>
      <c r="E47" s="9"/>
      <c r="H47" s="9"/>
      <c r="I47" s="9">
        <v>2</v>
      </c>
      <c r="J47" s="9"/>
      <c r="K47" s="9"/>
      <c r="N47" s="9"/>
      <c r="O47" s="9"/>
      <c r="P47" s="9"/>
      <c r="Q47" s="9"/>
      <c r="T47" s="9"/>
      <c r="U47" s="9"/>
      <c r="V47" s="9"/>
      <c r="W47" s="9"/>
    </row>
    <row r="48" spans="2:23" x14ac:dyDescent="0.15">
      <c r="B48" s="9"/>
      <c r="C48" s="9"/>
      <c r="D48" s="9"/>
      <c r="E48" s="9"/>
      <c r="H48" s="9"/>
      <c r="I48" s="9">
        <v>1</v>
      </c>
      <c r="J48" s="9"/>
      <c r="K48" s="9"/>
      <c r="N48" s="9"/>
      <c r="O48" s="9"/>
      <c r="P48" s="9">
        <v>3</v>
      </c>
      <c r="Q48" s="9"/>
      <c r="T48" s="9"/>
      <c r="U48" s="9"/>
      <c r="V48" s="9"/>
      <c r="W48" s="9"/>
    </row>
    <row r="49" spans="2:23" x14ac:dyDescent="0.15">
      <c r="B49" s="9"/>
      <c r="C49" s="9">
        <v>2</v>
      </c>
      <c r="D49" s="9">
        <v>1</v>
      </c>
      <c r="E49" s="9">
        <v>3</v>
      </c>
      <c r="H49" s="9"/>
      <c r="I49" s="9">
        <v>3</v>
      </c>
      <c r="J49" s="9"/>
      <c r="K49" s="9"/>
      <c r="N49" s="9"/>
      <c r="O49" s="9"/>
      <c r="P49" s="9">
        <v>1</v>
      </c>
      <c r="Q49" s="9"/>
      <c r="T49" s="9"/>
      <c r="U49" s="9">
        <v>3</v>
      </c>
      <c r="V49" s="9">
        <v>1</v>
      </c>
      <c r="W49" s="9">
        <v>2</v>
      </c>
    </row>
    <row r="50" spans="2:23" x14ac:dyDescent="0.15">
      <c r="B50" s="9"/>
      <c r="C50" s="9"/>
      <c r="D50" s="9"/>
      <c r="E50" s="9"/>
      <c r="H50" s="9"/>
      <c r="I50" s="9"/>
      <c r="J50" s="9"/>
      <c r="K50" s="9"/>
      <c r="N50" s="9"/>
      <c r="O50" s="9"/>
      <c r="P50" s="9">
        <v>2</v>
      </c>
      <c r="Q50" s="9"/>
      <c r="T50" s="9"/>
      <c r="U50" s="9"/>
      <c r="V50" s="9"/>
      <c r="W50" s="9"/>
    </row>
  </sheetData>
  <mergeCells count="26">
    <mergeCell ref="Z1:AC1"/>
    <mergeCell ref="B20:E20"/>
    <mergeCell ref="H20:K20"/>
    <mergeCell ref="N20:Q20"/>
    <mergeCell ref="T20:W20"/>
    <mergeCell ref="B10:E10"/>
    <mergeCell ref="H10:K10"/>
    <mergeCell ref="N10:Q10"/>
    <mergeCell ref="T10:W10"/>
    <mergeCell ref="B1:E1"/>
    <mergeCell ref="H1:K1"/>
    <mergeCell ref="N1:Q1"/>
    <mergeCell ref="T1:W1"/>
    <mergeCell ref="Z20:AC20"/>
    <mergeCell ref="B29:E29"/>
    <mergeCell ref="H29:K29"/>
    <mergeCell ref="N29:Q29"/>
    <mergeCell ref="T29:W29"/>
    <mergeCell ref="B46:E46"/>
    <mergeCell ref="H46:K46"/>
    <mergeCell ref="N46:Q46"/>
    <mergeCell ref="T46:W46"/>
    <mergeCell ref="B37:E37"/>
    <mergeCell ref="H37:K37"/>
    <mergeCell ref="N37:Q37"/>
    <mergeCell ref="T37:W37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38</xdr:col>
                <xdr:colOff>38100</xdr:colOff>
                <xdr:row>0</xdr:row>
                <xdr:rowOff>104775</xdr:rowOff>
              </from>
              <to>
                <xdr:col>45</xdr:col>
                <xdr:colOff>171450</xdr:colOff>
                <xdr:row>3</xdr:row>
                <xdr:rowOff>47625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芯片</vt:lpstr>
      <vt:lpstr>枚举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2017-09-13T16:25:17Z</dcterms:modified>
</cp:coreProperties>
</file>