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4" i="3"/>
  <c r="D3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<sst xmlns="http://schemas.openxmlformats.org/spreadsheetml/2006/main" count="545" uniqueCount="335">
  <si>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</si>
  <si>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</si>
  <si>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</si>
  <si>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</si>
  <si>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</si>
  <si>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</si>
  <si>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</si>
  <si>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</si>
  <si>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</si>
  <si>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</si>
  <si>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</si>
  <si>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</si>
  <si>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</si>
  <si>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</si>
  <si>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</si>
  <si>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</si>
  <si>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</si>
  <si>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</si>
  <si>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</si>
  <si>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</si>
  <si>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</si>
  <si>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</si>
  <si>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</si>
  <si>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</si>
  <si>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</si>
  <si>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</si>
  <si>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</si>
  <si>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</si>
  <si>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</si>
  <si>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</si>
  <si>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</si>
  <si>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</si>
  <si>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</si>
  <si>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</si>
  <si>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</si>
  <si>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</si>
  <si>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</si>
  <si>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</si>
  <si>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</si>
  <si>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</si>
  <si>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</si>
  <si>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</si>
  <si>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</si>
  <si>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</si>
  <si>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</si>
  <si>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</si>
  <si>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</si>
  <si>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</si>
  <si>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</si>
  <si>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</si>
  <si>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</si>
  <si>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</si>
  <si>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</si>
  <si>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</si>
  <si>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</si>
  <si>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Hostility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</si>
  <si>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</si>
  <si>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</si>
  <si>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</si>
  <si>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</si>
  <si>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</si>
  <si>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</si>
  <si>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</si>
  <si>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</si>
  <si>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</si>
  <si>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</si>
  <si>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</si>
  <si>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</si>
  <si>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</si>
  <si>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</si>
  <si>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</si>
  <si>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</si>
  <si>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</si>
  <si>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</si>
  <si>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</si>
  <si>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</si>
  <si>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</si>
  <si>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</si>
  <si>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</si>
  <si>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</si>
  <si>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</si>
  <si>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</si>
  <si>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</si>
  <si>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</si>
  <si>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</si>
  <si>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</si>
  <si>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</si>
  <si>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</si>
  <si>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</si>
  <si>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</si>
  <si>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</si>
  <si>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</si>
  <si>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</si>
  <si>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</si>
  <si>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</si>
  <si>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</si>
  <si>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</si>
  <si>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</si>
  <si>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</si>
  <si>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</si>
  <si>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</si>
  <si>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</si>
  <si>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</si>
  <si>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</si>
  <si>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</si>
  <si>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</si>
  <si>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</si>
  <si>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</si>
  <si>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</si>
  <si>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</si>
  <si>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</si>
  <si>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</si>
  <si>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</si>
  <si>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</si>
  <si>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</si>
  <si>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</si>
  <si>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</si>
  <si>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</si>
  <si>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</si>
  <si>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</si>
  <si>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</si>
  <si>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</si>
  <si>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</si>
  <si>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</si>
  <si>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</si>
  <si>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</si>
  <si>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</si>
  <si>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</si>
  <si>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</si>
  <si>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</si>
  <si>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</si>
  <si>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</si>
  <si>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</si>
  <si>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</si>
  <si>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</si>
  <si>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</si>
  <si>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</si>
  <si>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</si>
  <si>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</si>
  <si>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</si>
  <si>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</si>
  <si>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</si>
  <si>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</si>
  <si>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</si>
  <si>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</si>
  <si>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</si>
  <si>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</si>
  <si>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</si>
  <si>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</si>
  <si>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</si>
  <si>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Iron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</si>
  <si>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</si>
  <si>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</si>
  <si>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</si>
  <si>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</si>
  <si>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</si>
  <si>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</si>
  <si>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</si>
  <si>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</si>
  <si>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</si>
  <si>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</si>
  <si>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</si>
  <si>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</si>
  <si>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</si>
  <si>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</si>
  <si>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</si>
  <si>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</si>
  <si>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</si>
  <si>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</si>
  <si>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</si>
  <si>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</si>
  <si>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</si>
  <si>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</si>
  <si>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</si>
  <si>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</si>
  <si>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</si>
  <si>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</si>
  <si>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</si>
  <si>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</si>
  <si>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</si>
  <si>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</si>
  <si>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</si>
  <si>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</si>
  <si>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</si>
  <si>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</si>
  <si>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</si>
  <si>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</si>
  <si>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</si>
  <si>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</si>
  <si>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</si>
  <si>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</si>
  <si>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</si>
  <si>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</si>
  <si>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</si>
  <si>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</si>
  <si>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</si>
  <si>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</si>
  <si>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</si>
  <si>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</si>
  <si>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</si>
  <si>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</si>
  <si>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</si>
  <si>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</si>
  <si>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</si>
  <si>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</si>
  <si>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</si>
  <si>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</si>
  <si>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</si>
  <si>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</si>
  <si>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</si>
  <si>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</si>
  <si>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</si>
  <si>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</si>
  <si>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</si>
  <si>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</si>
  <si>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</si>
  <si>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</si>
  <si>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</si>
  <si>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</si>
  <si>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</si>
  <si>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</si>
  <si>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</si>
  <si>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</si>
  <si>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</si>
  <si>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</si>
  <si>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</si>
  <si>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</si>
  <si>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</si>
  <si>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</si>
  <si>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</si>
  <si>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</si>
  <si>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</si>
  <si>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</si>
  <si>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</si>
  <si>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</si>
  <si>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</si>
  <si>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</si>
  <si>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</si>
  <si>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</si>
  <si>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</si>
  <si>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</si>
  <si>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</si>
  <si>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</si>
  <si>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</si>
  <si>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</si>
  <si>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</si>
  <si>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</si>
  <si>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</si>
  <si>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</si>
  <si>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</si>
  <si>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</si>
  <si>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</si>
  <si>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</si>
  <si>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</si>
  <si>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</si>
  <si>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</si>
  <si>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</si>
  <si>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</si>
  <si>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</si>
  <si>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</si>
  <si>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</si>
  <si>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</si>
  <si>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</si>
  <si>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</si>
  <si>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</si>
  <si>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</si>
  <si>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</si>
  <si>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</si>
  <si>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</si>
  <si>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</si>
  <si>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</si>
  <si>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</si>
  <si>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</si>
  <si>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</si>
  <si>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</si>
  <si>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</si>
  <si>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</si>
  <si>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</si>
  <si>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</si>
  <si>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</si>
  <si>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[2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</si>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</sst>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2" fillId="3" borderId="0" xfId="0" applyFont="1" applyFill="1" applyAlignment="1">
      <alignment horizontal="left" vertical="center"/>
    </xf>
    <xf numFmtId="0" fontId="8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1" dataDxfId="50">
  <autoFilter ref="A3:J30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/>
    <tableColumn id="9" name="skill_elite" dataDxfId="42"/>
    <tableColumn id="10" name="skill_boss" dataDxfId="41"/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tabSelected="1" workbookViewId="0">
      <pane xSplit="3" ySplit="3" topLeftCell="D8" activePane="bottomRight" state="frozen"/>
      <selection pane="topRight" activeCell="D1" sqref="D1"/>
      <selection pane="bottomLeft" activeCell="A4" sqref="A4"/>
      <selection pane="bottomRight" activeCell="E13" sqref="E13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1.375" style="4" customWidth="1"/>
    <col min="6" max="9" width="60.625" style="1" customWidth="1"/>
    <col min="10" max="10" width="42.25" style="1" customWidth="1"/>
    <col min="11" max="16384" width="9" style="1"/>
  </cols>
  <sheetData>
    <row r="1" spans="1:13" s="6" customFormat="1" ht="135.75" customHeight="1" x14ac:dyDescent="0.2">
      <c r="A1" s="5" t="s">
        <v>0</v>
      </c>
      <c r="B1" s="5" t="s">
        <v>31</v>
      </c>
      <c r="C1" s="5" t="s">
        <v>7</v>
      </c>
      <c r="D1" s="5" t="s">
        <v>328</v>
      </c>
      <c r="E1" s="27" t="s">
        <v>329</v>
      </c>
      <c r="F1" s="27" t="s">
        <v>331</v>
      </c>
      <c r="G1" s="27" t="s">
        <v>332</v>
      </c>
      <c r="H1" s="27" t="s">
        <v>330</v>
      </c>
      <c r="I1" s="27" t="s">
        <v>333</v>
      </c>
      <c r="J1" s="27" t="s">
        <v>334</v>
      </c>
    </row>
    <row r="2" spans="1:13" x14ac:dyDescent="0.3">
      <c r="A2" s="7" t="s">
        <v>14</v>
      </c>
      <c r="B2" s="7" t="s">
        <v>1</v>
      </c>
      <c r="C2" s="7" t="s">
        <v>8</v>
      </c>
      <c r="D2" s="10" t="s">
        <v>42</v>
      </c>
      <c r="E2" s="11" t="s">
        <v>44</v>
      </c>
      <c r="F2" s="7" t="s">
        <v>194</v>
      </c>
      <c r="G2" s="7" t="s">
        <v>194</v>
      </c>
      <c r="H2" s="7" t="s">
        <v>194</v>
      </c>
      <c r="I2" s="7" t="s">
        <v>194</v>
      </c>
      <c r="J2" s="7" t="s">
        <v>254</v>
      </c>
    </row>
    <row r="3" spans="1:13" x14ac:dyDescent="0.3">
      <c r="A3" s="28" t="s">
        <v>2</v>
      </c>
      <c r="B3" s="28" t="s">
        <v>15</v>
      </c>
      <c r="C3" s="28" t="s">
        <v>9</v>
      </c>
      <c r="D3" s="28" t="s">
        <v>41</v>
      </c>
      <c r="E3" s="28" t="s">
        <v>46</v>
      </c>
      <c r="F3" s="28" t="s">
        <v>47</v>
      </c>
      <c r="G3" s="28" t="s">
        <v>10</v>
      </c>
      <c r="H3" s="28" t="s">
        <v>11</v>
      </c>
      <c r="I3" s="28" t="s">
        <v>12</v>
      </c>
      <c r="J3" s="28" t="s">
        <v>48</v>
      </c>
      <c r="M3" s="1" t="s">
        <v>300</v>
      </c>
    </row>
    <row r="4" spans="1:13" x14ac:dyDescent="0.3">
      <c r="A4" s="8">
        <v>1000001</v>
      </c>
      <c r="B4" s="8" t="s">
        <v>16</v>
      </c>
      <c r="C4" s="26" t="s">
        <v>60</v>
      </c>
      <c r="D4" s="8" t="s">
        <v>29</v>
      </c>
      <c r="E4" s="12" t="s">
        <v>45</v>
      </c>
      <c r="F4" s="8"/>
      <c r="G4" s="8" t="s">
        <v>195</v>
      </c>
      <c r="H4" s="8" t="s">
        <v>195</v>
      </c>
      <c r="I4" s="8" t="s">
        <v>196</v>
      </c>
      <c r="J4" s="8">
        <v>2000005</v>
      </c>
      <c r="M4" s="1" t="s">
        <v>301</v>
      </c>
    </row>
    <row r="5" spans="1:13" x14ac:dyDescent="0.3">
      <c r="A5" s="8">
        <v>1000002</v>
      </c>
      <c r="B5" s="8" t="s">
        <v>17</v>
      </c>
      <c r="C5" s="26" t="s">
        <v>63</v>
      </c>
      <c r="D5" s="8" t="s">
        <v>30</v>
      </c>
      <c r="E5" s="12" t="s">
        <v>45</v>
      </c>
      <c r="F5" s="8" t="s">
        <v>197</v>
      </c>
      <c r="G5" s="8" t="s">
        <v>198</v>
      </c>
      <c r="H5" s="8" t="s">
        <v>199</v>
      </c>
      <c r="I5" s="8" t="s">
        <v>200</v>
      </c>
      <c r="J5" s="8">
        <v>2000005</v>
      </c>
      <c r="M5" s="1" t="s">
        <v>302</v>
      </c>
    </row>
    <row r="6" spans="1:13" x14ac:dyDescent="0.3">
      <c r="A6" s="8">
        <v>1000003</v>
      </c>
      <c r="B6" s="8" t="s">
        <v>17</v>
      </c>
      <c r="C6" s="26" t="s">
        <v>66</v>
      </c>
      <c r="D6" s="8" t="s">
        <v>30</v>
      </c>
      <c r="E6" s="12" t="s">
        <v>193</v>
      </c>
      <c r="F6" s="8" t="s">
        <v>201</v>
      </c>
      <c r="G6" s="8" t="s">
        <v>202</v>
      </c>
      <c r="H6" s="8" t="s">
        <v>251</v>
      </c>
      <c r="I6" s="8" t="s">
        <v>203</v>
      </c>
      <c r="J6" s="8">
        <v>2000005</v>
      </c>
      <c r="M6" s="1" t="s">
        <v>303</v>
      </c>
    </row>
    <row r="7" spans="1:13" x14ac:dyDescent="0.3">
      <c r="A7" s="8">
        <v>1000004</v>
      </c>
      <c r="B7" s="8" t="s">
        <v>17</v>
      </c>
      <c r="C7" s="26" t="s">
        <v>69</v>
      </c>
      <c r="D7" s="8" t="s">
        <v>29</v>
      </c>
      <c r="E7" s="12" t="s">
        <v>193</v>
      </c>
      <c r="F7" s="8" t="s">
        <v>201</v>
      </c>
      <c r="G7" s="8" t="s">
        <v>201</v>
      </c>
      <c r="H7" s="8" t="s">
        <v>201</v>
      </c>
      <c r="I7" s="8" t="s">
        <v>201</v>
      </c>
      <c r="J7" s="8" t="s">
        <v>259</v>
      </c>
      <c r="M7" s="1" t="s">
        <v>304</v>
      </c>
    </row>
    <row r="8" spans="1:13" x14ac:dyDescent="0.3">
      <c r="A8" s="8">
        <v>1000005</v>
      </c>
      <c r="B8" s="8" t="s">
        <v>17</v>
      </c>
      <c r="C8" s="26" t="s">
        <v>72</v>
      </c>
      <c r="D8" s="8" t="s">
        <v>29</v>
      </c>
      <c r="E8" s="12" t="s">
        <v>193</v>
      </c>
      <c r="F8" s="8" t="s">
        <v>201</v>
      </c>
      <c r="G8" s="8" t="s">
        <v>201</v>
      </c>
      <c r="H8" s="8" t="s">
        <v>201</v>
      </c>
      <c r="I8" s="8" t="s">
        <v>201</v>
      </c>
      <c r="J8" s="8" t="s">
        <v>268</v>
      </c>
      <c r="M8" s="1" t="s">
        <v>306</v>
      </c>
    </row>
    <row r="9" spans="1:13" x14ac:dyDescent="0.3">
      <c r="A9" s="8">
        <v>1000006</v>
      </c>
      <c r="B9" s="8" t="s">
        <v>17</v>
      </c>
      <c r="C9" s="26" t="s">
        <v>75</v>
      </c>
      <c r="D9" s="8" t="s">
        <v>29</v>
      </c>
      <c r="E9" s="12" t="s">
        <v>193</v>
      </c>
      <c r="F9" s="8" t="s">
        <v>201</v>
      </c>
      <c r="G9" s="8" t="s">
        <v>201</v>
      </c>
      <c r="H9" s="8" t="s">
        <v>201</v>
      </c>
      <c r="I9" s="8" t="s">
        <v>201</v>
      </c>
      <c r="J9" s="8" t="s">
        <v>269</v>
      </c>
      <c r="M9" s="1" t="s">
        <v>305</v>
      </c>
    </row>
    <row r="10" spans="1:13" x14ac:dyDescent="0.3">
      <c r="A10" s="8">
        <v>1000007</v>
      </c>
      <c r="B10" s="8" t="s">
        <v>17</v>
      </c>
      <c r="C10" s="26" t="s">
        <v>78</v>
      </c>
      <c r="D10" s="8" t="s">
        <v>29</v>
      </c>
      <c r="E10" s="12" t="s">
        <v>193</v>
      </c>
      <c r="F10" s="8" t="s">
        <v>201</v>
      </c>
      <c r="G10" s="8" t="s">
        <v>201</v>
      </c>
      <c r="H10" s="8" t="s">
        <v>201</v>
      </c>
      <c r="I10" s="8" t="s">
        <v>201</v>
      </c>
      <c r="J10" s="8" t="s">
        <v>255</v>
      </c>
      <c r="M10" s="1" t="s">
        <v>307</v>
      </c>
    </row>
    <row r="11" spans="1:13" x14ac:dyDescent="0.3">
      <c r="A11" s="8">
        <v>1000008</v>
      </c>
      <c r="B11" s="8" t="s">
        <v>17</v>
      </c>
      <c r="C11" s="26" t="s">
        <v>83</v>
      </c>
      <c r="D11" s="8" t="s">
        <v>29</v>
      </c>
      <c r="E11" s="12" t="s">
        <v>193</v>
      </c>
      <c r="F11" s="8" t="s">
        <v>201</v>
      </c>
      <c r="G11" s="8" t="s">
        <v>201</v>
      </c>
      <c r="H11" s="8" t="s">
        <v>252</v>
      </c>
      <c r="I11" s="8" t="s">
        <v>253</v>
      </c>
      <c r="J11" s="8">
        <v>2000005</v>
      </c>
      <c r="M11" s="1" t="s">
        <v>308</v>
      </c>
    </row>
    <row r="12" spans="1:13" x14ac:dyDescent="0.3">
      <c r="A12" s="8">
        <v>1000009</v>
      </c>
      <c r="B12" s="8" t="s">
        <v>17</v>
      </c>
      <c r="C12" s="26" t="s">
        <v>86</v>
      </c>
      <c r="D12" s="8" t="s">
        <v>29</v>
      </c>
      <c r="E12" s="12" t="s">
        <v>193</v>
      </c>
      <c r="F12" s="8" t="s">
        <v>201</v>
      </c>
      <c r="G12" s="8" t="s">
        <v>201</v>
      </c>
      <c r="H12" s="8" t="s">
        <v>201</v>
      </c>
      <c r="I12" s="8" t="s">
        <v>201</v>
      </c>
      <c r="J12" s="8" t="s">
        <v>276</v>
      </c>
      <c r="M12" s="1" t="s">
        <v>309</v>
      </c>
    </row>
    <row r="13" spans="1:13" x14ac:dyDescent="0.3">
      <c r="A13" s="8">
        <v>1000010</v>
      </c>
      <c r="B13" s="8" t="s">
        <v>17</v>
      </c>
      <c r="C13" s="26" t="s">
        <v>91</v>
      </c>
      <c r="D13" s="8" t="s">
        <v>29</v>
      </c>
      <c r="E13" s="12" t="s">
        <v>193</v>
      </c>
      <c r="F13" s="8" t="s">
        <v>201</v>
      </c>
      <c r="G13" s="8" t="s">
        <v>201</v>
      </c>
      <c r="H13" s="8" t="s">
        <v>201</v>
      </c>
      <c r="I13" s="8" t="s">
        <v>201</v>
      </c>
      <c r="J13" s="8" t="s">
        <v>281</v>
      </c>
      <c r="M13" s="1" t="s">
        <v>310</v>
      </c>
    </row>
    <row r="14" spans="1:13" x14ac:dyDescent="0.3">
      <c r="A14" s="8">
        <v>1000011</v>
      </c>
      <c r="B14" s="8" t="s">
        <v>17</v>
      </c>
      <c r="C14" s="26" t="s">
        <v>93</v>
      </c>
      <c r="D14" s="8" t="s">
        <v>30</v>
      </c>
      <c r="E14" s="12" t="s">
        <v>193</v>
      </c>
      <c r="F14" s="8" t="s">
        <v>201</v>
      </c>
      <c r="G14" s="8" t="s">
        <v>204</v>
      </c>
      <c r="H14" s="8" t="s">
        <v>201</v>
      </c>
      <c r="I14" s="8" t="s">
        <v>205</v>
      </c>
      <c r="J14" s="8" t="s">
        <v>286</v>
      </c>
      <c r="M14" s="1" t="s">
        <v>311</v>
      </c>
    </row>
    <row r="15" spans="1:13" x14ac:dyDescent="0.3">
      <c r="A15" s="8">
        <v>1000012</v>
      </c>
      <c r="B15" s="8" t="s">
        <v>17</v>
      </c>
      <c r="C15" s="26" t="s">
        <v>94</v>
      </c>
      <c r="D15" s="8" t="s">
        <v>29</v>
      </c>
      <c r="E15" s="12" t="s">
        <v>193</v>
      </c>
      <c r="F15" s="8" t="s">
        <v>206</v>
      </c>
      <c r="G15" s="8" t="s">
        <v>207</v>
      </c>
      <c r="H15" s="8" t="s">
        <v>208</v>
      </c>
      <c r="I15" s="8" t="s">
        <v>209</v>
      </c>
      <c r="J15" s="8">
        <v>2000005</v>
      </c>
      <c r="M15" s="1" t="s">
        <v>312</v>
      </c>
    </row>
    <row r="16" spans="1:13" x14ac:dyDescent="0.3">
      <c r="A16" s="8">
        <v>1000013</v>
      </c>
      <c r="B16" s="8" t="s">
        <v>17</v>
      </c>
      <c r="C16" s="26" t="s">
        <v>99</v>
      </c>
      <c r="D16" s="8" t="s">
        <v>30</v>
      </c>
      <c r="E16" s="12" t="s">
        <v>193</v>
      </c>
      <c r="F16" s="8" t="s">
        <v>210</v>
      </c>
      <c r="G16" s="8" t="s">
        <v>211</v>
      </c>
      <c r="H16" s="8" t="s">
        <v>212</v>
      </c>
      <c r="I16" s="8" t="s">
        <v>213</v>
      </c>
      <c r="J16" s="8">
        <v>2000005</v>
      </c>
      <c r="M16" s="1" t="s">
        <v>313</v>
      </c>
    </row>
    <row r="17" spans="1:13" x14ac:dyDescent="0.3">
      <c r="A17" s="8">
        <v>1000014</v>
      </c>
      <c r="B17" s="8" t="s">
        <v>17</v>
      </c>
      <c r="C17" s="26" t="s">
        <v>104</v>
      </c>
      <c r="D17" s="8" t="s">
        <v>30</v>
      </c>
      <c r="E17" s="12" t="s">
        <v>193</v>
      </c>
      <c r="F17" s="8" t="s">
        <v>214</v>
      </c>
      <c r="G17" s="8" t="s">
        <v>215</v>
      </c>
      <c r="H17" s="8" t="s">
        <v>216</v>
      </c>
      <c r="I17" s="8" t="s">
        <v>217</v>
      </c>
      <c r="J17" s="8">
        <v>2000005</v>
      </c>
      <c r="M17" s="1" t="s">
        <v>314</v>
      </c>
    </row>
    <row r="18" spans="1:13" x14ac:dyDescent="0.3">
      <c r="A18" s="8">
        <v>1000015</v>
      </c>
      <c r="B18" s="8" t="s">
        <v>17</v>
      </c>
      <c r="C18" s="26" t="s">
        <v>191</v>
      </c>
      <c r="D18" s="8" t="s">
        <v>29</v>
      </c>
      <c r="E18" s="12" t="s">
        <v>193</v>
      </c>
      <c r="F18" s="8" t="s">
        <v>218</v>
      </c>
      <c r="G18" s="8" t="s">
        <v>219</v>
      </c>
      <c r="H18" s="8" t="s">
        <v>220</v>
      </c>
      <c r="I18" s="8" t="s">
        <v>221</v>
      </c>
      <c r="J18" s="8">
        <v>2000005</v>
      </c>
      <c r="M18" s="1" t="s">
        <v>315</v>
      </c>
    </row>
    <row r="19" spans="1:13" x14ac:dyDescent="0.3">
      <c r="A19" s="8">
        <v>1000016</v>
      </c>
      <c r="B19" s="8" t="s">
        <v>17</v>
      </c>
      <c r="C19" s="26" t="s">
        <v>185</v>
      </c>
      <c r="D19" s="8" t="s">
        <v>29</v>
      </c>
      <c r="E19" s="12" t="s">
        <v>193</v>
      </c>
      <c r="F19" s="8" t="s">
        <v>201</v>
      </c>
      <c r="G19" s="8" t="s">
        <v>222</v>
      </c>
      <c r="H19" s="8" t="s">
        <v>222</v>
      </c>
      <c r="I19" s="8" t="s">
        <v>222</v>
      </c>
      <c r="J19" s="8">
        <v>2000005</v>
      </c>
      <c r="M19" s="1" t="s">
        <v>321</v>
      </c>
    </row>
    <row r="20" spans="1:13" x14ac:dyDescent="0.3">
      <c r="A20" s="8">
        <v>1000017</v>
      </c>
      <c r="B20" s="8" t="s">
        <v>17</v>
      </c>
      <c r="C20" s="26" t="s">
        <v>186</v>
      </c>
      <c r="D20" s="8" t="s">
        <v>30</v>
      </c>
      <c r="E20" s="12" t="s">
        <v>193</v>
      </c>
      <c r="F20" s="8" t="s">
        <v>201</v>
      </c>
      <c r="G20" s="8" t="s">
        <v>201</v>
      </c>
      <c r="H20" s="8" t="s">
        <v>201</v>
      </c>
      <c r="I20" s="8" t="s">
        <v>201</v>
      </c>
      <c r="J20" s="8">
        <v>2000005</v>
      </c>
      <c r="M20" s="1" t="s">
        <v>316</v>
      </c>
    </row>
    <row r="21" spans="1:13" x14ac:dyDescent="0.3">
      <c r="A21" s="8">
        <v>1000018</v>
      </c>
      <c r="B21" s="8" t="s">
        <v>17</v>
      </c>
      <c r="C21" s="26" t="s">
        <v>173</v>
      </c>
      <c r="D21" s="8" t="s">
        <v>29</v>
      </c>
      <c r="E21" s="12" t="s">
        <v>193</v>
      </c>
      <c r="F21" s="8" t="s">
        <v>287</v>
      </c>
      <c r="G21" s="8" t="s">
        <v>288</v>
      </c>
      <c r="H21" s="8" t="s">
        <v>289</v>
      </c>
      <c r="I21" s="8" t="s">
        <v>290</v>
      </c>
      <c r="J21" s="8">
        <v>2000005</v>
      </c>
      <c r="M21" s="1" t="s">
        <v>317</v>
      </c>
    </row>
    <row r="22" spans="1:13" x14ac:dyDescent="0.3">
      <c r="A22" s="8">
        <v>1000019</v>
      </c>
      <c r="B22" s="8" t="s">
        <v>17</v>
      </c>
      <c r="C22" s="26" t="s">
        <v>192</v>
      </c>
      <c r="D22" s="8" t="s">
        <v>30</v>
      </c>
      <c r="E22" s="12" t="s">
        <v>193</v>
      </c>
      <c r="F22" s="8" t="s">
        <v>223</v>
      </c>
      <c r="G22" s="8" t="s">
        <v>224</v>
      </c>
      <c r="H22" s="8" t="s">
        <v>225</v>
      </c>
      <c r="I22" s="8" t="s">
        <v>226</v>
      </c>
      <c r="J22" s="8">
        <v>2000005</v>
      </c>
      <c r="M22" s="1" t="s">
        <v>318</v>
      </c>
    </row>
    <row r="23" spans="1:13" x14ac:dyDescent="0.3">
      <c r="A23" s="8">
        <v>1000020</v>
      </c>
      <c r="B23" s="8" t="s">
        <v>17</v>
      </c>
      <c r="C23" s="26" t="s">
        <v>119</v>
      </c>
      <c r="D23" s="8" t="s">
        <v>30</v>
      </c>
      <c r="E23" s="12" t="s">
        <v>193</v>
      </c>
      <c r="F23" s="8" t="s">
        <v>227</v>
      </c>
      <c r="G23" s="8" t="s">
        <v>227</v>
      </c>
      <c r="H23" s="8" t="s">
        <v>227</v>
      </c>
      <c r="I23" s="8" t="s">
        <v>227</v>
      </c>
      <c r="J23" s="8" t="s">
        <v>292</v>
      </c>
      <c r="M23" s="1" t="s">
        <v>319</v>
      </c>
    </row>
    <row r="24" spans="1:13" x14ac:dyDescent="0.3">
      <c r="A24" s="8">
        <v>1000021</v>
      </c>
      <c r="B24" s="8" t="s">
        <v>17</v>
      </c>
      <c r="C24" s="26" t="s">
        <v>122</v>
      </c>
      <c r="D24" s="8" t="s">
        <v>29</v>
      </c>
      <c r="E24" s="12" t="s">
        <v>193</v>
      </c>
      <c r="F24" s="8" t="s">
        <v>228</v>
      </c>
      <c r="G24" s="8" t="s">
        <v>229</v>
      </c>
      <c r="H24" s="8" t="s">
        <v>230</v>
      </c>
      <c r="I24" s="8" t="s">
        <v>231</v>
      </c>
      <c r="J24" s="8">
        <v>2000031</v>
      </c>
      <c r="M24" s="1" t="s">
        <v>320</v>
      </c>
    </row>
    <row r="25" spans="1:13" x14ac:dyDescent="0.3">
      <c r="A25" s="8">
        <v>1000022</v>
      </c>
      <c r="B25" s="8" t="s">
        <v>17</v>
      </c>
      <c r="C25" s="26" t="s">
        <v>187</v>
      </c>
      <c r="D25" s="8" t="s">
        <v>30</v>
      </c>
      <c r="E25" s="12" t="s">
        <v>193</v>
      </c>
      <c r="F25" s="8" t="s">
        <v>232</v>
      </c>
      <c r="G25" s="8" t="s">
        <v>233</v>
      </c>
      <c r="H25" s="8" t="s">
        <v>234</v>
      </c>
      <c r="I25" s="8" t="s">
        <v>235</v>
      </c>
      <c r="J25" s="8">
        <v>2000005</v>
      </c>
      <c r="M25" s="1" t="s">
        <v>322</v>
      </c>
    </row>
    <row r="26" spans="1:13" x14ac:dyDescent="0.3">
      <c r="A26" s="8">
        <v>1000023</v>
      </c>
      <c r="B26" s="8" t="s">
        <v>17</v>
      </c>
      <c r="C26" s="26" t="s">
        <v>189</v>
      </c>
      <c r="D26" s="8" t="s">
        <v>29</v>
      </c>
      <c r="E26" s="12" t="s">
        <v>193</v>
      </c>
      <c r="F26" s="8" t="s">
        <v>236</v>
      </c>
      <c r="G26" s="8" t="s">
        <v>236</v>
      </c>
      <c r="H26" s="8" t="s">
        <v>236</v>
      </c>
      <c r="I26" s="8" t="s">
        <v>236</v>
      </c>
      <c r="J26" s="8">
        <v>2000005</v>
      </c>
      <c r="M26" s="1" t="s">
        <v>323</v>
      </c>
    </row>
    <row r="27" spans="1:13" x14ac:dyDescent="0.3">
      <c r="A27" s="8">
        <v>1000024</v>
      </c>
      <c r="B27" s="8" t="s">
        <v>17</v>
      </c>
      <c r="C27" s="26" t="s">
        <v>190</v>
      </c>
      <c r="D27" s="8" t="s">
        <v>30</v>
      </c>
      <c r="E27" s="12" t="s">
        <v>193</v>
      </c>
      <c r="F27" s="8" t="s">
        <v>294</v>
      </c>
      <c r="G27" s="8" t="s">
        <v>294</v>
      </c>
      <c r="H27" s="8" t="s">
        <v>294</v>
      </c>
      <c r="I27" s="8" t="s">
        <v>294</v>
      </c>
      <c r="J27" s="8">
        <v>2000006</v>
      </c>
      <c r="M27" s="1" t="s">
        <v>324</v>
      </c>
    </row>
    <row r="28" spans="1:13" x14ac:dyDescent="0.3">
      <c r="A28" s="8">
        <v>1000025</v>
      </c>
      <c r="B28" s="8" t="s">
        <v>17</v>
      </c>
      <c r="C28" s="26" t="s">
        <v>127</v>
      </c>
      <c r="D28" s="8" t="s">
        <v>29</v>
      </c>
      <c r="E28" s="12" t="s">
        <v>193</v>
      </c>
      <c r="F28" s="8" t="s">
        <v>201</v>
      </c>
      <c r="G28" s="8" t="s">
        <v>201</v>
      </c>
      <c r="H28" s="8" t="s">
        <v>201</v>
      </c>
      <c r="I28" s="8" t="s">
        <v>201</v>
      </c>
      <c r="J28" s="8" t="s">
        <v>299</v>
      </c>
      <c r="M28" s="1" t="s">
        <v>325</v>
      </c>
    </row>
    <row r="29" spans="1:13" x14ac:dyDescent="0.3">
      <c r="A29" s="8">
        <v>1000026</v>
      </c>
      <c r="B29" s="8" t="s">
        <v>17</v>
      </c>
      <c r="C29" s="26" t="s">
        <v>188</v>
      </c>
      <c r="D29" s="8" t="s">
        <v>30</v>
      </c>
      <c r="E29" s="12" t="s">
        <v>193</v>
      </c>
      <c r="F29" s="8" t="s">
        <v>237</v>
      </c>
      <c r="G29" s="8" t="s">
        <v>238</v>
      </c>
      <c r="H29" s="8" t="s">
        <v>239</v>
      </c>
      <c r="I29" s="8" t="s">
        <v>240</v>
      </c>
      <c r="J29" s="8"/>
      <c r="M29" s="1" t="s">
        <v>326</v>
      </c>
    </row>
    <row r="30" spans="1:13" x14ac:dyDescent="0.3">
      <c r="A30" s="8">
        <v>1000027</v>
      </c>
      <c r="B30" s="8" t="s">
        <v>17</v>
      </c>
      <c r="C30" s="26" t="s">
        <v>180</v>
      </c>
      <c r="D30" s="8" t="s">
        <v>30</v>
      </c>
      <c r="E30" s="12" t="s">
        <v>193</v>
      </c>
      <c r="F30" s="8" t="s">
        <v>241</v>
      </c>
      <c r="G30" s="8" t="s">
        <v>242</v>
      </c>
      <c r="H30" s="8" t="s">
        <v>243</v>
      </c>
      <c r="I30" s="8" t="s">
        <v>244</v>
      </c>
      <c r="J30" s="8"/>
      <c r="M30" s="1" t="s">
        <v>327</v>
      </c>
    </row>
  </sheetData>
  <phoneticPr fontId="1" type="noConversion"/>
  <conditionalFormatting sqref="A4:A30">
    <cfRule type="duplicateValues" dxfId="52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F24" sqref="F24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16" t="s">
        <v>32</v>
      </c>
      <c r="C1" s="5" t="s">
        <v>33</v>
      </c>
      <c r="D1" s="5" t="s">
        <v>43</v>
      </c>
      <c r="E1" s="5" t="s">
        <v>39</v>
      </c>
      <c r="F1" s="5" t="s">
        <v>40</v>
      </c>
    </row>
    <row r="2" spans="1:6" x14ac:dyDescent="0.3">
      <c r="A2" s="7" t="s">
        <v>4</v>
      </c>
      <c r="B2" s="7" t="s">
        <v>6</v>
      </c>
      <c r="C2" s="7" t="s">
        <v>34</v>
      </c>
      <c r="D2" s="7" t="s">
        <v>34</v>
      </c>
      <c r="E2" s="7" t="s">
        <v>34</v>
      </c>
      <c r="F2" s="7" t="s">
        <v>34</v>
      </c>
    </row>
    <row r="3" spans="1:6" x14ac:dyDescent="0.3">
      <c r="A3" s="9" t="s">
        <v>5</v>
      </c>
      <c r="B3" s="14" t="s">
        <v>13</v>
      </c>
      <c r="C3" s="9" t="s">
        <v>35</v>
      </c>
      <c r="D3" s="9" t="s">
        <v>36</v>
      </c>
      <c r="E3" s="9" t="s">
        <v>37</v>
      </c>
      <c r="F3" s="9" t="s">
        <v>38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f>表1[[#This Row],[m_melee]]</f>
        <v>10</v>
      </c>
      <c r="F4" s="15">
        <f>表1[[#This Row],[m_laser]]</f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f>表1[[#This Row],[m_melee]]</f>
        <v>10.3</v>
      </c>
      <c r="F5" s="15">
        <f>表1[[#This Row],[m_laser]]</f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f>表1[[#This Row],[m_melee]]</f>
        <v>10.6</v>
      </c>
      <c r="F6" s="15">
        <f>表1[[#This Row],[m_laser]]</f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f>表1[[#This Row],[m_melee]]</f>
        <v>10.9</v>
      </c>
      <c r="F7" s="15">
        <f>表1[[#This Row],[m_laser]]</f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f>表1[[#This Row],[m_melee]]</f>
        <v>11.2</v>
      </c>
      <c r="F8" s="15">
        <f>表1[[#This Row],[m_laser]]</f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f>表1[[#This Row],[m_melee]]</f>
        <v>11.5</v>
      </c>
      <c r="F9" s="15">
        <f>表1[[#This Row],[m_laser]]</f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f>表1[[#This Row],[m_melee]]</f>
        <v>11.8</v>
      </c>
      <c r="F10" s="15">
        <f>表1[[#This Row],[m_laser]]</f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f>表1[[#This Row],[m_melee]]</f>
        <v>12.1</v>
      </c>
      <c r="F11" s="15">
        <f>表1[[#This Row],[m_laser]]</f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f>表1[[#This Row],[m_melee]]</f>
        <v>12.4</v>
      </c>
      <c r="F12" s="15">
        <f>表1[[#This Row],[m_laser]]</f>
        <v>12.4</v>
      </c>
    </row>
    <row r="13" spans="1:6" x14ac:dyDescent="0.3">
      <c r="A13" s="13">
        <v>10</v>
      </c>
      <c r="B13" s="15">
        <v>804.46000000000026</v>
      </c>
      <c r="C13" s="15">
        <v>12.7</v>
      </c>
      <c r="D13" s="15">
        <v>12.7</v>
      </c>
      <c r="E13" s="15">
        <f>表1[[#This Row],[m_melee]]</f>
        <v>12.7</v>
      </c>
      <c r="F13" s="15">
        <f>表1[[#This Row],[m_laser]]</f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f>表1[[#This Row],[m_melee]]</f>
        <v>13</v>
      </c>
      <c r="F14" s="15">
        <f>表1[[#This Row],[m_laser]]</f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f>表1[[#This Row],[m_melee]]</f>
        <v>13.3</v>
      </c>
      <c r="F15" s="15">
        <f>表1[[#This Row],[m_laser]]</f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f>表1[[#This Row],[m_melee]]</f>
        <v>13.6</v>
      </c>
      <c r="F16" s="15">
        <f>表1[[#This Row],[m_laser]]</f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f>表1[[#This Row],[m_melee]]</f>
        <v>13.9</v>
      </c>
      <c r="F17" s="15">
        <f>表1[[#This Row],[m_laser]]</f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f>表1[[#This Row],[m_melee]]</f>
        <v>14.2</v>
      </c>
      <c r="F18" s="15">
        <f>表1[[#This Row],[m_laser]]</f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f>表1[[#This Row],[m_melee]]</f>
        <v>14.5</v>
      </c>
      <c r="F19" s="15">
        <f>表1[[#This Row],[m_laser]]</f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f>表1[[#This Row],[m_melee]]</f>
        <v>14.8</v>
      </c>
      <c r="F20" s="15">
        <f>表1[[#This Row],[m_laser]]</f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f>表1[[#This Row],[m_melee]]</f>
        <v>15.1</v>
      </c>
      <c r="F21" s="15">
        <f>表1[[#This Row],[m_laser]]</f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f>表1[[#This Row],[m_melee]]</f>
        <v>15.4</v>
      </c>
      <c r="F22" s="15">
        <f>表1[[#This Row],[m_laser]]</f>
        <v>15.4</v>
      </c>
    </row>
    <row r="23" spans="1:6" x14ac:dyDescent="0.3">
      <c r="A23" s="13">
        <v>20</v>
      </c>
      <c r="B23" s="15">
        <v>2860</v>
      </c>
      <c r="C23" s="15">
        <v>15.7</v>
      </c>
      <c r="D23" s="15">
        <v>15.7</v>
      </c>
      <c r="E23" s="15">
        <f>表1[[#This Row],[m_melee]]</f>
        <v>15.7</v>
      </c>
      <c r="F23" s="15">
        <f>表1[[#This Row],[m_laser]]</f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f>表1[[#This Row],[m_melee]]</f>
        <v>16</v>
      </c>
      <c r="F24" s="15">
        <f>表1[[#This Row],[m_laser]]</f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f>表1[[#This Row],[m_melee]]</f>
        <v>16.3</v>
      </c>
      <c r="F25" s="15">
        <f>表1[[#This Row],[m_laser]]</f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f>表1[[#This Row],[m_melee]]</f>
        <v>16.600000000000001</v>
      </c>
      <c r="F26" s="15">
        <f>表1[[#This Row],[m_laser]]</f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f>表1[[#This Row],[m_melee]]</f>
        <v>16.899999999999999</v>
      </c>
      <c r="F27" s="15">
        <f>表1[[#This Row],[m_laser]]</f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f>表1[[#This Row],[m_melee]]</f>
        <v>17.2</v>
      </c>
      <c r="F28" s="15">
        <f>表1[[#This Row],[m_laser]]</f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f>表1[[#This Row],[m_melee]]</f>
        <v>17.5</v>
      </c>
      <c r="F29" s="15">
        <f>表1[[#This Row],[m_laser]]</f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f>表1[[#This Row],[m_melee]]</f>
        <v>17.8</v>
      </c>
      <c r="F30" s="15">
        <f>表1[[#This Row],[m_laser]]</f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f>表1[[#This Row],[m_melee]]</f>
        <v>18.100000000000001</v>
      </c>
      <c r="F31" s="15">
        <f>表1[[#This Row],[m_laser]]</f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f>表1[[#This Row],[m_melee]]</f>
        <v>18.399999999999999</v>
      </c>
      <c r="F32" s="15">
        <f>表1[[#This Row],[m_laser]]</f>
        <v>18.399999999999999</v>
      </c>
    </row>
    <row r="33" spans="1:6" x14ac:dyDescent="0.3">
      <c r="A33" s="13">
        <v>30</v>
      </c>
      <c r="B33" s="15">
        <v>6390.0000000000018</v>
      </c>
      <c r="C33" s="15">
        <v>18.7</v>
      </c>
      <c r="D33" s="15">
        <v>18.7</v>
      </c>
      <c r="E33" s="15">
        <f>表1[[#This Row],[m_melee]]</f>
        <v>18.7</v>
      </c>
      <c r="F33" s="15">
        <f>表1[[#This Row],[m_laser]]</f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f>表1[[#This Row],[m_melee]]</f>
        <v>19</v>
      </c>
      <c r="F34" s="15">
        <f>表1[[#This Row],[m_laser]]</f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f>表1[[#This Row],[m_melee]]</f>
        <v>19.3</v>
      </c>
      <c r="F35" s="15">
        <f>表1[[#This Row],[m_laser]]</f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f>表1[[#This Row],[m_melee]]</f>
        <v>19.600000000000001</v>
      </c>
      <c r="F36" s="15">
        <f>表1[[#This Row],[m_laser]]</f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f>表1[[#This Row],[m_melee]]</f>
        <v>19.899999999999999</v>
      </c>
      <c r="F37" s="15">
        <f>表1[[#This Row],[m_laser]]</f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f>表1[[#This Row],[m_melee]]</f>
        <v>20.2</v>
      </c>
      <c r="F38" s="15">
        <f>表1[[#This Row],[m_laser]]</f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f>表1[[#This Row],[m_melee]]</f>
        <v>20.5</v>
      </c>
      <c r="F39" s="15">
        <f>表1[[#This Row],[m_laser]]</f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f>表1[[#This Row],[m_melee]]</f>
        <v>20.8</v>
      </c>
      <c r="F40" s="15">
        <f>表1[[#This Row],[m_laser]]</f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f>表1[[#This Row],[m_melee]]</f>
        <v>21.1</v>
      </c>
      <c r="F41" s="15">
        <f>表1[[#This Row],[m_laser]]</f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f>表1[[#This Row],[m_melee]]</f>
        <v>21.4</v>
      </c>
      <c r="F42" s="15">
        <f>表1[[#This Row],[m_laser]]</f>
        <v>21.4</v>
      </c>
    </row>
    <row r="43" spans="1:6" x14ac:dyDescent="0.3">
      <c r="A43" s="13">
        <v>40</v>
      </c>
      <c r="B43" s="15">
        <v>11320</v>
      </c>
      <c r="C43" s="15">
        <v>21.7</v>
      </c>
      <c r="D43" s="15">
        <v>21.7</v>
      </c>
      <c r="E43" s="15">
        <f>表1[[#This Row],[m_melee]]</f>
        <v>21.7</v>
      </c>
      <c r="F43" s="15">
        <f>表1[[#This Row],[m_laser]]</f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f>表1[[#This Row],[m_melee]]</f>
        <v>22</v>
      </c>
      <c r="F44" s="15">
        <f>表1[[#This Row],[m_laser]]</f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f>表1[[#This Row],[m_melee]]</f>
        <v>22.3</v>
      </c>
      <c r="F45" s="15">
        <f>表1[[#This Row],[m_laser]]</f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f>表1[[#This Row],[m_melee]]</f>
        <v>22.6</v>
      </c>
      <c r="F46" s="15">
        <f>表1[[#This Row],[m_laser]]</f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f>表1[[#This Row],[m_melee]]</f>
        <v>22.9</v>
      </c>
      <c r="F47" s="15">
        <f>表1[[#This Row],[m_laser]]</f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f>表1[[#This Row],[m_melee]]</f>
        <v>23.2</v>
      </c>
      <c r="F48" s="15">
        <f>表1[[#This Row],[m_laser]]</f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f>表1[[#This Row],[m_melee]]</f>
        <v>23.5</v>
      </c>
      <c r="F49" s="15">
        <f>表1[[#This Row],[m_laser]]</f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f>表1[[#This Row],[m_melee]]</f>
        <v>23.8</v>
      </c>
      <c r="F50" s="15">
        <f>表1[[#This Row],[m_laser]]</f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f>表1[[#This Row],[m_melee]]</f>
        <v>24.1</v>
      </c>
      <c r="F51" s="15">
        <f>表1[[#This Row],[m_laser]]</f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f>表1[[#This Row],[m_melee]]</f>
        <v>24.4</v>
      </c>
      <c r="F52" s="15">
        <f>表1[[#This Row],[m_laser]]</f>
        <v>24.4</v>
      </c>
    </row>
    <row r="53" spans="1:6" x14ac:dyDescent="0.3">
      <c r="A53" s="13">
        <v>50</v>
      </c>
      <c r="B53" s="15">
        <v>14120</v>
      </c>
      <c r="C53" s="15">
        <v>24.7</v>
      </c>
      <c r="D53" s="15">
        <v>24.7</v>
      </c>
      <c r="E53" s="15">
        <f>表1[[#This Row],[m_melee]]</f>
        <v>24.7</v>
      </c>
      <c r="F53" s="15">
        <f>表1[[#This Row],[m_laser]]</f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f>表1[[#This Row],[m_melee]]</f>
        <v>25</v>
      </c>
      <c r="F54" s="15">
        <f>表1[[#This Row],[m_laser]]</f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f>表1[[#This Row],[m_melee]]</f>
        <v>25.3</v>
      </c>
      <c r="F55" s="15">
        <f>表1[[#This Row],[m_laser]]</f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f>表1[[#This Row],[m_melee]]</f>
        <v>25.6</v>
      </c>
      <c r="F56" s="15">
        <f>表1[[#This Row],[m_laser]]</f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f>表1[[#This Row],[m_melee]]</f>
        <v>25.9</v>
      </c>
      <c r="F57" s="15">
        <f>表1[[#This Row],[m_laser]]</f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f>表1[[#This Row],[m_melee]]</f>
        <v>26.2</v>
      </c>
      <c r="F58" s="15">
        <f>表1[[#This Row],[m_laser]]</f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f>表1[[#This Row],[m_melee]]</f>
        <v>26.5</v>
      </c>
      <c r="F59" s="15">
        <f>表1[[#This Row],[m_laser]]</f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f>表1[[#This Row],[m_melee]]</f>
        <v>26.8</v>
      </c>
      <c r="F60" s="15">
        <f>表1[[#This Row],[m_laser]]</f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f>表1[[#This Row],[m_melee]]</f>
        <v>27.1</v>
      </c>
      <c r="F61" s="15">
        <f>表1[[#This Row],[m_laser]]</f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f>表1[[#This Row],[m_melee]]</f>
        <v>27.4</v>
      </c>
      <c r="F62" s="15">
        <f>表1[[#This Row],[m_laser]]</f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f>表1[[#This Row],[m_melee]]</f>
        <v>27.7</v>
      </c>
      <c r="F63" s="15">
        <f>表1[[#This Row],[m_laser]]</f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f>表1[[#This Row],[m_melee]]</f>
        <v>28</v>
      </c>
      <c r="F64" s="15">
        <f>表1[[#This Row],[m_laser]]</f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f>表1[[#This Row],[m_melee]]</f>
        <v>28.3</v>
      </c>
      <c r="F65" s="15">
        <f>表1[[#This Row],[m_laser]]</f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f>表1[[#This Row],[m_melee]]</f>
        <v>28.6</v>
      </c>
      <c r="F66" s="15">
        <f>表1[[#This Row],[m_laser]]</f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f>表1[[#This Row],[m_melee]]</f>
        <v>28.9</v>
      </c>
      <c r="F67" s="15">
        <f>表1[[#This Row],[m_laser]]</f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f>表1[[#This Row],[m_melee]]</f>
        <v>29.2</v>
      </c>
      <c r="F68" s="15">
        <f>表1[[#This Row],[m_laser]]</f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f>表1[[#This Row],[m_melee]]</f>
        <v>29.5</v>
      </c>
      <c r="F69" s="15">
        <f>表1[[#This Row],[m_laser]]</f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f>表1[[#This Row],[m_melee]]</f>
        <v>29.8</v>
      </c>
      <c r="F70" s="15">
        <f>表1[[#This Row],[m_laser]]</f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f>表1[[#This Row],[m_melee]]</f>
        <v>30.1</v>
      </c>
      <c r="F71" s="15">
        <f>表1[[#This Row],[m_laser]]</f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f>表1[[#This Row],[m_melee]]</f>
        <v>30.4</v>
      </c>
      <c r="F72" s="15">
        <f>表1[[#This Row],[m_laser]]</f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f>表1[[#This Row],[m_melee]]</f>
        <v>30.7</v>
      </c>
      <c r="F73" s="15">
        <f>表1[[#This Row],[m_laser]]</f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f>表1[[#This Row],[m_melee]]</f>
        <v>31</v>
      </c>
      <c r="F74" s="15">
        <f>表1[[#This Row],[m_laser]]</f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f>表1[[#This Row],[m_melee]]</f>
        <v>31.3000000000001</v>
      </c>
      <c r="F75" s="15">
        <f>表1[[#This Row],[m_laser]]</f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f>表1[[#This Row],[m_melee]]</f>
        <v>31.600000000000101</v>
      </c>
      <c r="F76" s="15">
        <f>表1[[#This Row],[m_laser]]</f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f>表1[[#This Row],[m_melee]]</f>
        <v>31.900000000000102</v>
      </c>
      <c r="F77" s="15">
        <f>表1[[#This Row],[m_laser]]</f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f>表1[[#This Row],[m_melee]]</f>
        <v>32.200000000000102</v>
      </c>
      <c r="F78" s="15">
        <f>表1[[#This Row],[m_laser]]</f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f>表1[[#This Row],[m_melee]]</f>
        <v>32.500000000000099</v>
      </c>
      <c r="F79" s="15">
        <f>表1[[#This Row],[m_laser]]</f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f>表1[[#This Row],[m_melee]]</f>
        <v>32.800000000000097</v>
      </c>
      <c r="F80" s="15">
        <f>表1[[#This Row],[m_laser]]</f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f>表1[[#This Row],[m_melee]]</f>
        <v>33.100000000000101</v>
      </c>
      <c r="F81" s="15">
        <f>表1[[#This Row],[m_laser]]</f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f>表1[[#This Row],[m_melee]]</f>
        <v>33.400000000000098</v>
      </c>
      <c r="F82" s="15">
        <f>表1[[#This Row],[m_laser]]</f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f>表1[[#This Row],[m_melee]]</f>
        <v>33.700000000000102</v>
      </c>
      <c r="F83" s="15">
        <f>表1[[#This Row],[m_laser]]</f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f>表1[[#This Row],[m_melee]]</f>
        <v>34.000000000000099</v>
      </c>
      <c r="F84" s="15">
        <f>表1[[#This Row],[m_laser]]</f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f>表1[[#This Row],[m_melee]]</f>
        <v>34.300000000000097</v>
      </c>
      <c r="F85" s="15">
        <f>表1[[#This Row],[m_laser]]</f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f>表1[[#This Row],[m_melee]]</f>
        <v>34.600000000000101</v>
      </c>
      <c r="F86" s="15">
        <f>表1[[#This Row],[m_laser]]</f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f>表1[[#This Row],[m_melee]]</f>
        <v>34.900000000000098</v>
      </c>
      <c r="F87" s="15">
        <f>表1[[#This Row],[m_laser]]</f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f>表1[[#This Row],[m_melee]]</f>
        <v>35.200000000000102</v>
      </c>
      <c r="F88" s="15">
        <f>表1[[#This Row],[m_laser]]</f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f>表1[[#This Row],[m_melee]]</f>
        <v>35.500000000000099</v>
      </c>
      <c r="F89" s="15">
        <f>表1[[#This Row],[m_laser]]</f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f>表1[[#This Row],[m_melee]]</f>
        <v>35.800000000000097</v>
      </c>
      <c r="F90" s="15">
        <f>表1[[#This Row],[m_laser]]</f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f>表1[[#This Row],[m_melee]]</f>
        <v>36.100000000000101</v>
      </c>
      <c r="F91" s="15">
        <f>表1[[#This Row],[m_laser]]</f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f>表1[[#This Row],[m_melee]]</f>
        <v>36.400000000000098</v>
      </c>
      <c r="F92" s="15">
        <f>表1[[#This Row],[m_laser]]</f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f>表1[[#This Row],[m_melee]]</f>
        <v>36.700000000000102</v>
      </c>
      <c r="F93" s="15">
        <f>表1[[#This Row],[m_laser]]</f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f>表1[[#This Row],[m_melee]]</f>
        <v>37.000000000000099</v>
      </c>
      <c r="F94" s="15">
        <f>表1[[#This Row],[m_laser]]</f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f>表1[[#This Row],[m_melee]]</f>
        <v>37.300000000000097</v>
      </c>
      <c r="F95" s="15">
        <f>表1[[#This Row],[m_laser]]</f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f>表1[[#This Row],[m_melee]]</f>
        <v>37.600000000000101</v>
      </c>
      <c r="F96" s="15">
        <f>表1[[#This Row],[m_laser]]</f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f>表1[[#This Row],[m_melee]]</f>
        <v>37.900000000000098</v>
      </c>
      <c r="F97" s="15">
        <f>表1[[#This Row],[m_laser]]</f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f>表1[[#This Row],[m_melee]]</f>
        <v>38.200000000000102</v>
      </c>
      <c r="F98" s="15">
        <f>表1[[#This Row],[m_laser]]</f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f>表1[[#This Row],[m_melee]]</f>
        <v>38.500000000000099</v>
      </c>
      <c r="F99" s="15">
        <f>表1[[#This Row],[m_laser]]</f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f>表1[[#This Row],[m_melee]]</f>
        <v>38.800000000000097</v>
      </c>
      <c r="F100" s="15">
        <f>表1[[#This Row],[m_laser]]</f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f>表1[[#This Row],[m_melee]]</f>
        <v>39.100000000000101</v>
      </c>
      <c r="F101" s="15">
        <f>表1[[#This Row],[m_laser]]</f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f>表1[[#This Row],[m_melee]]</f>
        <v>39.400000000000098</v>
      </c>
      <c r="F102" s="15">
        <f>表1[[#This Row],[m_laser]]</f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f>表1[[#This Row],[m_melee]]</f>
        <v>39.700000000000102</v>
      </c>
      <c r="F103" s="15">
        <f>表1[[#This Row],[m_laser]]</f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f>表1[[#This Row],[m_melee]]</f>
        <v>40.000000000000099</v>
      </c>
      <c r="F104" s="15">
        <f>表1[[#This Row],[m_laser]]</f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f>表1[[#This Row],[m_melee]]</f>
        <v>40.300000000000097</v>
      </c>
      <c r="F105" s="15">
        <f>表1[[#This Row],[m_laser]]</f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f>表1[[#This Row],[m_melee]]</f>
        <v>40.600000000000101</v>
      </c>
      <c r="F106" s="15">
        <f>表1[[#This Row],[m_laser]]</f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f>表1[[#This Row],[m_melee]]</f>
        <v>40.900000000000098</v>
      </c>
      <c r="F107" s="15">
        <f>表1[[#This Row],[m_laser]]</f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f>表1[[#This Row],[m_melee]]</f>
        <v>41.200000000000102</v>
      </c>
      <c r="F108" s="15">
        <f>表1[[#This Row],[m_laser]]</f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f>表1[[#This Row],[m_melee]]</f>
        <v>41.500000000000099</v>
      </c>
      <c r="F109" s="15">
        <f>表1[[#This Row],[m_laser]]</f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f>表1[[#This Row],[m_melee]]</f>
        <v>41.800000000000097</v>
      </c>
      <c r="F110" s="15">
        <f>表1[[#This Row],[m_laser]]</f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f>表1[[#This Row],[m_melee]]</f>
        <v>42.100000000000101</v>
      </c>
      <c r="F111" s="15">
        <f>表1[[#This Row],[m_laser]]</f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f>表1[[#This Row],[m_melee]]</f>
        <v>42.400000000000098</v>
      </c>
      <c r="F112" s="15">
        <f>表1[[#This Row],[m_laser]]</f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f>表1[[#This Row],[m_melee]]</f>
        <v>42.700000000000102</v>
      </c>
      <c r="F113" s="15">
        <f>表1[[#This Row],[m_laser]]</f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f>表1[[#This Row],[m_melee]]</f>
        <v>43.000000000000099</v>
      </c>
      <c r="F114" s="15">
        <f>表1[[#This Row],[m_laser]]</f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f>表1[[#This Row],[m_melee]]</f>
        <v>43.300000000000097</v>
      </c>
      <c r="F115" s="15">
        <f>表1[[#This Row],[m_laser]]</f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f>表1[[#This Row],[m_melee]]</f>
        <v>43.600000000000101</v>
      </c>
      <c r="F116" s="15">
        <f>表1[[#This Row],[m_laser]]</f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f>表1[[#This Row],[m_melee]]</f>
        <v>43.900000000000098</v>
      </c>
      <c r="F117" s="15">
        <f>表1[[#This Row],[m_laser]]</f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f>表1[[#This Row],[m_melee]]</f>
        <v>44.200000000000102</v>
      </c>
      <c r="F118" s="15">
        <f>表1[[#This Row],[m_laser]]</f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f>表1[[#This Row],[m_melee]]</f>
        <v>44.500000000000099</v>
      </c>
      <c r="F119" s="15">
        <f>表1[[#This Row],[m_laser]]</f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f>表1[[#This Row],[m_melee]]</f>
        <v>44.800000000000097</v>
      </c>
      <c r="F120" s="15">
        <f>表1[[#This Row],[m_laser]]</f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f>表1[[#This Row],[m_melee]]</f>
        <v>45.100000000000101</v>
      </c>
      <c r="F121" s="15">
        <f>表1[[#This Row],[m_laser]]</f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f>表1[[#This Row],[m_melee]]</f>
        <v>45.400000000000098</v>
      </c>
      <c r="F122" s="15">
        <f>表1[[#This Row],[m_laser]]</f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f>表1[[#This Row],[m_melee]]</f>
        <v>45.700000000000102</v>
      </c>
      <c r="F123" s="15">
        <f>表1[[#This Row],[m_laser]]</f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f>表1[[#This Row],[m_melee]]</f>
        <v>46.000000000000099</v>
      </c>
      <c r="F124" s="15">
        <f>表1[[#This Row],[m_laser]]</f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f>表1[[#This Row],[m_melee]]</f>
        <v>46.300000000000097</v>
      </c>
      <c r="F125" s="15">
        <f>表1[[#This Row],[m_laser]]</f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f>表1[[#This Row],[m_melee]]</f>
        <v>46.600000000000101</v>
      </c>
      <c r="F126" s="15">
        <f>表1[[#This Row],[m_laser]]</f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f>表1[[#This Row],[m_melee]]</f>
        <v>46.900000000000098</v>
      </c>
      <c r="F127" s="15">
        <f>表1[[#This Row],[m_laser]]</f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f>表1[[#This Row],[m_melee]]</f>
        <v>47.200000000000102</v>
      </c>
      <c r="F128" s="15">
        <f>表1[[#This Row],[m_laser]]</f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f>表1[[#This Row],[m_melee]]</f>
        <v>47.500000000000099</v>
      </c>
      <c r="F129" s="15">
        <f>表1[[#This Row],[m_laser]]</f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f>表1[[#This Row],[m_melee]]</f>
        <v>47.800000000000097</v>
      </c>
      <c r="F130" s="15">
        <f>表1[[#This Row],[m_laser]]</f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f>表1[[#This Row],[m_melee]]</f>
        <v>48.100000000000101</v>
      </c>
      <c r="F131" s="15">
        <f>表1[[#This Row],[m_laser]]</f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f>表1[[#This Row],[m_melee]]</f>
        <v>48.400000000000098</v>
      </c>
      <c r="F132" s="15">
        <f>表1[[#This Row],[m_laser]]</f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f>表1[[#This Row],[m_melee]]</f>
        <v>48.700000000000102</v>
      </c>
      <c r="F133" s="15">
        <f>表1[[#This Row],[m_laser]]</f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f>表1[[#This Row],[m_melee]]</f>
        <v>49.000000000000099</v>
      </c>
      <c r="F134" s="15">
        <f>表1[[#This Row],[m_laser]]</f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f>表1[[#This Row],[m_melee]]</f>
        <v>49.300000000000097</v>
      </c>
      <c r="F135" s="15">
        <f>表1[[#This Row],[m_laser]]</f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f>表1[[#This Row],[m_melee]]</f>
        <v>49.600000000000101</v>
      </c>
      <c r="F136" s="15">
        <f>表1[[#This Row],[m_laser]]</f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f>表1[[#This Row],[m_melee]]</f>
        <v>49.900000000000098</v>
      </c>
      <c r="F137" s="15">
        <f>表1[[#This Row],[m_laser]]</f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f>表1[[#This Row],[m_melee]]</f>
        <v>50.200000000000102</v>
      </c>
      <c r="F138" s="15">
        <f>表1[[#This Row],[m_laser]]</f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f>表1[[#This Row],[m_melee]]</f>
        <v>50.500000000000099</v>
      </c>
      <c r="F139" s="15">
        <f>表1[[#This Row],[m_laser]]</f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f>表1[[#This Row],[m_melee]]</f>
        <v>50.800000000000097</v>
      </c>
      <c r="F140" s="15">
        <f>表1[[#This Row],[m_laser]]</f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f>表1[[#This Row],[m_melee]]</f>
        <v>51.100000000000101</v>
      </c>
      <c r="F141" s="15">
        <f>表1[[#This Row],[m_laser]]</f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f>表1[[#This Row],[m_melee]]</f>
        <v>51.400000000000098</v>
      </c>
      <c r="F142" s="15">
        <f>表1[[#This Row],[m_laser]]</f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f>表1[[#This Row],[m_melee]]</f>
        <v>51.700000000000102</v>
      </c>
      <c r="F143" s="15">
        <f>表1[[#This Row],[m_laser]]</f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f>表1[[#This Row],[m_melee]]</f>
        <v>52.000000000000099</v>
      </c>
      <c r="F144" s="15">
        <f>表1[[#This Row],[m_laser]]</f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f>表1[[#This Row],[m_melee]]</f>
        <v>52.300000000000097</v>
      </c>
      <c r="F145" s="15">
        <f>表1[[#This Row],[m_laser]]</f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f>表1[[#This Row],[m_melee]]</f>
        <v>52.600000000000101</v>
      </c>
      <c r="F146" s="15">
        <f>表1[[#This Row],[m_laser]]</f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f>表1[[#This Row],[m_melee]]</f>
        <v>52.900000000000098</v>
      </c>
      <c r="F147" s="15">
        <f>表1[[#This Row],[m_laser]]</f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f>表1[[#This Row],[m_melee]]</f>
        <v>53.200000000000102</v>
      </c>
      <c r="F148" s="15">
        <f>表1[[#This Row],[m_laser]]</f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f>表1[[#This Row],[m_melee]]</f>
        <v>53.500000000000099</v>
      </c>
      <c r="F149" s="15">
        <f>表1[[#This Row],[m_laser]]</f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f>表1[[#This Row],[m_melee]]</f>
        <v>53.800000000000097</v>
      </c>
      <c r="F150" s="15">
        <f>表1[[#This Row],[m_laser]]</f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f>表1[[#This Row],[m_melee]]</f>
        <v>54.100000000000101</v>
      </c>
      <c r="F151" s="15">
        <f>表1[[#This Row],[m_laser]]</f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f>表1[[#This Row],[m_melee]]</f>
        <v>54.400000000000098</v>
      </c>
      <c r="F152" s="15">
        <f>表1[[#This Row],[m_laser]]</f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f>表1[[#This Row],[m_melee]]</f>
        <v>54.700000000000102</v>
      </c>
      <c r="F153" s="15">
        <f>表1[[#This Row],[m_laser]]</f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f>表1[[#This Row],[m_melee]]</f>
        <v>55.000000000000099</v>
      </c>
      <c r="F154" s="15">
        <f>表1[[#This Row],[m_laser]]</f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f>表1[[#This Row],[m_melee]]</f>
        <v>55.300000000000097</v>
      </c>
      <c r="F155" s="15">
        <f>表1[[#This Row],[m_laser]]</f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f>表1[[#This Row],[m_melee]]</f>
        <v>55.600000000000101</v>
      </c>
      <c r="F156" s="15">
        <f>表1[[#This Row],[m_laser]]</f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f>表1[[#This Row],[m_melee]]</f>
        <v>55.900000000000098</v>
      </c>
      <c r="F157" s="15">
        <f>表1[[#This Row],[m_laser]]</f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f>表1[[#This Row],[m_melee]]</f>
        <v>56.200000000000102</v>
      </c>
      <c r="F158" s="15">
        <f>表1[[#This Row],[m_laser]]</f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f>表1[[#This Row],[m_melee]]</f>
        <v>56.500000000000099</v>
      </c>
      <c r="F159" s="15">
        <f>表1[[#This Row],[m_laser]]</f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f>表1[[#This Row],[m_melee]]</f>
        <v>56.800000000000097</v>
      </c>
      <c r="F160" s="15">
        <f>表1[[#This Row],[m_laser]]</f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f>表1[[#This Row],[m_melee]]</f>
        <v>57.100000000000101</v>
      </c>
      <c r="F161" s="15">
        <f>表1[[#This Row],[m_laser]]</f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f>表1[[#This Row],[m_melee]]</f>
        <v>57.400000000000098</v>
      </c>
      <c r="F162" s="15">
        <f>表1[[#This Row],[m_laser]]</f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f>表1[[#This Row],[m_melee]]</f>
        <v>57.700000000000102</v>
      </c>
      <c r="F163" s="15">
        <f>表1[[#This Row],[m_laser]]</f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f>表1[[#This Row],[m_melee]]</f>
        <v>58.000000000000099</v>
      </c>
      <c r="F164" s="15">
        <f>表1[[#This Row],[m_laser]]</f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f>表1[[#This Row],[m_melee]]</f>
        <v>58.300000000000097</v>
      </c>
      <c r="F165" s="15">
        <f>表1[[#This Row],[m_laser]]</f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f>表1[[#This Row],[m_melee]]</f>
        <v>58.600000000000101</v>
      </c>
      <c r="F166" s="15">
        <f>表1[[#This Row],[m_laser]]</f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f>表1[[#This Row],[m_melee]]</f>
        <v>58.900000000000098</v>
      </c>
      <c r="F167" s="15">
        <f>表1[[#This Row],[m_laser]]</f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f>表1[[#This Row],[m_melee]]</f>
        <v>59.200000000000102</v>
      </c>
      <c r="F168" s="15">
        <f>表1[[#This Row],[m_laser]]</f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f>表1[[#This Row],[m_melee]]</f>
        <v>59.500000000000099</v>
      </c>
      <c r="F169" s="15">
        <f>表1[[#This Row],[m_laser]]</f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f>表1[[#This Row],[m_melee]]</f>
        <v>59.800000000000097</v>
      </c>
      <c r="F170" s="15">
        <f>表1[[#This Row],[m_laser]]</f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f>表1[[#This Row],[m_melee]]</f>
        <v>60.100000000000101</v>
      </c>
      <c r="F171" s="15">
        <f>表1[[#This Row],[m_laser]]</f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f>表1[[#This Row],[m_melee]]</f>
        <v>60.400000000000098</v>
      </c>
      <c r="F172" s="15">
        <f>表1[[#This Row],[m_laser]]</f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f>表1[[#This Row],[m_melee]]</f>
        <v>60.700000000000102</v>
      </c>
      <c r="F173" s="15">
        <f>表1[[#This Row],[m_laser]]</f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f>表1[[#This Row],[m_melee]]</f>
        <v>61.000000000000099</v>
      </c>
      <c r="F174" s="15">
        <f>表1[[#This Row],[m_laser]]</f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f>表1[[#This Row],[m_melee]]</f>
        <v>61.300000000000097</v>
      </c>
      <c r="F175" s="15">
        <f>表1[[#This Row],[m_laser]]</f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f>表1[[#This Row],[m_melee]]</f>
        <v>61.600000000000101</v>
      </c>
      <c r="F176" s="15">
        <f>表1[[#This Row],[m_laser]]</f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f>表1[[#This Row],[m_melee]]</f>
        <v>61.900000000000098</v>
      </c>
      <c r="F177" s="15">
        <f>表1[[#This Row],[m_laser]]</f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f>表1[[#This Row],[m_melee]]</f>
        <v>62.200000000000102</v>
      </c>
      <c r="F178" s="15">
        <f>表1[[#This Row],[m_laser]]</f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f>表1[[#This Row],[m_melee]]</f>
        <v>62.500000000000099</v>
      </c>
      <c r="F179" s="15">
        <f>表1[[#This Row],[m_laser]]</f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f>表1[[#This Row],[m_melee]]</f>
        <v>62.800000000000097</v>
      </c>
      <c r="F180" s="15">
        <f>表1[[#This Row],[m_laser]]</f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f>表1[[#This Row],[m_melee]]</f>
        <v>63.100000000000101</v>
      </c>
      <c r="F181" s="15">
        <f>表1[[#This Row],[m_laser]]</f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f>表1[[#This Row],[m_melee]]</f>
        <v>63.400000000000098</v>
      </c>
      <c r="F182" s="15">
        <f>表1[[#This Row],[m_laser]]</f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f>表1[[#This Row],[m_melee]]</f>
        <v>63.700000000000102</v>
      </c>
      <c r="F183" s="15">
        <f>表1[[#This Row],[m_laser]]</f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f>表1[[#This Row],[m_melee]]</f>
        <v>64.000000000000099</v>
      </c>
      <c r="F184" s="15">
        <f>表1[[#This Row],[m_laser]]</f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f>表1[[#This Row],[m_melee]]</f>
        <v>64.300000000000097</v>
      </c>
      <c r="F185" s="15">
        <f>表1[[#This Row],[m_laser]]</f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f>表1[[#This Row],[m_melee]]</f>
        <v>64.600000000000094</v>
      </c>
      <c r="F186" s="15">
        <f>表1[[#This Row],[m_laser]]</f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f>表1[[#This Row],[m_melee]]</f>
        <v>64.900000000000105</v>
      </c>
      <c r="F187" s="15">
        <f>表1[[#This Row],[m_laser]]</f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f>表1[[#This Row],[m_melee]]</f>
        <v>65.200000000000102</v>
      </c>
      <c r="F188" s="15">
        <f>表1[[#This Row],[m_laser]]</f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f>表1[[#This Row],[m_melee]]</f>
        <v>65.500000000000099</v>
      </c>
      <c r="F189" s="15">
        <f>表1[[#This Row],[m_laser]]</f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f>表1[[#This Row],[m_melee]]</f>
        <v>65.800000000000097</v>
      </c>
      <c r="F190" s="15">
        <f>表1[[#This Row],[m_laser]]</f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f>表1[[#This Row],[m_melee]]</f>
        <v>66.100000000000094</v>
      </c>
      <c r="F191" s="15">
        <f>表1[[#This Row],[m_laser]]</f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f>表1[[#This Row],[m_melee]]</f>
        <v>66.400000000000105</v>
      </c>
      <c r="F192" s="15">
        <f>表1[[#This Row],[m_laser]]</f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f>表1[[#This Row],[m_melee]]</f>
        <v>66.700000000000102</v>
      </c>
      <c r="F193" s="15">
        <f>表1[[#This Row],[m_laser]]</f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f>表1[[#This Row],[m_melee]]</f>
        <v>67.000000000000099</v>
      </c>
      <c r="F194" s="15">
        <f>表1[[#This Row],[m_laser]]</f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f>表1[[#This Row],[m_melee]]</f>
        <v>67.300000000000097</v>
      </c>
      <c r="F195" s="15">
        <f>表1[[#This Row],[m_laser]]</f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f>表1[[#This Row],[m_melee]]</f>
        <v>67.600000000000094</v>
      </c>
      <c r="F196" s="15">
        <f>表1[[#This Row],[m_laser]]</f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f>表1[[#This Row],[m_melee]]</f>
        <v>67.900000000000105</v>
      </c>
      <c r="F197" s="15">
        <f>表1[[#This Row],[m_laser]]</f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f>表1[[#This Row],[m_melee]]</f>
        <v>68.200000000000102</v>
      </c>
      <c r="F198" s="15">
        <f>表1[[#This Row],[m_laser]]</f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f>表1[[#This Row],[m_melee]]</f>
        <v>68.500000000000099</v>
      </c>
      <c r="F199" s="15">
        <f>表1[[#This Row],[m_laser]]</f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f>表1[[#This Row],[m_melee]]</f>
        <v>68.800000000000097</v>
      </c>
      <c r="F200" s="15">
        <f>表1[[#This Row],[m_laser]]</f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f>表1[[#This Row],[m_melee]]</f>
        <v>69.100000000000094</v>
      </c>
      <c r="F201" s="15">
        <f>表1[[#This Row],[m_laser]]</f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f>表1[[#This Row],[m_melee]]</f>
        <v>69.400000000000105</v>
      </c>
      <c r="F202" s="15">
        <f>表1[[#This Row],[m_laser]]</f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f>表1[[#This Row],[m_melee]]</f>
        <v>69.700000000000102</v>
      </c>
      <c r="F203" s="15">
        <f>表1[[#This Row],[m_laser]]</f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f>表1[[#This Row],[m_melee]]</f>
        <v>70.000000000000099</v>
      </c>
      <c r="F204" s="15">
        <f>表1[[#This Row],[m_laser]]</f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f>表1[[#This Row],[m_melee]]</f>
        <v>70.300000000000097</v>
      </c>
      <c r="F205" s="15">
        <f>表1[[#This Row],[m_laser]]</f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f>表1[[#This Row],[m_melee]]</f>
        <v>70.600000000000094</v>
      </c>
      <c r="F206" s="15">
        <f>表1[[#This Row],[m_laser]]</f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f>表1[[#This Row],[m_melee]]</f>
        <v>70.900000000000105</v>
      </c>
      <c r="F207" s="15">
        <f>表1[[#This Row],[m_laser]]</f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f>表1[[#This Row],[m_melee]]</f>
        <v>71.200000000000102</v>
      </c>
      <c r="F208" s="15">
        <f>表1[[#This Row],[m_laser]]</f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f>表1[[#This Row],[m_melee]]</f>
        <v>71.500000000000099</v>
      </c>
      <c r="F209" s="15">
        <f>表1[[#This Row],[m_laser]]</f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f>表1[[#This Row],[m_melee]]</f>
        <v>71.800000000000097</v>
      </c>
      <c r="F210" s="15">
        <f>表1[[#This Row],[m_laser]]</f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f>表1[[#This Row],[m_melee]]</f>
        <v>72.100000000000193</v>
      </c>
      <c r="F211" s="15">
        <f>表1[[#This Row],[m_laser]]</f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f>表1[[#This Row],[m_melee]]</f>
        <v>72.400000000000105</v>
      </c>
      <c r="F212" s="15">
        <f>表1[[#This Row],[m_laser]]</f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f>表1[[#This Row],[m_melee]]</f>
        <v>72.700000000000102</v>
      </c>
      <c r="F213" s="15">
        <f>表1[[#This Row],[m_laser]]</f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f>表1[[#This Row],[m_melee]]</f>
        <v>73.000000000000099</v>
      </c>
      <c r="F214" s="15">
        <f>表1[[#This Row],[m_laser]]</f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f>表1[[#This Row],[m_melee]]</f>
        <v>73.300000000000196</v>
      </c>
      <c r="F215" s="15">
        <f>表1[[#This Row],[m_laser]]</f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f>表1[[#This Row],[m_melee]]</f>
        <v>73.600000000000193</v>
      </c>
      <c r="F216" s="15">
        <f>表1[[#This Row],[m_laser]]</f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f>表1[[#This Row],[m_melee]]</f>
        <v>73.900000000000105</v>
      </c>
      <c r="F217" s="15">
        <f>表1[[#This Row],[m_laser]]</f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f>表1[[#This Row],[m_melee]]</f>
        <v>74.200000000000202</v>
      </c>
      <c r="F218" s="15">
        <f>表1[[#This Row],[m_laser]]</f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f>表1[[#This Row],[m_melee]]</f>
        <v>74.500000000000199</v>
      </c>
      <c r="F219" s="15">
        <f>表1[[#This Row],[m_laser]]</f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f>表1[[#This Row],[m_melee]]</f>
        <v>74.800000000000196</v>
      </c>
      <c r="F220" s="15">
        <f>表1[[#This Row],[m_laser]]</f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f>表1[[#This Row],[m_melee]]</f>
        <v>75.100000000000193</v>
      </c>
      <c r="F221" s="15">
        <f>表1[[#This Row],[m_laser]]</f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f>表1[[#This Row],[m_melee]]</f>
        <v>75.400000000000105</v>
      </c>
      <c r="F222" s="15">
        <f>表1[[#This Row],[m_laser]]</f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f>表1[[#This Row],[m_melee]]</f>
        <v>75.700000000000202</v>
      </c>
      <c r="F223" s="15">
        <f>表1[[#This Row],[m_laser]]</f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f>表1[[#This Row],[m_melee]]</f>
        <v>76.000000000000199</v>
      </c>
      <c r="F224" s="15">
        <f>表1[[#This Row],[m_laser]]</f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f>表1[[#This Row],[m_melee]]</f>
        <v>76.300000000000196</v>
      </c>
      <c r="F225" s="15">
        <f>表1[[#This Row],[m_laser]]</f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f>表1[[#This Row],[m_melee]]</f>
        <v>76.600000000000193</v>
      </c>
      <c r="F226" s="15">
        <f>表1[[#This Row],[m_laser]]</f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f>表1[[#This Row],[m_melee]]</f>
        <v>76.900000000000205</v>
      </c>
      <c r="F227" s="15">
        <f>表1[[#This Row],[m_laser]]</f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f>表1[[#This Row],[m_melee]]</f>
        <v>77.200000000000202</v>
      </c>
      <c r="F228" s="15">
        <f>表1[[#This Row],[m_laser]]</f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f>表1[[#This Row],[m_melee]]</f>
        <v>77.500000000000199</v>
      </c>
      <c r="F229" s="15">
        <f>表1[[#This Row],[m_laser]]</f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f>表1[[#This Row],[m_melee]]</f>
        <v>77.800000000000196</v>
      </c>
      <c r="F230" s="15">
        <f>表1[[#This Row],[m_laser]]</f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f>表1[[#This Row],[m_melee]]</f>
        <v>78.100000000000193</v>
      </c>
      <c r="F231" s="15">
        <f>表1[[#This Row],[m_laser]]</f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f>表1[[#This Row],[m_melee]]</f>
        <v>78.400000000000205</v>
      </c>
      <c r="F232" s="15">
        <f>表1[[#This Row],[m_laser]]</f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f>表1[[#This Row],[m_melee]]</f>
        <v>78.700000000000202</v>
      </c>
      <c r="F233" s="15">
        <f>表1[[#This Row],[m_laser]]</f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f>表1[[#This Row],[m_melee]]</f>
        <v>79.000000000000199</v>
      </c>
      <c r="F234" s="15">
        <f>表1[[#This Row],[m_laser]]</f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f>表1[[#This Row],[m_melee]]</f>
        <v>79.300000000000196</v>
      </c>
      <c r="F235" s="15">
        <f>表1[[#This Row],[m_laser]]</f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f>表1[[#This Row],[m_melee]]</f>
        <v>79.600000000000193</v>
      </c>
      <c r="F236" s="15">
        <f>表1[[#This Row],[m_laser]]</f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f>表1[[#This Row],[m_melee]]</f>
        <v>79.900000000000205</v>
      </c>
      <c r="F237" s="15">
        <f>表1[[#This Row],[m_laser]]</f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f>表1[[#This Row],[m_melee]]</f>
        <v>80.200000000000202</v>
      </c>
      <c r="F238" s="15">
        <f>表1[[#This Row],[m_laser]]</f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f>表1[[#This Row],[m_melee]]</f>
        <v>80.500000000000199</v>
      </c>
      <c r="F239" s="15">
        <f>表1[[#This Row],[m_laser]]</f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f>表1[[#This Row],[m_melee]]</f>
        <v>80.800000000000196</v>
      </c>
      <c r="F240" s="15">
        <f>表1[[#This Row],[m_laser]]</f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f>表1[[#This Row],[m_melee]]</f>
        <v>81.100000000000193</v>
      </c>
      <c r="F241" s="15">
        <f>表1[[#This Row],[m_laser]]</f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f>表1[[#This Row],[m_melee]]</f>
        <v>81.400000000000205</v>
      </c>
      <c r="F242" s="15">
        <f>表1[[#This Row],[m_laser]]</f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f>表1[[#This Row],[m_melee]]</f>
        <v>81.700000000000202</v>
      </c>
      <c r="F243" s="15">
        <f>表1[[#This Row],[m_laser]]</f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f>表1[[#This Row],[m_melee]]</f>
        <v>82.000000000000199</v>
      </c>
      <c r="F244" s="15">
        <f>表1[[#This Row],[m_laser]]</f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f>表1[[#This Row],[m_melee]]</f>
        <v>82.300000000000196</v>
      </c>
      <c r="F245" s="15">
        <f>表1[[#This Row],[m_laser]]</f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f>表1[[#This Row],[m_melee]]</f>
        <v>82.600000000000193</v>
      </c>
      <c r="F246" s="15">
        <f>表1[[#This Row],[m_laser]]</f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f>表1[[#This Row],[m_melee]]</f>
        <v>82.900000000000205</v>
      </c>
      <c r="F247" s="15">
        <f>表1[[#This Row],[m_laser]]</f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f>表1[[#This Row],[m_melee]]</f>
        <v>83.200000000000202</v>
      </c>
      <c r="F248" s="15">
        <f>表1[[#This Row],[m_laser]]</f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f>表1[[#This Row],[m_melee]]</f>
        <v>83.500000000000199</v>
      </c>
      <c r="F249" s="15">
        <f>表1[[#This Row],[m_laser]]</f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f>表1[[#This Row],[m_melee]]</f>
        <v>83.800000000000196</v>
      </c>
      <c r="F250" s="15">
        <f>表1[[#This Row],[m_laser]]</f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f>表1[[#This Row],[m_melee]]</f>
        <v>84.100000000000193</v>
      </c>
      <c r="F251" s="15">
        <f>表1[[#This Row],[m_laser]]</f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f>表1[[#This Row],[m_melee]]</f>
        <v>84.400000000000205</v>
      </c>
      <c r="F252" s="15">
        <f>表1[[#This Row],[m_laser]]</f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f>表1[[#This Row],[m_melee]]</f>
        <v>84.700000000000202</v>
      </c>
      <c r="F253" s="15">
        <f>表1[[#This Row],[m_laser]]</f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f>表1[[#This Row],[m_melee]]</f>
        <v>85.000000000000199</v>
      </c>
      <c r="F254" s="15">
        <f>表1[[#This Row],[m_laser]]</f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f>表1[[#This Row],[m_melee]]</f>
        <v>85.300000000000196</v>
      </c>
      <c r="F255" s="15">
        <f>表1[[#This Row],[m_laser]]</f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f>表1[[#This Row],[m_melee]]</f>
        <v>85.600000000000193</v>
      </c>
      <c r="F256" s="15">
        <f>表1[[#This Row],[m_laser]]</f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f>表1[[#This Row],[m_melee]]</f>
        <v>85.900000000000205</v>
      </c>
      <c r="F257" s="15">
        <f>表1[[#This Row],[m_laser]]</f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f>表1[[#This Row],[m_melee]]</f>
        <v>86.200000000000202</v>
      </c>
      <c r="F258" s="15">
        <f>表1[[#This Row],[m_laser]]</f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f>表1[[#This Row],[m_melee]]</f>
        <v>86.500000000000199</v>
      </c>
      <c r="F259" s="15">
        <f>表1[[#This Row],[m_laser]]</f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f>表1[[#This Row],[m_melee]]</f>
        <v>86.800000000000196</v>
      </c>
      <c r="F260" s="15">
        <f>表1[[#This Row],[m_laser]]</f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f>表1[[#This Row],[m_melee]]</f>
        <v>87.100000000000193</v>
      </c>
      <c r="F261" s="15">
        <f>表1[[#This Row],[m_laser]]</f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f>表1[[#This Row],[m_melee]]</f>
        <v>87.400000000000205</v>
      </c>
      <c r="F262" s="15">
        <f>表1[[#This Row],[m_laser]]</f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f>表1[[#This Row],[m_melee]]</f>
        <v>87.700000000000202</v>
      </c>
      <c r="F263" s="15">
        <f>表1[[#This Row],[m_laser]]</f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f>表1[[#This Row],[m_melee]]</f>
        <v>88.000000000000199</v>
      </c>
      <c r="F264" s="15">
        <f>表1[[#This Row],[m_laser]]</f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f>表1[[#This Row],[m_melee]]</f>
        <v>88.300000000000196</v>
      </c>
      <c r="F265" s="15">
        <f>表1[[#This Row],[m_laser]]</f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f>表1[[#This Row],[m_melee]]</f>
        <v>88.600000000000193</v>
      </c>
      <c r="F266" s="15">
        <f>表1[[#This Row],[m_laser]]</f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f>表1[[#This Row],[m_melee]]</f>
        <v>88.900000000000205</v>
      </c>
      <c r="F267" s="15">
        <f>表1[[#This Row],[m_laser]]</f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f>表1[[#This Row],[m_melee]]</f>
        <v>89.200000000000202</v>
      </c>
      <c r="F268" s="15">
        <f>表1[[#This Row],[m_laser]]</f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f>表1[[#This Row],[m_melee]]</f>
        <v>89.500000000000199</v>
      </c>
      <c r="F269" s="15">
        <f>表1[[#This Row],[m_laser]]</f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f>表1[[#This Row],[m_melee]]</f>
        <v>89.800000000000196</v>
      </c>
      <c r="F270" s="15">
        <f>表1[[#This Row],[m_laser]]</f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f>表1[[#This Row],[m_melee]]</f>
        <v>90.100000000000193</v>
      </c>
      <c r="F271" s="15">
        <f>表1[[#This Row],[m_laser]]</f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f>表1[[#This Row],[m_melee]]</f>
        <v>90.400000000000205</v>
      </c>
      <c r="F272" s="15">
        <f>表1[[#This Row],[m_laser]]</f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f>表1[[#This Row],[m_melee]]</f>
        <v>90.700000000000202</v>
      </c>
      <c r="F273" s="15">
        <f>表1[[#This Row],[m_laser]]</f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f>表1[[#This Row],[m_melee]]</f>
        <v>91.000000000000199</v>
      </c>
      <c r="F274" s="15">
        <f>表1[[#This Row],[m_laser]]</f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f>表1[[#This Row],[m_melee]]</f>
        <v>91.300000000000196</v>
      </c>
      <c r="F275" s="15">
        <f>表1[[#This Row],[m_laser]]</f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f>表1[[#This Row],[m_melee]]</f>
        <v>91.600000000000193</v>
      </c>
      <c r="F276" s="15">
        <f>表1[[#This Row],[m_laser]]</f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f>表1[[#This Row],[m_melee]]</f>
        <v>91.900000000000205</v>
      </c>
      <c r="F277" s="15">
        <f>表1[[#This Row],[m_laser]]</f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f>表1[[#This Row],[m_melee]]</f>
        <v>92.200000000000202</v>
      </c>
      <c r="F278" s="15">
        <f>表1[[#This Row],[m_laser]]</f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f>表1[[#This Row],[m_melee]]</f>
        <v>92.500000000000199</v>
      </c>
      <c r="F279" s="15">
        <f>表1[[#This Row],[m_laser]]</f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f>表1[[#This Row],[m_melee]]</f>
        <v>92.800000000000196</v>
      </c>
      <c r="F280" s="15">
        <f>表1[[#This Row],[m_laser]]</f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f>表1[[#This Row],[m_melee]]</f>
        <v>93.100000000000193</v>
      </c>
      <c r="F281" s="15">
        <f>表1[[#This Row],[m_laser]]</f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f>表1[[#This Row],[m_melee]]</f>
        <v>93.400000000000205</v>
      </c>
      <c r="F282" s="15">
        <f>表1[[#This Row],[m_laser]]</f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f>表1[[#This Row],[m_melee]]</f>
        <v>93.700000000000202</v>
      </c>
      <c r="F283" s="15">
        <f>表1[[#This Row],[m_laser]]</f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f>表1[[#This Row],[m_melee]]</f>
        <v>94.000000000000199</v>
      </c>
      <c r="F284" s="15">
        <f>表1[[#This Row],[m_laser]]</f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f>表1[[#This Row],[m_melee]]</f>
        <v>94.300000000000196</v>
      </c>
      <c r="F285" s="15">
        <f>表1[[#This Row],[m_laser]]</f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f>表1[[#This Row],[m_melee]]</f>
        <v>94.600000000000193</v>
      </c>
      <c r="F286" s="15">
        <f>表1[[#This Row],[m_laser]]</f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f>表1[[#This Row],[m_melee]]</f>
        <v>94.900000000000205</v>
      </c>
      <c r="F287" s="15">
        <f>表1[[#This Row],[m_laser]]</f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f>表1[[#This Row],[m_melee]]</f>
        <v>95.200000000000202</v>
      </c>
      <c r="F288" s="15">
        <f>表1[[#This Row],[m_laser]]</f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f>表1[[#This Row],[m_melee]]</f>
        <v>95.500000000000199</v>
      </c>
      <c r="F289" s="15">
        <f>表1[[#This Row],[m_laser]]</f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f>表1[[#This Row],[m_melee]]</f>
        <v>95.800000000000196</v>
      </c>
      <c r="F290" s="15">
        <f>表1[[#This Row],[m_laser]]</f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f>表1[[#This Row],[m_melee]]</f>
        <v>96.100000000000193</v>
      </c>
      <c r="F291" s="15">
        <f>表1[[#This Row],[m_laser]]</f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f>表1[[#This Row],[m_melee]]</f>
        <v>96.400000000000205</v>
      </c>
      <c r="F292" s="15">
        <f>表1[[#This Row],[m_laser]]</f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f>表1[[#This Row],[m_melee]]</f>
        <v>96.700000000000202</v>
      </c>
      <c r="F293" s="15">
        <f>表1[[#This Row],[m_laser]]</f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f>表1[[#This Row],[m_melee]]</f>
        <v>97.000000000000199</v>
      </c>
      <c r="F294" s="15">
        <f>表1[[#This Row],[m_laser]]</f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f>表1[[#This Row],[m_melee]]</f>
        <v>97.300000000000196</v>
      </c>
      <c r="F295" s="15">
        <f>表1[[#This Row],[m_laser]]</f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f>表1[[#This Row],[m_melee]]</f>
        <v>97.600000000000193</v>
      </c>
      <c r="F296" s="15">
        <f>表1[[#This Row],[m_laser]]</f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f>表1[[#This Row],[m_melee]]</f>
        <v>97.900000000000205</v>
      </c>
      <c r="F297" s="15">
        <f>表1[[#This Row],[m_laser]]</f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f>表1[[#This Row],[m_melee]]</f>
        <v>98.200000000000202</v>
      </c>
      <c r="F298" s="15">
        <f>表1[[#This Row],[m_laser]]</f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f>表1[[#This Row],[m_melee]]</f>
        <v>98.500000000000199</v>
      </c>
      <c r="F299" s="15">
        <f>表1[[#This Row],[m_laser]]</f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f>表1[[#This Row],[m_melee]]</f>
        <v>98.800000000000196</v>
      </c>
      <c r="F300" s="15">
        <f>表1[[#This Row],[m_laser]]</f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f>表1[[#This Row],[m_melee]]</f>
        <v>99.100000000000193</v>
      </c>
      <c r="F301" s="15">
        <f>表1[[#This Row],[m_laser]]</f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f>表1[[#This Row],[m_melee]]</f>
        <v>99.400000000000205</v>
      </c>
      <c r="F302" s="15">
        <f>表1[[#This Row],[m_laser]]</f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f>表1[[#This Row],[m_melee]]</f>
        <v>99.700000000000202</v>
      </c>
      <c r="F303" s="15">
        <f>表1[[#This Row],[m_laser]]</f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f>表1[[#This Row],[m_melee]]</f>
        <v>100</v>
      </c>
      <c r="F304" s="15">
        <f>表1[[#This Row],[m_laser]]</f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f>表1[[#This Row],[m_melee]]</f>
        <v>100.3</v>
      </c>
      <c r="F305" s="15">
        <f>表1[[#This Row],[m_laser]]</f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f>表1[[#This Row],[m_melee]]</f>
        <v>100.6</v>
      </c>
      <c r="F306" s="15">
        <f>表1[[#This Row],[m_laser]]</f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f>表1[[#This Row],[m_melee]]</f>
        <v>100.9</v>
      </c>
      <c r="F307" s="15">
        <f>表1[[#This Row],[m_laser]]</f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f>表1[[#This Row],[m_melee]]</f>
        <v>101.2</v>
      </c>
      <c r="F308" s="15">
        <f>表1[[#This Row],[m_laser]]</f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f>表1[[#This Row],[m_melee]]</f>
        <v>101.5</v>
      </c>
      <c r="F309" s="15">
        <f>表1[[#This Row],[m_laser]]</f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f>表1[[#This Row],[m_melee]]</f>
        <v>101.8</v>
      </c>
      <c r="F310" s="15">
        <f>表1[[#This Row],[m_laser]]</f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f>表1[[#This Row],[m_melee]]</f>
        <v>102.1</v>
      </c>
      <c r="F311" s="15">
        <f>表1[[#This Row],[m_laser]]</f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f>表1[[#This Row],[m_melee]]</f>
        <v>102.4</v>
      </c>
      <c r="F312" s="15">
        <f>表1[[#This Row],[m_laser]]</f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f>表1[[#This Row],[m_melee]]</f>
        <v>102.7</v>
      </c>
      <c r="F313" s="15">
        <f>表1[[#This Row],[m_laser]]</f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f>表1[[#This Row],[m_melee]]</f>
        <v>103</v>
      </c>
      <c r="F314" s="15">
        <f>表1[[#This Row],[m_laser]]</f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f>表1[[#This Row],[m_melee]]</f>
        <v>103.3</v>
      </c>
      <c r="F315" s="15">
        <f>表1[[#This Row],[m_laser]]</f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f>表1[[#This Row],[m_melee]]</f>
        <v>103.6</v>
      </c>
      <c r="F316" s="15">
        <f>表1[[#This Row],[m_laser]]</f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f>表1[[#This Row],[m_melee]]</f>
        <v>103.9</v>
      </c>
      <c r="F317" s="15">
        <f>表1[[#This Row],[m_laser]]</f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f>表1[[#This Row],[m_melee]]</f>
        <v>104.2</v>
      </c>
      <c r="F318" s="15">
        <f>表1[[#This Row],[m_laser]]</f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f>表1[[#This Row],[m_melee]]</f>
        <v>104.5</v>
      </c>
      <c r="F319" s="15">
        <f>表1[[#This Row],[m_laser]]</f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f>表1[[#This Row],[m_melee]]</f>
        <v>104.8</v>
      </c>
      <c r="F320" s="15">
        <f>表1[[#This Row],[m_laser]]</f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f>表1[[#This Row],[m_melee]]</f>
        <v>105.1</v>
      </c>
      <c r="F321" s="15">
        <f>表1[[#This Row],[m_laser]]</f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f>表1[[#This Row],[m_melee]]</f>
        <v>105.4</v>
      </c>
      <c r="F322" s="15">
        <f>表1[[#This Row],[m_laser]]</f>
        <v>105.4</v>
      </c>
    </row>
    <row r="323" spans="1:6" x14ac:dyDescent="0.3">
      <c r="A323" s="13">
        <v>320</v>
      </c>
      <c r="B323" s="15">
        <v>89720</v>
      </c>
      <c r="C323" s="15">
        <v>105.7</v>
      </c>
      <c r="D323" s="15">
        <v>105.7</v>
      </c>
      <c r="E323" s="15">
        <f>表1[[#This Row],[m_melee]]</f>
        <v>105.7</v>
      </c>
      <c r="F323" s="15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25" sqref="B2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8" customFormat="1" ht="184.5" customHeight="1" x14ac:dyDescent="0.2">
      <c r="A1" s="5" t="s">
        <v>18</v>
      </c>
      <c r="B1" s="5" t="s">
        <v>52</v>
      </c>
      <c r="C1" s="5" t="s">
        <v>144</v>
      </c>
      <c r="D1" s="5" t="s">
        <v>279</v>
      </c>
      <c r="E1" s="5" t="s">
        <v>280</v>
      </c>
    </row>
    <row r="2" spans="1:5" x14ac:dyDescent="0.3">
      <c r="A2" s="7" t="s">
        <v>19</v>
      </c>
      <c r="B2" s="7" t="s">
        <v>21</v>
      </c>
      <c r="C2" s="7" t="s">
        <v>22</v>
      </c>
      <c r="D2" s="17" t="s">
        <v>51</v>
      </c>
      <c r="E2" s="7" t="s">
        <v>278</v>
      </c>
    </row>
    <row r="3" spans="1:5" x14ac:dyDescent="0.3">
      <c r="A3" s="9" t="s">
        <v>20</v>
      </c>
      <c r="B3" s="9" t="s">
        <v>49</v>
      </c>
      <c r="C3" s="9" t="s">
        <v>50</v>
      </c>
      <c r="D3" s="9" t="s">
        <v>23</v>
      </c>
      <c r="E3" s="9" t="s">
        <v>53</v>
      </c>
    </row>
    <row r="4" spans="1:5" x14ac:dyDescent="0.3">
      <c r="A4" s="8">
        <v>2000001</v>
      </c>
      <c r="B4" s="8">
        <v>0</v>
      </c>
      <c r="C4" s="8" t="s">
        <v>245</v>
      </c>
      <c r="D4" s="8" t="s">
        <v>246</v>
      </c>
      <c r="E4" s="8" t="s">
        <v>247</v>
      </c>
    </row>
    <row r="5" spans="1:5" x14ac:dyDescent="0.3">
      <c r="A5" s="8">
        <v>2000002</v>
      </c>
      <c r="B5" s="8">
        <v>0</v>
      </c>
      <c r="C5" s="8" t="s">
        <v>245</v>
      </c>
      <c r="D5" s="8" t="s">
        <v>246</v>
      </c>
      <c r="E5" s="8" t="s">
        <v>250</v>
      </c>
    </row>
    <row r="6" spans="1:5" x14ac:dyDescent="0.3">
      <c r="A6" s="8">
        <v>2000003</v>
      </c>
      <c r="B6" s="8">
        <v>0</v>
      </c>
      <c r="C6" s="8" t="s">
        <v>245</v>
      </c>
      <c r="D6" s="8" t="s">
        <v>246</v>
      </c>
      <c r="E6" s="8" t="s">
        <v>249</v>
      </c>
    </row>
    <row r="7" spans="1:5" x14ac:dyDescent="0.3">
      <c r="A7" s="8">
        <v>2000004</v>
      </c>
      <c r="B7" s="8">
        <v>0</v>
      </c>
      <c r="C7" s="8" t="s">
        <v>245</v>
      </c>
      <c r="D7" s="8" t="s">
        <v>246</v>
      </c>
      <c r="E7" s="8" t="s">
        <v>248</v>
      </c>
    </row>
    <row r="8" spans="1:5" x14ac:dyDescent="0.3">
      <c r="A8" s="8">
        <v>2000005</v>
      </c>
      <c r="B8" s="8">
        <v>0</v>
      </c>
      <c r="C8" s="8" t="s">
        <v>245</v>
      </c>
      <c r="D8" s="8" t="s">
        <v>246</v>
      </c>
      <c r="E8" s="8"/>
    </row>
    <row r="9" spans="1:5" x14ac:dyDescent="0.3">
      <c r="A9" s="8">
        <v>2000006</v>
      </c>
      <c r="B9" s="8">
        <v>0</v>
      </c>
      <c r="C9" s="8" t="s">
        <v>270</v>
      </c>
      <c r="D9" s="8" t="s">
        <v>24</v>
      </c>
      <c r="E9" s="8"/>
    </row>
    <row r="10" spans="1:5" x14ac:dyDescent="0.3">
      <c r="A10" s="8">
        <v>2000007</v>
      </c>
      <c r="B10" s="8">
        <v>0</v>
      </c>
      <c r="C10" s="8" t="s">
        <v>256</v>
      </c>
      <c r="D10" s="8" t="s">
        <v>24</v>
      </c>
      <c r="E10" s="8"/>
    </row>
    <row r="11" spans="1:5" x14ac:dyDescent="0.3">
      <c r="A11" s="8">
        <v>2000008</v>
      </c>
      <c r="B11" s="8">
        <v>0</v>
      </c>
      <c r="C11" s="8" t="s">
        <v>257</v>
      </c>
      <c r="D11" s="8" t="s">
        <v>24</v>
      </c>
      <c r="E11" s="8"/>
    </row>
    <row r="12" spans="1:5" x14ac:dyDescent="0.3">
      <c r="A12" s="8">
        <v>2000009</v>
      </c>
      <c r="B12" s="8">
        <v>0</v>
      </c>
      <c r="C12" s="8" t="s">
        <v>258</v>
      </c>
      <c r="D12" s="8" t="s">
        <v>24</v>
      </c>
      <c r="E12" s="8"/>
    </row>
    <row r="13" spans="1:5" x14ac:dyDescent="0.3">
      <c r="A13" s="8">
        <v>2000010</v>
      </c>
      <c r="B13" s="8">
        <v>2</v>
      </c>
      <c r="C13" s="8" t="s">
        <v>260</v>
      </c>
      <c r="D13" s="8" t="s">
        <v>246</v>
      </c>
      <c r="E13" s="8"/>
    </row>
    <row r="14" spans="1:5" x14ac:dyDescent="0.3">
      <c r="A14" s="8">
        <v>2000011</v>
      </c>
      <c r="B14" s="8">
        <v>2</v>
      </c>
      <c r="C14" s="8" t="s">
        <v>261</v>
      </c>
      <c r="D14" s="8" t="s">
        <v>246</v>
      </c>
      <c r="E14" s="8"/>
    </row>
    <row r="15" spans="1:5" x14ac:dyDescent="0.3">
      <c r="A15" s="8">
        <v>2000012</v>
      </c>
      <c r="B15" s="8">
        <v>3</v>
      </c>
      <c r="C15" s="8" t="s">
        <v>262</v>
      </c>
      <c r="D15" s="8" t="s">
        <v>246</v>
      </c>
      <c r="E15" s="8"/>
    </row>
    <row r="16" spans="1:5" x14ac:dyDescent="0.3">
      <c r="A16" s="8">
        <v>2000013</v>
      </c>
      <c r="B16" s="8">
        <v>3</v>
      </c>
      <c r="C16" s="8" t="s">
        <v>263</v>
      </c>
      <c r="D16" s="8" t="s">
        <v>246</v>
      </c>
      <c r="E16" s="8"/>
    </row>
    <row r="17" spans="1:5" x14ac:dyDescent="0.3">
      <c r="A17" s="8">
        <v>2000014</v>
      </c>
      <c r="B17" s="8">
        <v>2</v>
      </c>
      <c r="C17" s="8" t="s">
        <v>264</v>
      </c>
      <c r="D17" s="8" t="s">
        <v>246</v>
      </c>
      <c r="E17" s="8"/>
    </row>
    <row r="18" spans="1:5" x14ac:dyDescent="0.3">
      <c r="A18" s="8">
        <v>2000015</v>
      </c>
      <c r="B18" s="8">
        <v>2</v>
      </c>
      <c r="C18" s="8" t="s">
        <v>265</v>
      </c>
      <c r="D18" s="8" t="s">
        <v>246</v>
      </c>
      <c r="E18" s="8"/>
    </row>
    <row r="19" spans="1:5" x14ac:dyDescent="0.3">
      <c r="A19" s="8">
        <v>2000016</v>
      </c>
      <c r="B19" s="8">
        <v>3</v>
      </c>
      <c r="C19" s="8" t="s">
        <v>266</v>
      </c>
      <c r="D19" s="8" t="s">
        <v>246</v>
      </c>
      <c r="E19" s="8"/>
    </row>
    <row r="20" spans="1:5" x14ac:dyDescent="0.3">
      <c r="A20" s="8">
        <v>2000017</v>
      </c>
      <c r="B20" s="8">
        <v>3</v>
      </c>
      <c r="C20" s="8" t="s">
        <v>267</v>
      </c>
      <c r="D20" s="8" t="s">
        <v>246</v>
      </c>
      <c r="E20" s="8"/>
    </row>
    <row r="21" spans="1:5" x14ac:dyDescent="0.3">
      <c r="A21" s="8">
        <v>2000018</v>
      </c>
      <c r="B21" s="8">
        <v>2</v>
      </c>
      <c r="C21" s="8" t="s">
        <v>271</v>
      </c>
      <c r="D21" s="8" t="s">
        <v>246</v>
      </c>
      <c r="E21" s="8"/>
    </row>
    <row r="22" spans="1:5" x14ac:dyDescent="0.3">
      <c r="A22" s="8">
        <v>2000019</v>
      </c>
      <c r="B22" s="8">
        <v>2</v>
      </c>
      <c r="C22" s="8" t="s">
        <v>271</v>
      </c>
      <c r="D22" s="8" t="s">
        <v>246</v>
      </c>
      <c r="E22" s="8" t="s">
        <v>272</v>
      </c>
    </row>
    <row r="23" spans="1:5" x14ac:dyDescent="0.3">
      <c r="A23" s="8">
        <v>2000020</v>
      </c>
      <c r="B23" s="8">
        <v>2</v>
      </c>
      <c r="C23" s="8" t="s">
        <v>271</v>
      </c>
      <c r="D23" s="8" t="s">
        <v>246</v>
      </c>
      <c r="E23" s="8" t="s">
        <v>273</v>
      </c>
    </row>
    <row r="24" spans="1:5" x14ac:dyDescent="0.3">
      <c r="A24" s="8">
        <v>2000021</v>
      </c>
      <c r="B24" s="8">
        <v>2</v>
      </c>
      <c r="C24" s="8" t="s">
        <v>271</v>
      </c>
      <c r="D24" s="8" t="s">
        <v>246</v>
      </c>
      <c r="E24" s="8" t="s">
        <v>274</v>
      </c>
    </row>
    <row r="25" spans="1:5" x14ac:dyDescent="0.3">
      <c r="A25" s="8">
        <v>2000022</v>
      </c>
      <c r="B25" s="8">
        <v>2</v>
      </c>
      <c r="C25" s="8" t="s">
        <v>271</v>
      </c>
      <c r="D25" s="8" t="s">
        <v>246</v>
      </c>
      <c r="E25" s="8" t="s">
        <v>275</v>
      </c>
    </row>
    <row r="26" spans="1:5" x14ac:dyDescent="0.3">
      <c r="A26" s="8">
        <v>2000023</v>
      </c>
      <c r="B26" s="8">
        <v>0</v>
      </c>
      <c r="C26" s="8" t="s">
        <v>271</v>
      </c>
      <c r="D26" s="8" t="s">
        <v>24</v>
      </c>
      <c r="E26" s="8" t="s">
        <v>272</v>
      </c>
    </row>
    <row r="27" spans="1:5" x14ac:dyDescent="0.3">
      <c r="A27" s="8">
        <v>2000024</v>
      </c>
      <c r="B27" s="8">
        <v>0</v>
      </c>
      <c r="C27" s="8" t="s">
        <v>271</v>
      </c>
      <c r="D27" s="8" t="s">
        <v>24</v>
      </c>
      <c r="E27" s="8" t="s">
        <v>277</v>
      </c>
    </row>
    <row r="28" spans="1:5" x14ac:dyDescent="0.3">
      <c r="A28" s="8">
        <v>2000025</v>
      </c>
      <c r="B28" s="8">
        <v>0</v>
      </c>
      <c r="C28" s="8" t="s">
        <v>271</v>
      </c>
      <c r="D28" s="8" t="s">
        <v>24</v>
      </c>
      <c r="E28" s="8" t="s">
        <v>282</v>
      </c>
    </row>
    <row r="29" spans="1:5" x14ac:dyDescent="0.3">
      <c r="A29" s="8">
        <v>2000026</v>
      </c>
      <c r="B29" s="8">
        <v>0</v>
      </c>
      <c r="C29" s="8" t="s">
        <v>271</v>
      </c>
      <c r="D29" s="8" t="s">
        <v>24</v>
      </c>
      <c r="E29" s="8" t="s">
        <v>283</v>
      </c>
    </row>
    <row r="30" spans="1:5" x14ac:dyDescent="0.3">
      <c r="A30" s="8">
        <v>2000027</v>
      </c>
      <c r="B30" s="8">
        <v>0</v>
      </c>
      <c r="C30" s="8" t="s">
        <v>271</v>
      </c>
      <c r="D30" s="8" t="s">
        <v>24</v>
      </c>
      <c r="E30" s="8" t="s">
        <v>284</v>
      </c>
    </row>
    <row r="31" spans="1:5" x14ac:dyDescent="0.3">
      <c r="A31" s="8">
        <v>2000028</v>
      </c>
      <c r="B31" s="8">
        <v>0</v>
      </c>
      <c r="C31" s="8" t="s">
        <v>271</v>
      </c>
      <c r="D31" s="8" t="s">
        <v>24</v>
      </c>
      <c r="E31" s="8" t="s">
        <v>285</v>
      </c>
    </row>
    <row r="32" spans="1:5" x14ac:dyDescent="0.3">
      <c r="A32" s="8">
        <v>2000029</v>
      </c>
      <c r="B32" s="8">
        <v>2</v>
      </c>
      <c r="C32" s="8" t="s">
        <v>271</v>
      </c>
      <c r="D32" s="8" t="s">
        <v>24</v>
      </c>
      <c r="E32" s="8"/>
    </row>
    <row r="33" spans="1:5" x14ac:dyDescent="0.3">
      <c r="A33" s="8">
        <v>2000030</v>
      </c>
      <c r="B33" s="8">
        <v>2</v>
      </c>
      <c r="C33" s="8" t="s">
        <v>271</v>
      </c>
      <c r="D33" s="8" t="s">
        <v>24</v>
      </c>
      <c r="E33" s="8" t="s">
        <v>291</v>
      </c>
    </row>
    <row r="34" spans="1:5" x14ac:dyDescent="0.3">
      <c r="A34" s="8">
        <v>2000031</v>
      </c>
      <c r="B34" s="8">
        <v>4</v>
      </c>
      <c r="C34" s="8" t="s">
        <v>271</v>
      </c>
      <c r="D34" s="8" t="s">
        <v>293</v>
      </c>
      <c r="E34" s="8"/>
    </row>
    <row r="35" spans="1:5" x14ac:dyDescent="0.3">
      <c r="A35" s="8">
        <v>2000032</v>
      </c>
      <c r="B35" s="8">
        <v>0</v>
      </c>
      <c r="C35" s="8" t="s">
        <v>271</v>
      </c>
      <c r="D35" s="8" t="s">
        <v>246</v>
      </c>
      <c r="E35" s="8" t="s">
        <v>295</v>
      </c>
    </row>
    <row r="36" spans="1:5" x14ac:dyDescent="0.3">
      <c r="A36" s="8">
        <v>2000033</v>
      </c>
      <c r="B36" s="8">
        <v>0</v>
      </c>
      <c r="C36" s="8" t="s">
        <v>271</v>
      </c>
      <c r="D36" s="8" t="s">
        <v>246</v>
      </c>
      <c r="E36" s="8" t="s">
        <v>296</v>
      </c>
    </row>
    <row r="37" spans="1:5" x14ac:dyDescent="0.3">
      <c r="A37" s="8">
        <v>2000034</v>
      </c>
      <c r="B37" s="8">
        <v>0</v>
      </c>
      <c r="C37" s="8" t="s">
        <v>271</v>
      </c>
      <c r="D37" s="8" t="s">
        <v>246</v>
      </c>
      <c r="E37" s="8" t="s">
        <v>297</v>
      </c>
    </row>
    <row r="38" spans="1:5" x14ac:dyDescent="0.3">
      <c r="A38" s="8">
        <v>2000035</v>
      </c>
      <c r="B38" s="8">
        <v>0</v>
      </c>
      <c r="C38" s="8" t="s">
        <v>271</v>
      </c>
      <c r="D38" s="8" t="s">
        <v>246</v>
      </c>
      <c r="E38" s="8" t="s">
        <v>298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E14" sqref="E14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54</v>
      </c>
      <c r="F1" s="3" t="s">
        <v>28</v>
      </c>
    </row>
    <row r="2" spans="3:6" x14ac:dyDescent="0.3">
      <c r="C2" s="2" t="s">
        <v>26</v>
      </c>
      <c r="D2" s="1" t="str">
        <f>[1]!获取备注内容(C2)</f>
        <v>友善：受到伤害才会激活远程行为</v>
      </c>
      <c r="F2" s="2" t="s">
        <v>150</v>
      </c>
    </row>
    <row r="3" spans="3:6" x14ac:dyDescent="0.3">
      <c r="C3" s="2" t="s">
        <v>25</v>
      </c>
      <c r="D3" s="1" t="str">
        <f>[1]!获取备注内容(C3)</f>
        <v>中立：受到伤害或玩家邻接会激活远程行为</v>
      </c>
      <c r="F3" s="2" t="s">
        <v>27</v>
      </c>
    </row>
    <row r="4" spans="3:6" x14ac:dyDescent="0.3">
      <c r="C4" s="2" t="s">
        <v>55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21" customFormat="1" ht="15" x14ac:dyDescent="0.25">
      <c r="A1" s="18"/>
      <c r="B1" s="29" t="s">
        <v>141</v>
      </c>
      <c r="C1" s="29"/>
      <c r="D1" s="29"/>
      <c r="E1" s="29"/>
      <c r="F1" s="29" t="s">
        <v>142</v>
      </c>
      <c r="G1" s="29"/>
      <c r="H1" s="29"/>
      <c r="I1" s="29"/>
      <c r="J1" s="29"/>
      <c r="K1" s="29" t="s">
        <v>145</v>
      </c>
      <c r="L1" s="29"/>
      <c r="M1" s="29"/>
      <c r="N1" s="29"/>
      <c r="O1" s="29" t="s">
        <v>153</v>
      </c>
      <c r="P1" s="29"/>
      <c r="Q1" s="29"/>
      <c r="R1" s="29"/>
    </row>
    <row r="2" spans="1:18" s="21" customFormat="1" ht="15" x14ac:dyDescent="0.25">
      <c r="A2" s="19" t="s">
        <v>143</v>
      </c>
      <c r="B2" s="20" t="s">
        <v>56</v>
      </c>
      <c r="C2" s="20" t="s">
        <v>57</v>
      </c>
      <c r="D2" s="20" t="s">
        <v>58</v>
      </c>
      <c r="E2" s="20" t="s">
        <v>59</v>
      </c>
      <c r="F2" s="20" t="s">
        <v>136</v>
      </c>
      <c r="G2" s="20" t="s">
        <v>137</v>
      </c>
      <c r="H2" s="20" t="s">
        <v>138</v>
      </c>
      <c r="I2" s="20" t="s">
        <v>139</v>
      </c>
      <c r="J2" s="20" t="s">
        <v>140</v>
      </c>
      <c r="K2" s="20" t="s">
        <v>146</v>
      </c>
      <c r="L2" s="20" t="s">
        <v>147</v>
      </c>
      <c r="M2" s="20" t="s">
        <v>148</v>
      </c>
      <c r="N2" s="20" t="s">
        <v>154</v>
      </c>
      <c r="O2" s="20" t="s">
        <v>155</v>
      </c>
      <c r="P2" s="20" t="s">
        <v>156</v>
      </c>
      <c r="Q2" s="20" t="s">
        <v>157</v>
      </c>
      <c r="R2" s="20" t="s">
        <v>158</v>
      </c>
    </row>
    <row r="3" spans="1:18" x14ac:dyDescent="0.3">
      <c r="A3" s="22" t="s">
        <v>60</v>
      </c>
      <c r="B3" s="2"/>
      <c r="C3" s="2" t="s">
        <v>61</v>
      </c>
      <c r="D3" s="2"/>
      <c r="E3" s="2" t="s">
        <v>62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149</v>
      </c>
      <c r="O3" s="25"/>
      <c r="P3" s="25"/>
      <c r="Q3" s="25"/>
      <c r="R3" s="25"/>
    </row>
    <row r="4" spans="1:18" x14ac:dyDescent="0.3">
      <c r="A4" s="22" t="s">
        <v>63</v>
      </c>
      <c r="B4" s="2" t="s">
        <v>64</v>
      </c>
      <c r="C4" s="2" t="s">
        <v>64</v>
      </c>
      <c r="D4" s="2" t="s">
        <v>65</v>
      </c>
      <c r="E4" s="2" t="s">
        <v>65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2" t="s">
        <v>66</v>
      </c>
      <c r="B5" s="2"/>
      <c r="C5" s="2" t="s">
        <v>67</v>
      </c>
      <c r="D5" s="2" t="s">
        <v>67</v>
      </c>
      <c r="E5" s="2" t="s">
        <v>68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2" t="s">
        <v>69</v>
      </c>
      <c r="B6" s="2" t="s">
        <v>151</v>
      </c>
      <c r="C6" s="2" t="s">
        <v>152</v>
      </c>
      <c r="D6" s="2" t="s">
        <v>70</v>
      </c>
      <c r="E6" s="2" t="s">
        <v>71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2" t="s">
        <v>72</v>
      </c>
      <c r="B7" s="2" t="s">
        <v>73</v>
      </c>
      <c r="C7" s="2" t="s">
        <v>73</v>
      </c>
      <c r="D7" s="2" t="s">
        <v>74</v>
      </c>
      <c r="E7" s="2" t="s">
        <v>74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2" t="s">
        <v>75</v>
      </c>
      <c r="B8" s="2" t="s">
        <v>76</v>
      </c>
      <c r="C8" s="2" t="s">
        <v>76</v>
      </c>
      <c r="D8" s="2" t="s">
        <v>77</v>
      </c>
      <c r="E8" s="2" t="s">
        <v>77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2" t="s">
        <v>78</v>
      </c>
      <c r="B9" s="2" t="s">
        <v>79</v>
      </c>
      <c r="C9" s="2" t="s">
        <v>80</v>
      </c>
      <c r="D9" s="2" t="s">
        <v>81</v>
      </c>
      <c r="E9" s="2" t="s">
        <v>82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2" t="s">
        <v>83</v>
      </c>
      <c r="B10" s="2"/>
      <c r="C10" s="2"/>
      <c r="D10" s="2" t="s">
        <v>84</v>
      </c>
      <c r="E10" s="2" t="s">
        <v>85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159</v>
      </c>
    </row>
    <row r="11" spans="1:18" x14ac:dyDescent="0.3">
      <c r="A11" s="22" t="s">
        <v>86</v>
      </c>
      <c r="B11" s="2" t="s">
        <v>87</v>
      </c>
      <c r="C11" s="2" t="s">
        <v>88</v>
      </c>
      <c r="D11" s="2" t="s">
        <v>89</v>
      </c>
      <c r="E11" s="2" t="s">
        <v>90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2" t="s">
        <v>91</v>
      </c>
      <c r="B12" s="2"/>
      <c r="C12" s="2" t="s">
        <v>92</v>
      </c>
      <c r="D12" s="2"/>
      <c r="E12" s="2" t="s">
        <v>161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160</v>
      </c>
    </row>
    <row r="13" spans="1:18" x14ac:dyDescent="0.3">
      <c r="A13" s="22" t="s">
        <v>93</v>
      </c>
      <c r="B13" s="2" t="s">
        <v>162</v>
      </c>
      <c r="C13" s="2"/>
      <c r="D13" s="2" t="s">
        <v>163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22" t="s">
        <v>94</v>
      </c>
      <c r="B14" s="2" t="s">
        <v>95</v>
      </c>
      <c r="C14" s="2" t="s">
        <v>96</v>
      </c>
      <c r="D14" s="2" t="s">
        <v>97</v>
      </c>
      <c r="E14" s="2" t="s">
        <v>98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22" t="s">
        <v>99</v>
      </c>
      <c r="B15" s="2" t="s">
        <v>100</v>
      </c>
      <c r="C15" s="2" t="s">
        <v>101</v>
      </c>
      <c r="D15" s="2" t="s">
        <v>102</v>
      </c>
      <c r="E15" s="2" t="s">
        <v>103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22" t="s">
        <v>104</v>
      </c>
      <c r="B16" s="2" t="s">
        <v>166</v>
      </c>
      <c r="C16" s="2" t="s">
        <v>167</v>
      </c>
      <c r="D16" s="2" t="s">
        <v>164</v>
      </c>
      <c r="E16" s="2" t="s">
        <v>165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22" t="s">
        <v>168</v>
      </c>
      <c r="B17" s="2" t="s">
        <v>169</v>
      </c>
      <c r="C17" s="2" t="s">
        <v>105</v>
      </c>
      <c r="D17" s="2" t="s">
        <v>106</v>
      </c>
      <c r="E17" s="2" t="s">
        <v>107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22" t="s">
        <v>170</v>
      </c>
      <c r="B18" s="2"/>
      <c r="C18" s="2" t="s">
        <v>171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22" t="s">
        <v>172</v>
      </c>
      <c r="B19" s="2" t="s">
        <v>108</v>
      </c>
      <c r="C19" s="2" t="s">
        <v>109</v>
      </c>
      <c r="D19" s="2" t="s">
        <v>110</v>
      </c>
      <c r="E19" s="2" t="s">
        <v>111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22" t="s">
        <v>173</v>
      </c>
      <c r="B20" s="2" t="s">
        <v>112</v>
      </c>
      <c r="C20" s="2" t="s">
        <v>113</v>
      </c>
      <c r="D20" s="2" t="s">
        <v>114</v>
      </c>
      <c r="E20" s="2" t="s">
        <v>115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22" t="s">
        <v>174</v>
      </c>
      <c r="B21" s="2" t="s">
        <v>175</v>
      </c>
      <c r="C21" s="2" t="s">
        <v>116</v>
      </c>
      <c r="D21" s="2" t="s">
        <v>117</v>
      </c>
      <c r="E21" s="2" t="s">
        <v>118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22" t="s">
        <v>119</v>
      </c>
      <c r="B22" s="2" t="s">
        <v>120</v>
      </c>
      <c r="C22" s="2"/>
      <c r="D22" s="2"/>
      <c r="E22" s="2" t="s">
        <v>121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22" t="s">
        <v>122</v>
      </c>
      <c r="B23" s="2" t="s">
        <v>123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22" t="s">
        <v>176</v>
      </c>
      <c r="B24" s="2"/>
      <c r="C24" s="2" t="s">
        <v>124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22" t="s">
        <v>177</v>
      </c>
      <c r="B25" s="2" t="s">
        <v>125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22" t="s">
        <v>178</v>
      </c>
      <c r="B26" s="2" t="s">
        <v>126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22" t="s">
        <v>127</v>
      </c>
      <c r="B27" s="2" t="s">
        <v>128</v>
      </c>
      <c r="C27" s="2" t="s">
        <v>129</v>
      </c>
      <c r="D27" s="2" t="s">
        <v>130</v>
      </c>
      <c r="E27" s="2" t="s">
        <v>131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22" t="s">
        <v>179</v>
      </c>
      <c r="B28" s="2" t="s">
        <v>132</v>
      </c>
      <c r="C28" s="2" t="s">
        <v>133</v>
      </c>
      <c r="D28" s="2" t="s">
        <v>134</v>
      </c>
      <c r="E28" s="2" t="s">
        <v>135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23" t="s">
        <v>180</v>
      </c>
      <c r="B29" s="24" t="s">
        <v>181</v>
      </c>
      <c r="C29" s="24" t="s">
        <v>182</v>
      </c>
      <c r="D29" s="24" t="s">
        <v>183</v>
      </c>
      <c r="E29" s="24" t="s">
        <v>184</v>
      </c>
      <c r="F29" s="24">
        <v>1</v>
      </c>
      <c r="G29" s="24">
        <v>1</v>
      </c>
      <c r="H29" s="24">
        <v>1</v>
      </c>
      <c r="I29" s="24">
        <v>1</v>
      </c>
      <c r="J29" s="24">
        <v>1</v>
      </c>
      <c r="K29" s="24">
        <v>3100049</v>
      </c>
      <c r="L29" s="24">
        <v>3100050</v>
      </c>
      <c r="M29" s="24">
        <v>3100051</v>
      </c>
      <c r="N29" s="24">
        <v>3100052</v>
      </c>
      <c r="O29" s="24"/>
      <c r="P29" s="24"/>
      <c r="Q29" s="24"/>
      <c r="R29" s="24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2017-09-22T13:47:50Z</dcterms:modified>
</cp:coreProperties>
</file>