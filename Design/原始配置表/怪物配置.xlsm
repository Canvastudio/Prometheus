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</sheets>
  <externalReferences>
    <externalReference r:id="rId5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" l="1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61" i="2"/>
  <c r="H61" i="2" s="1"/>
  <c r="G62" i="2"/>
  <c r="H62" i="2" s="1"/>
  <c r="G63" i="2"/>
  <c r="H63" i="2" s="1"/>
  <c r="G64" i="2"/>
  <c r="H64" i="2" s="1"/>
  <c r="G65" i="2"/>
  <c r="H65" i="2" s="1"/>
  <c r="G66" i="2"/>
  <c r="H66" i="2" s="1"/>
  <c r="G67" i="2"/>
  <c r="H67" i="2" s="1"/>
  <c r="G68" i="2"/>
  <c r="H68" i="2" s="1"/>
  <c r="G69" i="2"/>
  <c r="H69" i="2" s="1"/>
  <c r="G70" i="2"/>
  <c r="H70" i="2" s="1"/>
  <c r="G71" i="2"/>
  <c r="H71" i="2" s="1"/>
  <c r="G72" i="2"/>
  <c r="H72" i="2" s="1"/>
  <c r="G73" i="2"/>
  <c r="H73" i="2" s="1"/>
  <c r="G74" i="2"/>
  <c r="H74" i="2" s="1"/>
  <c r="G75" i="2"/>
  <c r="H75" i="2" s="1"/>
  <c r="G76" i="2"/>
  <c r="H76" i="2" s="1"/>
  <c r="G77" i="2"/>
  <c r="H77" i="2" s="1"/>
  <c r="G78" i="2"/>
  <c r="H78" i="2" s="1"/>
  <c r="G79" i="2"/>
  <c r="H79" i="2" s="1"/>
  <c r="G80" i="2"/>
  <c r="H80" i="2" s="1"/>
  <c r="G81" i="2"/>
  <c r="H81" i="2" s="1"/>
  <c r="G82" i="2"/>
  <c r="H82" i="2" s="1"/>
  <c r="G83" i="2"/>
  <c r="H83" i="2" s="1"/>
  <c r="G84" i="2"/>
  <c r="H84" i="2" s="1"/>
  <c r="G85" i="2"/>
  <c r="H85" i="2" s="1"/>
  <c r="G86" i="2"/>
  <c r="H86" i="2" s="1"/>
  <c r="G87" i="2"/>
  <c r="H87" i="2" s="1"/>
  <c r="G88" i="2"/>
  <c r="H88" i="2" s="1"/>
  <c r="G89" i="2"/>
  <c r="H89" i="2" s="1"/>
  <c r="G90" i="2"/>
  <c r="H90" i="2" s="1"/>
  <c r="G91" i="2"/>
  <c r="H91" i="2" s="1"/>
  <c r="G92" i="2"/>
  <c r="H92" i="2" s="1"/>
  <c r="G93" i="2"/>
  <c r="H93" i="2" s="1"/>
  <c r="G94" i="2"/>
  <c r="H94" i="2" s="1"/>
  <c r="G95" i="2"/>
  <c r="H95" i="2" s="1"/>
  <c r="G96" i="2"/>
  <c r="H96" i="2" s="1"/>
  <c r="G97" i="2"/>
  <c r="H97" i="2" s="1"/>
  <c r="G98" i="2"/>
  <c r="H98" i="2" s="1"/>
  <c r="G99" i="2"/>
  <c r="H99" i="2" s="1"/>
  <c r="G100" i="2"/>
  <c r="H100" i="2" s="1"/>
  <c r="G101" i="2"/>
  <c r="H101" i="2" s="1"/>
  <c r="G102" i="2"/>
  <c r="H102" i="2" s="1"/>
  <c r="G103" i="2"/>
  <c r="H103" i="2" s="1"/>
  <c r="G104" i="2"/>
  <c r="H104" i="2" s="1"/>
  <c r="G105" i="2"/>
  <c r="H105" i="2" s="1"/>
  <c r="G106" i="2"/>
  <c r="H106" i="2" s="1"/>
  <c r="G107" i="2"/>
  <c r="H107" i="2" s="1"/>
  <c r="G108" i="2"/>
  <c r="H108" i="2" s="1"/>
  <c r="G109" i="2"/>
  <c r="H109" i="2" s="1"/>
  <c r="G110" i="2"/>
  <c r="H110" i="2" s="1"/>
  <c r="G111" i="2"/>
  <c r="H111" i="2" s="1"/>
  <c r="G112" i="2"/>
  <c r="H112" i="2" s="1"/>
  <c r="G113" i="2"/>
  <c r="H113" i="2" s="1"/>
  <c r="G114" i="2"/>
  <c r="H114" i="2" s="1"/>
  <c r="G115" i="2"/>
  <c r="H115" i="2" s="1"/>
  <c r="G116" i="2"/>
  <c r="H116" i="2" s="1"/>
  <c r="G117" i="2"/>
  <c r="H117" i="2" s="1"/>
  <c r="G118" i="2"/>
  <c r="H118" i="2" s="1"/>
  <c r="G119" i="2"/>
  <c r="H119" i="2" s="1"/>
  <c r="G120" i="2"/>
  <c r="H120" i="2" s="1"/>
  <c r="G121" i="2"/>
  <c r="H121" i="2" s="1"/>
  <c r="G122" i="2"/>
  <c r="H122" i="2" s="1"/>
  <c r="G123" i="2"/>
  <c r="H123" i="2" s="1"/>
  <c r="G124" i="2"/>
  <c r="H124" i="2" s="1"/>
  <c r="G125" i="2"/>
  <c r="H125" i="2" s="1"/>
  <c r="G126" i="2"/>
  <c r="H126" i="2" s="1"/>
  <c r="G127" i="2"/>
  <c r="H127" i="2" s="1"/>
  <c r="G128" i="2"/>
  <c r="H128" i="2" s="1"/>
  <c r="G129" i="2"/>
  <c r="H129" i="2" s="1"/>
  <c r="G130" i="2"/>
  <c r="H130" i="2" s="1"/>
  <c r="G131" i="2"/>
  <c r="H131" i="2" s="1"/>
  <c r="G132" i="2"/>
  <c r="H132" i="2" s="1"/>
  <c r="G133" i="2"/>
  <c r="H133" i="2" s="1"/>
  <c r="G134" i="2"/>
  <c r="H134" i="2" s="1"/>
  <c r="G135" i="2"/>
  <c r="H135" i="2" s="1"/>
  <c r="G136" i="2"/>
  <c r="H136" i="2" s="1"/>
  <c r="G137" i="2"/>
  <c r="H137" i="2" s="1"/>
  <c r="G138" i="2"/>
  <c r="H138" i="2" s="1"/>
  <c r="G139" i="2"/>
  <c r="H139" i="2" s="1"/>
  <c r="G140" i="2"/>
  <c r="H140" i="2" s="1"/>
  <c r="G141" i="2"/>
  <c r="H141" i="2" s="1"/>
  <c r="G142" i="2"/>
  <c r="H142" i="2" s="1"/>
  <c r="G143" i="2"/>
  <c r="H143" i="2" s="1"/>
  <c r="G144" i="2"/>
  <c r="H144" i="2" s="1"/>
  <c r="G145" i="2"/>
  <c r="H145" i="2" s="1"/>
  <c r="G146" i="2"/>
  <c r="H146" i="2" s="1"/>
  <c r="G147" i="2"/>
  <c r="H147" i="2" s="1"/>
  <c r="G148" i="2"/>
  <c r="H148" i="2" s="1"/>
  <c r="G149" i="2"/>
  <c r="H149" i="2" s="1"/>
  <c r="G150" i="2"/>
  <c r="H150" i="2" s="1"/>
  <c r="G151" i="2"/>
  <c r="H151" i="2" s="1"/>
  <c r="G152" i="2"/>
  <c r="H152" i="2" s="1"/>
  <c r="G153" i="2"/>
  <c r="H153" i="2" s="1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H162" i="2" s="1"/>
  <c r="G163" i="2"/>
  <c r="H163" i="2" s="1"/>
  <c r="G164" i="2"/>
  <c r="H164" i="2" s="1"/>
  <c r="G165" i="2"/>
  <c r="H165" i="2" s="1"/>
  <c r="G166" i="2"/>
  <c r="H166" i="2" s="1"/>
  <c r="G167" i="2"/>
  <c r="H167" i="2" s="1"/>
  <c r="G168" i="2"/>
  <c r="H168" i="2" s="1"/>
  <c r="G169" i="2"/>
  <c r="H169" i="2" s="1"/>
  <c r="G170" i="2"/>
  <c r="H170" i="2" s="1"/>
  <c r="G171" i="2"/>
  <c r="H171" i="2" s="1"/>
  <c r="G172" i="2"/>
  <c r="H172" i="2" s="1"/>
  <c r="G173" i="2"/>
  <c r="H173" i="2" s="1"/>
  <c r="G174" i="2"/>
  <c r="H174" i="2" s="1"/>
  <c r="G175" i="2"/>
  <c r="H175" i="2" s="1"/>
  <c r="G176" i="2"/>
  <c r="H176" i="2" s="1"/>
  <c r="G177" i="2"/>
  <c r="H177" i="2" s="1"/>
  <c r="G178" i="2"/>
  <c r="H178" i="2" s="1"/>
  <c r="G179" i="2"/>
  <c r="H179" i="2" s="1"/>
  <c r="G180" i="2"/>
  <c r="H180" i="2" s="1"/>
  <c r="G181" i="2"/>
  <c r="H181" i="2" s="1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H190" i="2" s="1"/>
  <c r="G191" i="2"/>
  <c r="H191" i="2" s="1"/>
  <c r="G192" i="2"/>
  <c r="H192" i="2" s="1"/>
  <c r="G193" i="2"/>
  <c r="H193" i="2" s="1"/>
  <c r="G194" i="2"/>
  <c r="H194" i="2" s="1"/>
  <c r="G195" i="2"/>
  <c r="H195" i="2" s="1"/>
  <c r="G196" i="2"/>
  <c r="H196" i="2" s="1"/>
  <c r="G197" i="2"/>
  <c r="H197" i="2" s="1"/>
  <c r="G198" i="2"/>
  <c r="H198" i="2" s="1"/>
  <c r="G199" i="2"/>
  <c r="H199" i="2" s="1"/>
  <c r="G200" i="2"/>
  <c r="H200" i="2" s="1"/>
  <c r="G201" i="2"/>
  <c r="H201" i="2" s="1"/>
  <c r="G202" i="2"/>
  <c r="H202" i="2" s="1"/>
  <c r="G203" i="2"/>
  <c r="H203" i="2" s="1"/>
  <c r="G204" i="2"/>
  <c r="H204" i="2" s="1"/>
  <c r="G205" i="2"/>
  <c r="H205" i="2" s="1"/>
  <c r="G206" i="2"/>
  <c r="H206" i="2" s="1"/>
  <c r="G207" i="2"/>
  <c r="H207" i="2" s="1"/>
  <c r="G208" i="2"/>
  <c r="H208" i="2" s="1"/>
  <c r="G209" i="2"/>
  <c r="H209" i="2" s="1"/>
  <c r="G210" i="2"/>
  <c r="H210" i="2" s="1"/>
  <c r="G211" i="2"/>
  <c r="H211" i="2" s="1"/>
  <c r="G212" i="2"/>
  <c r="H212" i="2" s="1"/>
  <c r="G213" i="2"/>
  <c r="H213" i="2" s="1"/>
  <c r="G214" i="2"/>
  <c r="H214" i="2" s="1"/>
  <c r="G215" i="2"/>
  <c r="H215" i="2" s="1"/>
  <c r="G216" i="2"/>
  <c r="H216" i="2" s="1"/>
  <c r="G217" i="2"/>
  <c r="H217" i="2" s="1"/>
  <c r="G218" i="2"/>
  <c r="H218" i="2" s="1"/>
  <c r="G219" i="2"/>
  <c r="H219" i="2" s="1"/>
  <c r="G220" i="2"/>
  <c r="H220" i="2" s="1"/>
  <c r="G221" i="2"/>
  <c r="H221" i="2" s="1"/>
  <c r="G222" i="2"/>
  <c r="H222" i="2" s="1"/>
  <c r="G223" i="2"/>
  <c r="H223" i="2" s="1"/>
  <c r="G224" i="2"/>
  <c r="H224" i="2" s="1"/>
  <c r="G225" i="2"/>
  <c r="H225" i="2" s="1"/>
  <c r="G226" i="2"/>
  <c r="H226" i="2" s="1"/>
  <c r="G227" i="2"/>
  <c r="H227" i="2" s="1"/>
  <c r="G228" i="2"/>
  <c r="H228" i="2" s="1"/>
  <c r="G229" i="2"/>
  <c r="H229" i="2" s="1"/>
  <c r="G230" i="2"/>
  <c r="H230" i="2" s="1"/>
  <c r="G231" i="2"/>
  <c r="H231" i="2" s="1"/>
  <c r="G232" i="2"/>
  <c r="H232" i="2" s="1"/>
  <c r="G233" i="2"/>
  <c r="H233" i="2" s="1"/>
  <c r="G234" i="2"/>
  <c r="H234" i="2" s="1"/>
  <c r="G235" i="2"/>
  <c r="H235" i="2" s="1"/>
  <c r="G236" i="2"/>
  <c r="H236" i="2" s="1"/>
  <c r="G237" i="2"/>
  <c r="H237" i="2" s="1"/>
  <c r="G238" i="2"/>
  <c r="H238" i="2" s="1"/>
  <c r="G239" i="2"/>
  <c r="H239" i="2" s="1"/>
  <c r="G240" i="2"/>
  <c r="H240" i="2" s="1"/>
  <c r="G241" i="2"/>
  <c r="H241" i="2" s="1"/>
  <c r="G242" i="2"/>
  <c r="H242" i="2" s="1"/>
  <c r="G243" i="2"/>
  <c r="H243" i="2" s="1"/>
  <c r="G244" i="2"/>
  <c r="H244" i="2" s="1"/>
  <c r="G245" i="2"/>
  <c r="H245" i="2" s="1"/>
  <c r="G246" i="2"/>
  <c r="H246" i="2" s="1"/>
  <c r="G247" i="2"/>
  <c r="H247" i="2" s="1"/>
  <c r="G248" i="2"/>
  <c r="H248" i="2" s="1"/>
  <c r="G249" i="2"/>
  <c r="H249" i="2" s="1"/>
  <c r="G250" i="2"/>
  <c r="H250" i="2" s="1"/>
  <c r="G251" i="2"/>
  <c r="H251" i="2" s="1"/>
  <c r="G252" i="2"/>
  <c r="H252" i="2" s="1"/>
  <c r="G253" i="2"/>
  <c r="H253" i="2" s="1"/>
  <c r="G254" i="2"/>
  <c r="H254" i="2" s="1"/>
  <c r="G255" i="2"/>
  <c r="H255" i="2" s="1"/>
  <c r="G256" i="2"/>
  <c r="H256" i="2" s="1"/>
  <c r="G257" i="2"/>
  <c r="H257" i="2" s="1"/>
  <c r="G258" i="2"/>
  <c r="H258" i="2" s="1"/>
  <c r="G259" i="2"/>
  <c r="H259" i="2" s="1"/>
  <c r="G260" i="2"/>
  <c r="H260" i="2" s="1"/>
  <c r="G261" i="2"/>
  <c r="H261" i="2" s="1"/>
  <c r="G262" i="2"/>
  <c r="H262" i="2" s="1"/>
  <c r="G263" i="2"/>
  <c r="H263" i="2" s="1"/>
  <c r="G264" i="2"/>
  <c r="H264" i="2" s="1"/>
  <c r="G265" i="2"/>
  <c r="H265" i="2" s="1"/>
  <c r="G266" i="2"/>
  <c r="H266" i="2" s="1"/>
  <c r="G267" i="2"/>
  <c r="H267" i="2" s="1"/>
  <c r="G268" i="2"/>
  <c r="H268" i="2" s="1"/>
  <c r="G269" i="2"/>
  <c r="H269" i="2" s="1"/>
  <c r="G270" i="2"/>
  <c r="H270" i="2" s="1"/>
  <c r="G271" i="2"/>
  <c r="H271" i="2" s="1"/>
  <c r="G272" i="2"/>
  <c r="H272" i="2" s="1"/>
  <c r="G273" i="2"/>
  <c r="H273" i="2" s="1"/>
  <c r="G274" i="2"/>
  <c r="H274" i="2" s="1"/>
  <c r="G275" i="2"/>
  <c r="H275" i="2" s="1"/>
  <c r="G276" i="2"/>
  <c r="H276" i="2" s="1"/>
  <c r="G277" i="2"/>
  <c r="H277" i="2" s="1"/>
  <c r="G278" i="2"/>
  <c r="H278" i="2" s="1"/>
  <c r="G279" i="2"/>
  <c r="H279" i="2" s="1"/>
  <c r="G280" i="2"/>
  <c r="H280" i="2" s="1"/>
  <c r="G281" i="2"/>
  <c r="H281" i="2" s="1"/>
  <c r="G282" i="2"/>
  <c r="H282" i="2" s="1"/>
  <c r="G283" i="2"/>
  <c r="H283" i="2" s="1"/>
  <c r="G284" i="2"/>
  <c r="H284" i="2" s="1"/>
  <c r="G285" i="2"/>
  <c r="H285" i="2" s="1"/>
  <c r="G286" i="2"/>
  <c r="H286" i="2" s="1"/>
  <c r="G287" i="2"/>
  <c r="H287" i="2" s="1"/>
  <c r="G288" i="2"/>
  <c r="H288" i="2" s="1"/>
  <c r="G289" i="2"/>
  <c r="H289" i="2" s="1"/>
  <c r="G290" i="2"/>
  <c r="H290" i="2" s="1"/>
  <c r="G291" i="2"/>
  <c r="H291" i="2" s="1"/>
  <c r="G292" i="2"/>
  <c r="H292" i="2" s="1"/>
  <c r="G293" i="2"/>
  <c r="H293" i="2" s="1"/>
  <c r="G294" i="2"/>
  <c r="H294" i="2" s="1"/>
  <c r="G295" i="2"/>
  <c r="H295" i="2" s="1"/>
  <c r="G296" i="2"/>
  <c r="H296" i="2" s="1"/>
  <c r="G297" i="2"/>
  <c r="H297" i="2" s="1"/>
  <c r="G298" i="2"/>
  <c r="H298" i="2" s="1"/>
  <c r="G299" i="2"/>
  <c r="H299" i="2" s="1"/>
  <c r="G300" i="2"/>
  <c r="H300" i="2" s="1"/>
  <c r="G301" i="2"/>
  <c r="H301" i="2" s="1"/>
  <c r="G302" i="2"/>
  <c r="H302" i="2" s="1"/>
  <c r="G303" i="2"/>
  <c r="H303" i="2" s="1"/>
  <c r="G304" i="2"/>
  <c r="H304" i="2" s="1"/>
  <c r="G305" i="2"/>
  <c r="H305" i="2" s="1"/>
  <c r="G306" i="2"/>
  <c r="H306" i="2" s="1"/>
  <c r="G307" i="2"/>
  <c r="H307" i="2" s="1"/>
  <c r="G308" i="2"/>
  <c r="H308" i="2" s="1"/>
  <c r="G309" i="2"/>
  <c r="H309" i="2" s="1"/>
  <c r="G310" i="2"/>
  <c r="H310" i="2" s="1"/>
  <c r="G311" i="2"/>
  <c r="H311" i="2" s="1"/>
  <c r="G312" i="2"/>
  <c r="H312" i="2" s="1"/>
  <c r="G313" i="2"/>
  <c r="H313" i="2" s="1"/>
  <c r="G314" i="2"/>
  <c r="H314" i="2" s="1"/>
  <c r="G315" i="2"/>
  <c r="H315" i="2" s="1"/>
  <c r="G316" i="2"/>
  <c r="H316" i="2" s="1"/>
  <c r="G317" i="2"/>
  <c r="H317" i="2" s="1"/>
  <c r="G318" i="2"/>
  <c r="H318" i="2" s="1"/>
  <c r="G319" i="2"/>
  <c r="H319" i="2" s="1"/>
  <c r="G320" i="2"/>
  <c r="H320" i="2" s="1"/>
  <c r="G321" i="2"/>
  <c r="H321" i="2" s="1"/>
  <c r="G322" i="2"/>
  <c r="H322" i="2" s="1"/>
  <c r="G323" i="2"/>
  <c r="H323" i="2" s="1"/>
  <c r="D2" i="3"/>
  <c r="D3" i="3"/>
  <c r="D4" i="3"/>
  <c r="I5" i="1" l="1"/>
  <c r="J5" i="1" l="1"/>
  <c r="K5" i="1" s="1"/>
  <c r="L5" i="1" s="1"/>
  <c r="J4" i="1"/>
  <c r="K4" i="1" s="1"/>
  <c r="L4" i="1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<sst xmlns="http://schemas.openxmlformats.org/spreadsheetml/2006/main" count="100" uniqueCount="90">
  <si>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</si>
  <si>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</si>
  <si>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</si>
  <si>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</si>
  <si>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</si>
  <si>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</si>
  <si>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</si>
  <si>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</si>
  <si>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</si>
  <si>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</si>
  <si>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</si>
  <si>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damageType</t>
    <phoneticPr fontId="1" type="noConversion"/>
  </si>
  <si>
    <t>Physical</t>
    <phoneticPr fontId="1" type="noConversion"/>
  </si>
  <si>
    <t>float</t>
    <phoneticPr fontId="1" type="noConversion"/>
  </si>
  <si>
    <t>稀有怪技能</t>
    <phoneticPr fontId="1" type="noConversion"/>
  </si>
  <si>
    <t>精英怪技能</t>
    <phoneticPr fontId="1" type="noConversion"/>
  </si>
  <si>
    <t>BOSS怪技能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</si>
  <si>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</si>
  <si>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</si>
  <si>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</si>
  <si>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m_mat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</si>
  <si>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</si>
  <si>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</si>
  <si>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</si>
  <si>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</si>
  <si>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</si>
  <si>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怪物1</t>
    <phoneticPr fontId="1" type="noConversion"/>
  </si>
  <si>
    <t>怪物2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</si>
  <si>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</si>
  <si>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</si>
  <si>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</si>
  <si>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</si>
  <si>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</si>
  <si>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</si>
  <si>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</si>
  <si>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Hostility</t>
    <phoneticPr fontId="1" type="noConversion"/>
  </si>
  <si>
    <t>string[|:_]</t>
  </si>
  <si>
    <t>string[|:_]</t>
    <phoneticPr fontId="1" type="noConversion"/>
  </si>
  <si>
    <t>Neutral</t>
    <phoneticPr fontId="1" type="noConversion"/>
  </si>
  <si>
    <t>Friendly</t>
    <phoneticPr fontId="1" type="noConversion"/>
  </si>
  <si>
    <t>1000002_active:1_0|1000003_active:1_1</t>
    <phoneticPr fontId="1" type="noConversion"/>
  </si>
  <si>
    <t>DamageType</t>
    <phoneticPr fontId="1" type="noConversion"/>
  </si>
  <si>
    <t>Physical</t>
    <phoneticPr fontId="1" type="noConversion"/>
  </si>
  <si>
    <t>Iron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</si>
  <si>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</si>
  <si>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</si>
  <si>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</si>
  <si>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</si>
  <si>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atk_coefficient</t>
    <phoneticPr fontId="1" type="noConversion"/>
  </si>
  <si>
    <t>hp_coefficient</t>
    <phoneticPr fontId="1" type="noConversion"/>
  </si>
  <si>
    <t>过时属性</t>
    <phoneticPr fontId="1" type="noConversion"/>
  </si>
  <si>
    <t>过时属性</t>
    <phoneticPr fontId="1" type="noConversion"/>
  </si>
  <si>
    <t>float</t>
    <phoneticPr fontId="1" type="noConversion"/>
  </si>
  <si>
    <t>m_pat</t>
    <phoneticPr fontId="1" type="noConversion"/>
  </si>
  <si>
    <t>过时：这个字段本来是用来表示怪物近战攻击类型，但近战一律为物理，所以它就没有存在必要了</t>
    <phoneticPr fontId="1" type="noConversion"/>
  </si>
  <si>
    <t>过时</t>
    <phoneticPr fontId="1" type="noConversion"/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</si>
  <si>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</si>
  <si>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</si>
  <si>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</si>
  <si>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</si>
  <si>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</si>
  <si>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</si>
  <si>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</si>
  <si>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</si>
  <si>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</si>
  <si>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</si>
  <si>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</si>
  <si>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</si>
  <si>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</si>
  <si>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</si>
  <si>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</si>
  <si>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</si>
  <si>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</si>
  <si>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</si>
  <si>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ulong</t>
    <phoneticPr fontId="1" type="noConversion"/>
  </si>
  <si>
    <t>怪物AI：怪物的一些常规行为，关联AIConfig</t>
    <phoneticPr fontId="1" type="noConversion"/>
  </si>
  <si>
    <t>warning</t>
    <phoneticPr fontId="1" type="noConversion"/>
  </si>
  <si>
    <t>noise</t>
    <phoneticPr fontId="1" type="noConversion"/>
  </si>
  <si>
    <t>声音：
两个元素。怪物翻开，死亡时，可以发出声音惊醒其他改为，这里两个值对应翻开与死亡时声音的距离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</si>
  <si>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</si>
  <si>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</si>
  <si>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</si>
  <si>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ulong[|]</t>
    <phoneticPr fontId="1" type="noConversion"/>
  </si>
  <si>
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两个元素分别对应翻开与死亡释放时释放技能的ID，id为0表示没有技能，为空表示啥技能都没有</t>
    <phoneticPr fontId="1" type="noConversion"/>
  </si>
  <si>
    <t>DangerousLevels</t>
    <phoneticPr fontId="1" type="noConversion"/>
  </si>
  <si>
    <t>普通怪技能，第一维度的长度等于该怪物有几个技能， 第二维两个元素，第一个元素描述技能ID，第二个描述所需要的参数。
格式如下：
[技能ID1_技能类型:冷却_初始|技能ID2_技能类型:冷却_初始]</t>
    <phoneticPr fontId="1" type="noConversion"/>
  </si>
  <si>
    <t>敌人类型，以后可能会扩展</t>
    <phoneticPr fontId="1" type="noConversion"/>
  </si>
  <si>
    <r>
      <t>属性系数：
第一维长度为4，表示4种强度的怪物；
第二维是每个属性缩放值，</t>
    </r>
    <r>
      <rPr>
        <sz val="11"/>
        <color theme="8"/>
        <rFont val="微软雅黑"/>
        <family val="2"/>
        <charset val="134"/>
      </rPr>
      <t>顺序</t>
    </r>
    <r>
      <rPr>
        <sz val="11"/>
        <rFont val="微软雅黑"/>
        <family val="2"/>
        <charset val="134"/>
      </rPr>
      <t>是m_mhp，m_speed，m_melee，m_laser，m_cartridge</t>
    </r>
    <phoneticPr fontId="1" type="noConversion"/>
  </si>
  <si>
    <t>1|10</t>
  </si>
  <si>
    <t>危险级别：怪物并不是在翻开后，就一定会对玩家进行远程攻击。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</si>
</sst>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sz val="11"/>
      <color rgb="FFC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theme="1"/>
      <name val="方正兰亭超细黑简体"/>
      <family val="3"/>
      <charset val="134"/>
    </font>
    <font>
      <sz val="11"/>
      <color theme="1"/>
      <name val="幼圆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2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4" fillId="0" borderId="0" xfId="0" applyFont="1"/>
    <xf numFmtId="0" fontId="13" fillId="0" borderId="0" xfId="0" applyFont="1"/>
    <xf numFmtId="0" fontId="16" fillId="0" borderId="1" xfId="1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12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9" fillId="0" borderId="1" xfId="0" applyNumberFormat="1" applyFont="1" applyBorder="1" applyAlignment="1">
      <alignment horizontal="left" vertical="center" wrapText="1"/>
    </xf>
    <xf numFmtId="0" fontId="8" fillId="0" borderId="1" xfId="0" applyNumberFormat="1" applyFont="1" applyBorder="1" applyAlignment="1">
      <alignment horizontal="left" vertical="center" wrapText="1"/>
    </xf>
    <xf numFmtId="0" fontId="2" fillId="0" borderId="1" xfId="0" applyNumberFormat="1" applyFont="1" applyBorder="1" applyAlignment="1">
      <alignment horizontal="left" vertical="center" wrapText="1"/>
    </xf>
    <xf numFmtId="0" fontId="16" fillId="0" borderId="1" xfId="1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35"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5</xdr:row>
      <xdr:rowOff>171450</xdr:rowOff>
    </xdr:from>
    <xdr:to>
      <xdr:col>8</xdr:col>
      <xdr:colOff>3590925</xdr:colOff>
      <xdr:row>14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896100" y="1219200"/>
          <a:ext cx="3514725" cy="19145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800" b="1">
              <a:latin typeface="微软雅黑" panose="020B0503020204020204" pitchFamily="34" charset="-122"/>
              <a:ea typeface="微软雅黑" panose="020B0503020204020204" pitchFamily="34" charset="-122"/>
            </a:rPr>
            <a:t>NOTICE:</a:t>
          </a: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技能描述格式：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[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ID1_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|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ID2_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技能类型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: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冷却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</a:t>
          </a:r>
          <a:r>
            <a:rPr lang="en-US" altLang="zh-CN" sz="12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]</a:t>
          </a: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其中，技能类型：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active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主动，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summon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M5" totalsRowShown="0" headerRowDxfId="33" dataDxfId="32">
  <autoFilter ref="A3:M5"/>
  <tableColumns count="13">
    <tableColumn id="1" name="id" dataDxfId="31"/>
    <tableColumn id="2" name="res_face" dataDxfId="30"/>
    <tableColumn id="3" name="m_name" dataDxfId="29"/>
    <tableColumn id="12" name="monsterType" dataDxfId="28"/>
    <tableColumn id="4" name="damageType" dataDxfId="27"/>
    <tableColumn id="5" name="atk_coefficient" dataDxfId="26"/>
    <tableColumn id="6" name="hp_coefficient" dataDxfId="25"/>
    <tableColumn id="13" name="propertys" dataDxfId="24"/>
    <tableColumn id="7" name="skill_normal" dataDxfId="23"/>
    <tableColumn id="8" name="skill_rare" dataDxfId="22">
      <calculatedColumnFormula>表2[[#This Row],[skill_normal]]</calculatedColumnFormula>
    </tableColumn>
    <tableColumn id="9" name="skill_elite" dataDxfId="21">
      <calculatedColumnFormula>表2[[#This Row],[skill_rare]]</calculatedColumnFormula>
    </tableColumn>
    <tableColumn id="10" name="skill_boss" dataDxfId="20">
      <calculatedColumnFormula>表2[[#This Row],[skill_elite]]</calculatedColumnFormula>
    </tableColumn>
    <tableColumn id="11" name="ai" dataDxfId="1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H323" totalsRowShown="0" headerRowDxfId="17" dataDxfId="16">
  <autoFilter ref="A3:H323"/>
  <tableColumns count="8">
    <tableColumn id="1" name="id" dataDxfId="15"/>
    <tableColumn id="2" name="m_pat" dataDxfId="14"/>
    <tableColumn id="3" name="m_mat" dataDxfId="13"/>
    <tableColumn id="4" name="m_mhp" dataDxfId="12"/>
    <tableColumn id="5" name="m_speed" dataDxfId="11"/>
    <tableColumn id="6" name="m_melee" dataDxfId="10"/>
    <tableColumn id="7" name="m_laser" dataDxfId="9">
      <calculatedColumnFormula>表1[[#This Row],[m_melee]]</calculatedColumnFormula>
    </tableColumn>
    <tableColumn id="8" name="m_cartridge" dataDxfId="8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5" totalsRowShown="0" headerRowDxfId="6" dataDxfId="5">
  <autoFilter ref="A3:E5"/>
  <tableColumns count="5">
    <tableColumn id="1" name="id" dataDxfId="4"/>
    <tableColumn id="2" name="warning" dataDxfId="3"/>
    <tableColumn id="3" name="noise" dataDxfId="2"/>
    <tableColumn id="4" name="dangerous_levels" dataDxfId="1"/>
    <tableColumn id="5" name="forceSkill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showGridLines="0" tabSelected="1" workbookViewId="0">
      <selection activeCell="G5" sqref="G5"/>
    </sheetView>
  </sheetViews>
  <sheetFormatPr defaultRowHeight="16.5" x14ac:dyDescent="0.3"/>
  <cols>
    <col min="1" max="1" width="9.625" style="1" bestFit="1" customWidth="1"/>
    <col min="2" max="2" width="15.625" style="1" bestFit="1" customWidth="1"/>
    <col min="3" max="3" width="11.875" style="1" bestFit="1" customWidth="1"/>
    <col min="4" max="4" width="16.625" style="1" bestFit="1" customWidth="1"/>
    <col min="5" max="5" width="20.375" style="1" customWidth="1"/>
    <col min="6" max="6" width="18.25" style="1" bestFit="1" customWidth="1"/>
    <col min="7" max="7" width="17.625" style="1" bestFit="1" customWidth="1"/>
    <col min="8" max="8" width="31.375" style="4" customWidth="1"/>
    <col min="9" max="9" width="47.875" style="1" bestFit="1" customWidth="1"/>
    <col min="10" max="10" width="20.5" style="1" bestFit="1" customWidth="1"/>
    <col min="11" max="11" width="12.125" style="1" bestFit="1" customWidth="1"/>
    <col min="12" max="12" width="12.5" style="1" bestFit="1" customWidth="1"/>
    <col min="13" max="13" width="13.625" style="1" customWidth="1"/>
    <col min="14" max="16384" width="9" style="1"/>
  </cols>
  <sheetData>
    <row r="1" spans="1:13" s="10" customFormat="1" ht="108" customHeight="1" x14ac:dyDescent="0.2">
      <c r="A1" s="7" t="s">
        <v>0</v>
      </c>
      <c r="B1" s="7" t="s">
        <v>56</v>
      </c>
      <c r="C1" s="7" t="s">
        <v>8</v>
      </c>
      <c r="D1" s="7" t="s">
        <v>86</v>
      </c>
      <c r="E1" s="8" t="s">
        <v>54</v>
      </c>
      <c r="F1" s="8" t="s">
        <v>50</v>
      </c>
      <c r="G1" s="8" t="s">
        <v>51</v>
      </c>
      <c r="H1" s="9" t="s">
        <v>87</v>
      </c>
      <c r="I1" s="7" t="s">
        <v>85</v>
      </c>
      <c r="J1" s="7" t="s">
        <v>14</v>
      </c>
      <c r="K1" s="7" t="s">
        <v>15</v>
      </c>
      <c r="L1" s="7" t="s">
        <v>16</v>
      </c>
      <c r="M1" s="7" t="s">
        <v>75</v>
      </c>
    </row>
    <row r="2" spans="1:13" x14ac:dyDescent="0.3">
      <c r="A2" s="11" t="s">
        <v>22</v>
      </c>
      <c r="B2" s="11" t="s">
        <v>1</v>
      </c>
      <c r="C2" s="11" t="s">
        <v>9</v>
      </c>
      <c r="D2" s="16" t="s">
        <v>67</v>
      </c>
      <c r="E2" s="17" t="s">
        <v>41</v>
      </c>
      <c r="F2" s="17" t="s">
        <v>13</v>
      </c>
      <c r="G2" s="17" t="s">
        <v>52</v>
      </c>
      <c r="H2" s="18" t="s">
        <v>69</v>
      </c>
      <c r="I2" s="11" t="s">
        <v>37</v>
      </c>
      <c r="J2" s="11" t="s">
        <v>36</v>
      </c>
      <c r="K2" s="11" t="s">
        <v>36</v>
      </c>
      <c r="L2" s="11" t="s">
        <v>36</v>
      </c>
      <c r="M2" s="11" t="s">
        <v>74</v>
      </c>
    </row>
    <row r="3" spans="1:13" x14ac:dyDescent="0.3">
      <c r="A3" s="13" t="s">
        <v>2</v>
      </c>
      <c r="B3" s="13" t="s">
        <v>23</v>
      </c>
      <c r="C3" s="13" t="s">
        <v>10</v>
      </c>
      <c r="D3" s="13" t="s">
        <v>66</v>
      </c>
      <c r="E3" s="19" t="s">
        <v>11</v>
      </c>
      <c r="F3" s="19" t="s">
        <v>48</v>
      </c>
      <c r="G3" s="19" t="s">
        <v>49</v>
      </c>
      <c r="H3" s="20" t="s">
        <v>71</v>
      </c>
      <c r="I3" s="13" t="s">
        <v>72</v>
      </c>
      <c r="J3" s="13" t="s">
        <v>17</v>
      </c>
      <c r="K3" s="13" t="s">
        <v>18</v>
      </c>
      <c r="L3" s="13" t="s">
        <v>19</v>
      </c>
      <c r="M3" s="13" t="s">
        <v>73</v>
      </c>
    </row>
    <row r="4" spans="1:13" x14ac:dyDescent="0.3">
      <c r="A4" s="12">
        <v>1000001</v>
      </c>
      <c r="B4" s="12" t="s">
        <v>24</v>
      </c>
      <c r="C4" s="12" t="s">
        <v>26</v>
      </c>
      <c r="D4" s="12" t="s">
        <v>46</v>
      </c>
      <c r="E4" s="21" t="s">
        <v>42</v>
      </c>
      <c r="F4" s="21">
        <v>1.1000000000000001</v>
      </c>
      <c r="G4" s="21">
        <v>0.9</v>
      </c>
      <c r="H4" s="22" t="s">
        <v>70</v>
      </c>
      <c r="I4" s="12" t="s">
        <v>40</v>
      </c>
      <c r="J4" s="12" t="str">
        <f>表2[[#This Row],[skill_normal]]</f>
        <v>1000002_active:1_0|1000003_active:1_1</v>
      </c>
      <c r="K4" s="12" t="str">
        <f>表2[[#This Row],[skill_rare]]</f>
        <v>1000002_active:1_0|1000003_active:1_1</v>
      </c>
      <c r="L4" s="12" t="str">
        <f>表2[[#This Row],[skill_elite]]</f>
        <v>1000002_active:1_0|1000003_active:1_1</v>
      </c>
      <c r="M4" s="12">
        <v>2000001</v>
      </c>
    </row>
    <row r="5" spans="1:13" x14ac:dyDescent="0.3">
      <c r="A5" s="12">
        <v>1000002</v>
      </c>
      <c r="B5" s="12" t="s">
        <v>25</v>
      </c>
      <c r="C5" s="12" t="s">
        <v>27</v>
      </c>
      <c r="D5" s="12" t="s">
        <v>47</v>
      </c>
      <c r="E5" s="21" t="s">
        <v>12</v>
      </c>
      <c r="F5" s="21">
        <v>0.8</v>
      </c>
      <c r="G5" s="21">
        <v>1.2</v>
      </c>
      <c r="H5" s="22" t="s">
        <v>70</v>
      </c>
      <c r="I5" s="12" t="str">
        <f>I4</f>
        <v>1000002_active:1_0|1000003_active:1_1</v>
      </c>
      <c r="J5" s="12" t="str">
        <f>表2[[#This Row],[skill_normal]]</f>
        <v>1000002_active:1_0|1000003_active:1_1</v>
      </c>
      <c r="K5" s="12" t="str">
        <f>表2[[#This Row],[skill_rare]]</f>
        <v>1000002_active:1_0|1000003_active:1_1</v>
      </c>
      <c r="L5" s="12" t="str">
        <f>表2[[#This Row],[skill_elite]]</f>
        <v>1000002_active:1_0|1000003_active:1_1</v>
      </c>
      <c r="M5" s="12">
        <v>2000002</v>
      </c>
    </row>
  </sheetData>
  <phoneticPr fontId="1" type="noConversion"/>
  <conditionalFormatting sqref="A4:A5">
    <cfRule type="duplicateValues" dxfId="34" priority="1"/>
  </conditionalFormatting>
  <dataValidations count="1">
    <dataValidation type="list" allowBlank="1" showInputMessage="1" showErrorMessage="1" sqref="D6:E8 D4:D5">
      <formula1>MonsterType</formula1>
    </dataValidation>
  </dataValidations>
  <hyperlinks>
    <hyperlink ref="D2" location="MonsterType" display="MonsterType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3"/>
  <sheetViews>
    <sheetView showGridLines="0" workbookViewId="0">
      <selection activeCell="E25" sqref="E25"/>
    </sheetView>
  </sheetViews>
  <sheetFormatPr defaultRowHeight="16.5" x14ac:dyDescent="0.3"/>
  <cols>
    <col min="1" max="1" width="7" style="1" bestFit="1" customWidth="1"/>
    <col min="2" max="2" width="14.5" style="6" bestFit="1" customWidth="1"/>
    <col min="3" max="3" width="14.5" style="5" bestFit="1" customWidth="1"/>
    <col min="4" max="4" width="10.875" style="1" bestFit="1" customWidth="1"/>
    <col min="5" max="5" width="12.125" style="1" bestFit="1" customWidth="1"/>
    <col min="6" max="6" width="12.25" style="1" bestFit="1" customWidth="1"/>
    <col min="7" max="7" width="10.875" style="1" bestFit="1" customWidth="1"/>
    <col min="8" max="8" width="15.25" style="1" bestFit="1" customWidth="1"/>
    <col min="9" max="16384" width="9" style="1"/>
  </cols>
  <sheetData>
    <row r="1" spans="1:8" x14ac:dyDescent="0.3">
      <c r="A1" s="7" t="s">
        <v>3</v>
      </c>
      <c r="B1" s="30" t="s">
        <v>55</v>
      </c>
      <c r="C1" s="31" t="s">
        <v>55</v>
      </c>
      <c r="D1" s="32" t="s">
        <v>57</v>
      </c>
      <c r="E1" s="7" t="s">
        <v>58</v>
      </c>
      <c r="F1" s="7" t="s">
        <v>68</v>
      </c>
      <c r="G1" s="7" t="s">
        <v>64</v>
      </c>
      <c r="H1" s="7" t="s">
        <v>65</v>
      </c>
    </row>
    <row r="2" spans="1:8" x14ac:dyDescent="0.3">
      <c r="A2" s="11" t="s">
        <v>4</v>
      </c>
      <c r="B2" s="23" t="s">
        <v>6</v>
      </c>
      <c r="C2" s="17" t="s">
        <v>7</v>
      </c>
      <c r="D2" s="11" t="s">
        <v>6</v>
      </c>
      <c r="E2" s="11" t="s">
        <v>59</v>
      </c>
      <c r="F2" s="11" t="s">
        <v>59</v>
      </c>
      <c r="G2" s="11" t="s">
        <v>59</v>
      </c>
      <c r="H2" s="11" t="s">
        <v>59</v>
      </c>
    </row>
    <row r="3" spans="1:8" x14ac:dyDescent="0.3">
      <c r="A3" s="13" t="s">
        <v>5</v>
      </c>
      <c r="B3" s="24" t="s">
        <v>53</v>
      </c>
      <c r="C3" s="25" t="s">
        <v>20</v>
      </c>
      <c r="D3" s="26" t="s">
        <v>21</v>
      </c>
      <c r="E3" s="13" t="s">
        <v>60</v>
      </c>
      <c r="F3" s="13" t="s">
        <v>61</v>
      </c>
      <c r="G3" s="13" t="s">
        <v>62</v>
      </c>
      <c r="H3" s="13" t="s">
        <v>63</v>
      </c>
    </row>
    <row r="4" spans="1:8" x14ac:dyDescent="0.3">
      <c r="A4" s="27">
        <v>1</v>
      </c>
      <c r="B4" s="28">
        <v>6.666666666666667</v>
      </c>
      <c r="C4" s="21">
        <v>5.3333333333333339</v>
      </c>
      <c r="D4" s="27">
        <v>40</v>
      </c>
      <c r="E4" s="27">
        <v>10</v>
      </c>
      <c r="F4" s="27">
        <v>10</v>
      </c>
      <c r="G4" s="27">
        <f>表1[[#This Row],[m_melee]]</f>
        <v>10</v>
      </c>
      <c r="H4" s="27">
        <f>表1[[#This Row],[m_laser]]</f>
        <v>10</v>
      </c>
    </row>
    <row r="5" spans="1:8" x14ac:dyDescent="0.3">
      <c r="A5" s="27">
        <v>2</v>
      </c>
      <c r="B5" s="28">
        <v>7.7912121212121219</v>
      </c>
      <c r="C5" s="21">
        <v>6.4667060606060609</v>
      </c>
      <c r="D5" s="27">
        <v>78.54000000000002</v>
      </c>
      <c r="E5" s="27">
        <v>10.3</v>
      </c>
      <c r="F5" s="27">
        <v>10.3</v>
      </c>
      <c r="G5" s="27">
        <f>表1[[#This Row],[m_melee]]</f>
        <v>10.3</v>
      </c>
      <c r="H5" s="27">
        <f>表1[[#This Row],[m_laser]]</f>
        <v>10.3</v>
      </c>
    </row>
    <row r="6" spans="1:8" x14ac:dyDescent="0.3">
      <c r="A6" s="27">
        <v>3</v>
      </c>
      <c r="B6" s="28">
        <v>8.9990476190476212</v>
      </c>
      <c r="C6" s="21">
        <v>7.7391809523809538</v>
      </c>
      <c r="D6" s="27">
        <v>126.72000000000003</v>
      </c>
      <c r="E6" s="27">
        <v>10.6</v>
      </c>
      <c r="F6" s="27">
        <v>10.6</v>
      </c>
      <c r="G6" s="27">
        <f>表1[[#This Row],[m_melee]]</f>
        <v>10.6</v>
      </c>
      <c r="H6" s="27">
        <f>表1[[#This Row],[m_laser]]</f>
        <v>10.6</v>
      </c>
    </row>
    <row r="7" spans="1:8" x14ac:dyDescent="0.3">
      <c r="A7" s="27">
        <v>4</v>
      </c>
      <c r="B7" s="28">
        <v>10.291512027491411</v>
      </c>
      <c r="C7" s="21">
        <v>9.1594457044673554</v>
      </c>
      <c r="D7" s="27">
        <v>185.38000000000002</v>
      </c>
      <c r="E7" s="27">
        <v>10.9</v>
      </c>
      <c r="F7" s="27">
        <v>10.9</v>
      </c>
      <c r="G7" s="27">
        <f>表1[[#This Row],[m_melee]]</f>
        <v>10.9</v>
      </c>
      <c r="H7" s="27">
        <f>表1[[#This Row],[m_laser]]</f>
        <v>10.9</v>
      </c>
    </row>
    <row r="8" spans="1:8" x14ac:dyDescent="0.3">
      <c r="A8" s="27">
        <v>5</v>
      </c>
      <c r="B8" s="28">
        <v>11.670000000000003</v>
      </c>
      <c r="C8" s="21">
        <v>10.736400000000003</v>
      </c>
      <c r="D8" s="27">
        <v>255.36000000000007</v>
      </c>
      <c r="E8" s="27">
        <v>11.2</v>
      </c>
      <c r="F8" s="27">
        <v>11.2</v>
      </c>
      <c r="G8" s="27">
        <f>表1[[#This Row],[m_melee]]</f>
        <v>11.2</v>
      </c>
      <c r="H8" s="27">
        <f>表1[[#This Row],[m_laser]]</f>
        <v>11.2</v>
      </c>
    </row>
    <row r="9" spans="1:8" x14ac:dyDescent="0.3">
      <c r="A9" s="27">
        <v>6</v>
      </c>
      <c r="B9" s="28">
        <v>13.135964912280706</v>
      </c>
      <c r="C9" s="21">
        <v>12.47916666666667</v>
      </c>
      <c r="D9" s="27">
        <v>337.50000000000006</v>
      </c>
      <c r="E9" s="27">
        <v>11.5</v>
      </c>
      <c r="F9" s="27">
        <v>11.5</v>
      </c>
      <c r="G9" s="27">
        <f>表1[[#This Row],[m_melee]]</f>
        <v>11.5</v>
      </c>
      <c r="H9" s="27">
        <f>表1[[#This Row],[m_laser]]</f>
        <v>11.5</v>
      </c>
    </row>
    <row r="10" spans="1:8" x14ac:dyDescent="0.3">
      <c r="A10" s="27">
        <v>7</v>
      </c>
      <c r="B10" s="28">
        <v>14.690921985815608</v>
      </c>
      <c r="C10" s="21">
        <v>14.397103546099281</v>
      </c>
      <c r="D10" s="27">
        <v>432.64000000000016</v>
      </c>
      <c r="E10" s="27">
        <v>11.8</v>
      </c>
      <c r="F10" s="27">
        <v>11.8</v>
      </c>
      <c r="G10" s="27">
        <f>表1[[#This Row],[m_melee]]</f>
        <v>11.8</v>
      </c>
      <c r="H10" s="27">
        <f>表1[[#This Row],[m_laser]]</f>
        <v>11.8</v>
      </c>
    </row>
    <row r="11" spans="1:8" x14ac:dyDescent="0.3">
      <c r="A11" s="27">
        <v>8</v>
      </c>
      <c r="B11" s="28">
        <v>16.336451612903232</v>
      </c>
      <c r="C11" s="21">
        <v>13.232525806451619</v>
      </c>
      <c r="D11" s="27">
        <v>541.62000000000023</v>
      </c>
      <c r="E11" s="27">
        <v>12.1</v>
      </c>
      <c r="F11" s="27">
        <v>12.1</v>
      </c>
      <c r="G11" s="27">
        <f>表1[[#This Row],[m_melee]]</f>
        <v>12.1</v>
      </c>
      <c r="H11" s="27">
        <f>表1[[#This Row],[m_laser]]</f>
        <v>12.1</v>
      </c>
    </row>
    <row r="12" spans="1:8" x14ac:dyDescent="0.3">
      <c r="A12" s="27">
        <v>9</v>
      </c>
      <c r="B12" s="28">
        <v>18.074202898550734</v>
      </c>
      <c r="C12" s="21">
        <v>15.182330434782616</v>
      </c>
      <c r="D12" s="27">
        <v>665.2800000000002</v>
      </c>
      <c r="E12" s="27">
        <v>12.4</v>
      </c>
      <c r="F12" s="27">
        <v>12.4</v>
      </c>
      <c r="G12" s="27">
        <f>表1[[#This Row],[m_melee]]</f>
        <v>12.4</v>
      </c>
      <c r="H12" s="27">
        <f>表1[[#This Row],[m_laser]]</f>
        <v>12.4</v>
      </c>
    </row>
    <row r="13" spans="1:8" x14ac:dyDescent="0.3">
      <c r="A13" s="24">
        <v>10</v>
      </c>
      <c r="B13" s="28">
        <v>19.905897435897444</v>
      </c>
      <c r="C13" s="21">
        <v>17.318130769230777</v>
      </c>
      <c r="D13" s="27">
        <v>804.46000000000026</v>
      </c>
      <c r="E13" s="27">
        <v>12.7</v>
      </c>
      <c r="F13" s="27">
        <v>12.7</v>
      </c>
      <c r="G13" s="27">
        <f>表1[[#This Row],[m_melee]]</f>
        <v>12.7</v>
      </c>
      <c r="H13" s="27">
        <f>表1[[#This Row],[m_laser]]</f>
        <v>12.7</v>
      </c>
    </row>
    <row r="14" spans="1:8" x14ac:dyDescent="0.3">
      <c r="A14" s="27">
        <v>11</v>
      </c>
      <c r="B14" s="28">
        <v>22.711111111111123</v>
      </c>
      <c r="C14" s="21">
        <v>20.440000000000012</v>
      </c>
      <c r="D14" s="27">
        <v>960.00000000000034</v>
      </c>
      <c r="E14" s="27">
        <v>13</v>
      </c>
      <c r="F14" s="27">
        <v>13</v>
      </c>
      <c r="G14" s="27">
        <f>表1[[#This Row],[m_melee]]</f>
        <v>13</v>
      </c>
      <c r="H14" s="27">
        <f>表1[[#This Row],[m_laser]]</f>
        <v>13</v>
      </c>
    </row>
    <row r="15" spans="1:8" x14ac:dyDescent="0.3">
      <c r="A15" s="27">
        <v>12</v>
      </c>
      <c r="B15" s="28">
        <v>25.678913857677919</v>
      </c>
      <c r="C15" s="21">
        <v>23.881389887640466</v>
      </c>
      <c r="D15" s="27">
        <v>1132.7400000000005</v>
      </c>
      <c r="E15" s="27">
        <v>13.3</v>
      </c>
      <c r="F15" s="27">
        <v>13.3</v>
      </c>
      <c r="G15" s="27">
        <f>表1[[#This Row],[m_melee]]</f>
        <v>13.3</v>
      </c>
      <c r="H15" s="27">
        <f>表1[[#This Row],[m_laser]]</f>
        <v>13.3</v>
      </c>
    </row>
    <row r="16" spans="1:8" x14ac:dyDescent="0.3">
      <c r="A16" s="27">
        <v>13</v>
      </c>
      <c r="B16" s="28">
        <v>28.812121212121234</v>
      </c>
      <c r="C16" s="21">
        <v>27.659636363636384</v>
      </c>
      <c r="D16" s="27">
        <v>1323.5200000000007</v>
      </c>
      <c r="E16" s="27">
        <v>13.6</v>
      </c>
      <c r="F16" s="27">
        <v>13.6</v>
      </c>
      <c r="G16" s="27">
        <f>表1[[#This Row],[m_melee]]</f>
        <v>13.6</v>
      </c>
      <c r="H16" s="27">
        <f>表1[[#This Row],[m_laser]]</f>
        <v>13.6</v>
      </c>
    </row>
    <row r="17" spans="1:8" x14ac:dyDescent="0.3">
      <c r="A17" s="27">
        <v>14</v>
      </c>
      <c r="B17" s="28">
        <v>32.113678160919562</v>
      </c>
      <c r="C17" s="21">
        <v>32.113678160919562</v>
      </c>
      <c r="D17" s="27">
        <v>1533.1800000000007</v>
      </c>
      <c r="E17" s="27">
        <v>13.9</v>
      </c>
      <c r="F17" s="27">
        <v>13.9</v>
      </c>
      <c r="G17" s="27">
        <f>表1[[#This Row],[m_melee]]</f>
        <v>13.9</v>
      </c>
      <c r="H17" s="27">
        <f>表1[[#This Row],[m_laser]]</f>
        <v>13.9</v>
      </c>
    </row>
    <row r="18" spans="1:8" x14ac:dyDescent="0.3">
      <c r="A18" s="27">
        <v>15</v>
      </c>
      <c r="B18" s="28">
        <v>35.586666666666687</v>
      </c>
      <c r="C18" s="29">
        <v>35.586666666666687</v>
      </c>
      <c r="D18" s="27">
        <v>1762.5600000000011</v>
      </c>
      <c r="E18" s="27">
        <v>14.2</v>
      </c>
      <c r="F18" s="27">
        <v>14.2</v>
      </c>
      <c r="G18" s="27">
        <f>表1[[#This Row],[m_melee]]</f>
        <v>14.2</v>
      </c>
      <c r="H18" s="27">
        <f>表1[[#This Row],[m_laser]]</f>
        <v>14.2</v>
      </c>
    </row>
    <row r="19" spans="1:8" x14ac:dyDescent="0.3">
      <c r="A19" s="27">
        <v>16</v>
      </c>
      <c r="B19" s="28">
        <v>39.234313725490225</v>
      </c>
      <c r="C19" s="29">
        <v>39.234313725490225</v>
      </c>
      <c r="D19" s="27">
        <v>2012.5000000000011</v>
      </c>
      <c r="E19" s="27">
        <v>14.5</v>
      </c>
      <c r="F19" s="27">
        <v>14.5</v>
      </c>
      <c r="G19" s="27">
        <f>表1[[#This Row],[m_melee]]</f>
        <v>14.5</v>
      </c>
      <c r="H19" s="27">
        <f>表1[[#This Row],[m_laser]]</f>
        <v>14.5</v>
      </c>
    </row>
    <row r="20" spans="1:8" x14ac:dyDescent="0.3">
      <c r="A20" s="27">
        <v>17</v>
      </c>
      <c r="B20" s="28">
        <v>43.060000000000031</v>
      </c>
      <c r="C20" s="29">
        <v>43.060000000000031</v>
      </c>
      <c r="D20" s="27">
        <v>2196</v>
      </c>
      <c r="E20" s="27">
        <v>14.8</v>
      </c>
      <c r="F20" s="27">
        <v>14.8</v>
      </c>
      <c r="G20" s="27">
        <f>表1[[#This Row],[m_melee]]</f>
        <v>14.8</v>
      </c>
      <c r="H20" s="27">
        <f>表1[[#This Row],[m_laser]]</f>
        <v>14.8</v>
      </c>
    </row>
    <row r="21" spans="1:8" x14ac:dyDescent="0.3">
      <c r="A21" s="27">
        <v>18</v>
      </c>
      <c r="B21" s="28">
        <v>47.067269076305259</v>
      </c>
      <c r="C21" s="29">
        <v>47.067269076305259</v>
      </c>
      <c r="D21" s="27">
        <v>2386.5</v>
      </c>
      <c r="E21" s="27">
        <v>15.1</v>
      </c>
      <c r="F21" s="27">
        <v>15.1</v>
      </c>
      <c r="G21" s="27">
        <f>表1[[#This Row],[m_melee]]</f>
        <v>15.1</v>
      </c>
      <c r="H21" s="27">
        <f>表1[[#This Row],[m_laser]]</f>
        <v>15.1</v>
      </c>
    </row>
    <row r="22" spans="1:8" x14ac:dyDescent="0.3">
      <c r="A22" s="27">
        <v>19</v>
      </c>
      <c r="B22" s="28">
        <v>51.259837398374032</v>
      </c>
      <c r="C22" s="29">
        <v>51.259837398374032</v>
      </c>
      <c r="D22" s="27">
        <v>2584</v>
      </c>
      <c r="E22" s="27">
        <v>15.4</v>
      </c>
      <c r="F22" s="27">
        <v>15.4</v>
      </c>
      <c r="G22" s="27">
        <f>表1[[#This Row],[m_melee]]</f>
        <v>15.4</v>
      </c>
      <c r="H22" s="27">
        <f>表1[[#This Row],[m_laser]]</f>
        <v>15.4</v>
      </c>
    </row>
    <row r="23" spans="1:8" x14ac:dyDescent="0.3">
      <c r="A23" s="24">
        <v>20</v>
      </c>
      <c r="B23" s="28">
        <v>56.238312757201697</v>
      </c>
      <c r="C23" s="29">
        <v>56.238312757201697</v>
      </c>
      <c r="D23" s="27">
        <v>2860</v>
      </c>
      <c r="E23" s="27">
        <v>15.7</v>
      </c>
      <c r="F23" s="27">
        <v>15.7</v>
      </c>
      <c r="G23" s="27">
        <f>表1[[#This Row],[m_melee]]</f>
        <v>15.7</v>
      </c>
      <c r="H23" s="27">
        <f>表1[[#This Row],[m_laser]]</f>
        <v>15.7</v>
      </c>
    </row>
    <row r="24" spans="1:8" x14ac:dyDescent="0.3">
      <c r="A24" s="27">
        <v>21</v>
      </c>
      <c r="B24" s="28">
        <v>61.925000000000054</v>
      </c>
      <c r="C24" s="29">
        <v>61.925000000000054</v>
      </c>
      <c r="D24" s="27">
        <v>3150</v>
      </c>
      <c r="E24" s="27">
        <v>16</v>
      </c>
      <c r="F24" s="27">
        <v>16</v>
      </c>
      <c r="G24" s="27">
        <f>表1[[#This Row],[m_melee]]</f>
        <v>16</v>
      </c>
      <c r="H24" s="27">
        <f>表1[[#This Row],[m_laser]]</f>
        <v>16</v>
      </c>
    </row>
    <row r="25" spans="1:8" x14ac:dyDescent="0.3">
      <c r="A25" s="27">
        <v>22</v>
      </c>
      <c r="B25" s="28">
        <v>67.942911392405122</v>
      </c>
      <c r="C25" s="29">
        <v>67.942911392405122</v>
      </c>
      <c r="D25" s="27">
        <v>3454.0000000000005</v>
      </c>
      <c r="E25" s="27">
        <v>16.3</v>
      </c>
      <c r="F25" s="27">
        <v>16.3</v>
      </c>
      <c r="G25" s="27">
        <f>表1[[#This Row],[m_melee]]</f>
        <v>16.3</v>
      </c>
      <c r="H25" s="27">
        <f>表1[[#This Row],[m_laser]]</f>
        <v>16.3</v>
      </c>
    </row>
    <row r="26" spans="1:8" x14ac:dyDescent="0.3">
      <c r="A26" s="27">
        <v>23</v>
      </c>
      <c r="B26" s="28">
        <v>74.301709401709473</v>
      </c>
      <c r="C26" s="29">
        <v>74.301709401709473</v>
      </c>
      <c r="D26" s="27">
        <v>3772.0000000000005</v>
      </c>
      <c r="E26" s="27">
        <v>16.600000000000001</v>
      </c>
      <c r="F26" s="27">
        <v>16.600000000000001</v>
      </c>
      <c r="G26" s="27">
        <f>表1[[#This Row],[m_melee]]</f>
        <v>16.600000000000001</v>
      </c>
      <c r="H26" s="27">
        <f>表1[[#This Row],[m_laser]]</f>
        <v>16.600000000000001</v>
      </c>
    </row>
    <row r="27" spans="1:8" x14ac:dyDescent="0.3">
      <c r="A27" s="27">
        <v>24</v>
      </c>
      <c r="B27" s="28">
        <v>81.011558441558492</v>
      </c>
      <c r="C27" s="29">
        <v>81.011558441558492</v>
      </c>
      <c r="D27" s="27">
        <v>4104.0000000000009</v>
      </c>
      <c r="E27" s="27">
        <v>16.899999999999999</v>
      </c>
      <c r="F27" s="27">
        <v>16.899999999999999</v>
      </c>
      <c r="G27" s="27">
        <f>表1[[#This Row],[m_melee]]</f>
        <v>16.899999999999999</v>
      </c>
      <c r="H27" s="27">
        <f>表1[[#This Row],[m_laser]]</f>
        <v>16.899999999999999</v>
      </c>
    </row>
    <row r="28" spans="1:8" x14ac:dyDescent="0.3">
      <c r="A28" s="27">
        <v>25</v>
      </c>
      <c r="B28" s="28">
        <v>88.083157894736914</v>
      </c>
      <c r="C28" s="29">
        <v>88.083157894736914</v>
      </c>
      <c r="D28" s="27">
        <v>4450.0000000000009</v>
      </c>
      <c r="E28" s="27">
        <v>17.2</v>
      </c>
      <c r="F28" s="27">
        <v>17.2</v>
      </c>
      <c r="G28" s="27">
        <f>表1[[#This Row],[m_melee]]</f>
        <v>17.2</v>
      </c>
      <c r="H28" s="27">
        <f>表1[[#This Row],[m_laser]]</f>
        <v>17.2</v>
      </c>
    </row>
    <row r="29" spans="1:8" x14ac:dyDescent="0.3">
      <c r="A29" s="27">
        <v>26</v>
      </c>
      <c r="B29" s="28">
        <v>95.527777777777857</v>
      </c>
      <c r="C29" s="29">
        <v>95.527777777777857</v>
      </c>
      <c r="D29" s="27">
        <v>4810.0000000000009</v>
      </c>
      <c r="E29" s="27">
        <v>17.5</v>
      </c>
      <c r="F29" s="27">
        <v>17.5</v>
      </c>
      <c r="G29" s="27">
        <f>表1[[#This Row],[m_melee]]</f>
        <v>17.5</v>
      </c>
      <c r="H29" s="27">
        <f>表1[[#This Row],[m_laser]]</f>
        <v>17.5</v>
      </c>
    </row>
    <row r="30" spans="1:8" x14ac:dyDescent="0.3">
      <c r="A30" s="27">
        <v>27</v>
      </c>
      <c r="B30" s="28">
        <v>103.35729729729738</v>
      </c>
      <c r="C30" s="29">
        <v>103.35729729729738</v>
      </c>
      <c r="D30" s="27">
        <v>5184.0000000000009</v>
      </c>
      <c r="E30" s="27">
        <v>17.8</v>
      </c>
      <c r="F30" s="27">
        <v>17.8</v>
      </c>
      <c r="G30" s="27">
        <f>表1[[#This Row],[m_melee]]</f>
        <v>17.8</v>
      </c>
      <c r="H30" s="27">
        <f>表1[[#This Row],[m_laser]]</f>
        <v>17.8</v>
      </c>
    </row>
    <row r="31" spans="1:8" x14ac:dyDescent="0.3">
      <c r="A31" s="27">
        <v>28</v>
      </c>
      <c r="B31" s="28">
        <v>111.58424657534255</v>
      </c>
      <c r="C31" s="29">
        <v>111.58424657534255</v>
      </c>
      <c r="D31" s="27">
        <v>5572.0000000000018</v>
      </c>
      <c r="E31" s="27">
        <v>18.100000000000001</v>
      </c>
      <c r="F31" s="27">
        <v>18.100000000000001</v>
      </c>
      <c r="G31" s="27">
        <f>表1[[#This Row],[m_melee]]</f>
        <v>18.100000000000001</v>
      </c>
      <c r="H31" s="27">
        <f>表1[[#This Row],[m_laser]]</f>
        <v>18.100000000000001</v>
      </c>
    </row>
    <row r="32" spans="1:8" x14ac:dyDescent="0.3">
      <c r="A32" s="27">
        <v>29</v>
      </c>
      <c r="B32" s="28">
        <v>120.22185185185197</v>
      </c>
      <c r="C32" s="29">
        <v>120.22185185185197</v>
      </c>
      <c r="D32" s="27">
        <v>5974.0000000000018</v>
      </c>
      <c r="E32" s="27">
        <v>18.399999999999999</v>
      </c>
      <c r="F32" s="27">
        <v>18.399999999999999</v>
      </c>
      <c r="G32" s="27">
        <f>表1[[#This Row],[m_melee]]</f>
        <v>18.399999999999999</v>
      </c>
      <c r="H32" s="27">
        <f>表1[[#This Row],[m_laser]]</f>
        <v>18.399999999999999</v>
      </c>
    </row>
    <row r="33" spans="1:8" x14ac:dyDescent="0.3">
      <c r="A33" s="24">
        <v>30</v>
      </c>
      <c r="B33" s="28">
        <v>129.28408450704237</v>
      </c>
      <c r="C33" s="29">
        <v>129.28408450704237</v>
      </c>
      <c r="D33" s="27">
        <v>6390.0000000000018</v>
      </c>
      <c r="E33" s="27">
        <v>18.7</v>
      </c>
      <c r="F33" s="27">
        <v>18.7</v>
      </c>
      <c r="G33" s="27">
        <f>表1[[#This Row],[m_melee]]</f>
        <v>18.7</v>
      </c>
      <c r="H33" s="27">
        <f>表1[[#This Row],[m_laser]]</f>
        <v>18.7</v>
      </c>
    </row>
    <row r="34" spans="1:8" x14ac:dyDescent="0.3">
      <c r="A34" s="27">
        <v>31</v>
      </c>
      <c r="B34" s="28">
        <v>140.26190476190487</v>
      </c>
      <c r="C34" s="29">
        <v>140.26190476190487</v>
      </c>
      <c r="D34" s="27">
        <v>6820.0000000000018</v>
      </c>
      <c r="E34" s="27">
        <v>19</v>
      </c>
      <c r="F34" s="27">
        <v>19</v>
      </c>
      <c r="G34" s="27">
        <f>表1[[#This Row],[m_melee]]</f>
        <v>19</v>
      </c>
      <c r="H34" s="27">
        <f>表1[[#This Row],[m_laser]]</f>
        <v>19</v>
      </c>
    </row>
    <row r="35" spans="1:8" x14ac:dyDescent="0.3">
      <c r="A35" s="27">
        <v>32</v>
      </c>
      <c r="B35" s="28">
        <v>150.52415458937213</v>
      </c>
      <c r="C35" s="29">
        <v>150.52415458937213</v>
      </c>
      <c r="D35" s="27">
        <v>7264.0000000000027</v>
      </c>
      <c r="E35" s="27">
        <v>19.3</v>
      </c>
      <c r="F35" s="27">
        <v>19.3</v>
      </c>
      <c r="G35" s="27">
        <f>表1[[#This Row],[m_melee]]</f>
        <v>19.3</v>
      </c>
      <c r="H35" s="27">
        <f>表1[[#This Row],[m_laser]]</f>
        <v>19.3</v>
      </c>
    </row>
    <row r="36" spans="1:8" x14ac:dyDescent="0.3">
      <c r="A36" s="27">
        <v>33</v>
      </c>
      <c r="B36" s="28">
        <v>161.32352941176487</v>
      </c>
      <c r="C36" s="29">
        <v>161.32352941176487</v>
      </c>
      <c r="D36" s="27">
        <v>7722.0000000000027</v>
      </c>
      <c r="E36" s="27">
        <v>19.600000000000001</v>
      </c>
      <c r="F36" s="27">
        <v>19.600000000000001</v>
      </c>
      <c r="G36" s="27">
        <f>表1[[#This Row],[m_melee]]</f>
        <v>19.600000000000001</v>
      </c>
      <c r="H36" s="27">
        <f>表1[[#This Row],[m_laser]]</f>
        <v>19.600000000000001</v>
      </c>
    </row>
    <row r="37" spans="1:8" x14ac:dyDescent="0.3">
      <c r="A37" s="27">
        <v>34</v>
      </c>
      <c r="B37" s="28">
        <v>172.68407960199028</v>
      </c>
      <c r="C37" s="29">
        <v>172.68407960199028</v>
      </c>
      <c r="D37" s="27">
        <v>8194.0000000000036</v>
      </c>
      <c r="E37" s="27">
        <v>19.899999999999999</v>
      </c>
      <c r="F37" s="27">
        <v>19.899999999999999</v>
      </c>
      <c r="G37" s="27">
        <f>表1[[#This Row],[m_melee]]</f>
        <v>19.899999999999999</v>
      </c>
      <c r="H37" s="27">
        <f>表1[[#This Row],[m_laser]]</f>
        <v>19.899999999999999</v>
      </c>
    </row>
    <row r="38" spans="1:8" x14ac:dyDescent="0.3">
      <c r="A38" s="27">
        <v>35</v>
      </c>
      <c r="B38" s="28">
        <v>183.50000000000009</v>
      </c>
      <c r="C38" s="29">
        <v>183.50000000000009</v>
      </c>
      <c r="D38" s="27">
        <v>8680.0000000000036</v>
      </c>
      <c r="E38" s="27">
        <v>20.2</v>
      </c>
      <c r="F38" s="27">
        <v>20.2</v>
      </c>
      <c r="G38" s="27">
        <f>表1[[#This Row],[m_melee]]</f>
        <v>20.2</v>
      </c>
      <c r="H38" s="27">
        <f>表1[[#This Row],[m_laser]]</f>
        <v>20.2</v>
      </c>
    </row>
    <row r="39" spans="1:8" x14ac:dyDescent="0.3">
      <c r="A39" s="27">
        <v>36</v>
      </c>
      <c r="B39" s="28">
        <v>194.10000000000011</v>
      </c>
      <c r="C39" s="29">
        <v>194.10000000000011</v>
      </c>
      <c r="D39" s="27">
        <v>9180.0000000000036</v>
      </c>
      <c r="E39" s="27">
        <v>20.5</v>
      </c>
      <c r="F39" s="27">
        <v>20.5</v>
      </c>
      <c r="G39" s="27">
        <f>表1[[#This Row],[m_melee]]</f>
        <v>20.5</v>
      </c>
      <c r="H39" s="27">
        <f>表1[[#This Row],[m_laser]]</f>
        <v>20.5</v>
      </c>
    </row>
    <row r="40" spans="1:8" x14ac:dyDescent="0.3">
      <c r="A40" s="27">
        <v>37</v>
      </c>
      <c r="B40" s="28">
        <v>205.00000000000011</v>
      </c>
      <c r="C40" s="29">
        <v>205.00000000000011</v>
      </c>
      <c r="D40" s="27">
        <v>9694.0000000000036</v>
      </c>
      <c r="E40" s="27">
        <v>20.8</v>
      </c>
      <c r="F40" s="27">
        <v>20.8</v>
      </c>
      <c r="G40" s="27">
        <f>表1[[#This Row],[m_melee]]</f>
        <v>20.8</v>
      </c>
      <c r="H40" s="27">
        <f>表1[[#This Row],[m_laser]]</f>
        <v>20.8</v>
      </c>
    </row>
    <row r="41" spans="1:8" x14ac:dyDescent="0.3">
      <c r="A41" s="27">
        <v>38</v>
      </c>
      <c r="B41" s="28">
        <v>216.20000000000013</v>
      </c>
      <c r="C41" s="29">
        <v>216.20000000000013</v>
      </c>
      <c r="D41" s="27">
        <v>10222.000000000004</v>
      </c>
      <c r="E41" s="27">
        <v>21.1</v>
      </c>
      <c r="F41" s="27">
        <v>21.1</v>
      </c>
      <c r="G41" s="27">
        <f>表1[[#This Row],[m_melee]]</f>
        <v>21.1</v>
      </c>
      <c r="H41" s="27">
        <f>表1[[#This Row],[m_laser]]</f>
        <v>21.1</v>
      </c>
    </row>
    <row r="42" spans="1:8" x14ac:dyDescent="0.3">
      <c r="A42" s="27">
        <v>39</v>
      </c>
      <c r="B42" s="28">
        <v>227.70000000000013</v>
      </c>
      <c r="C42" s="29">
        <v>227.70000000000013</v>
      </c>
      <c r="D42" s="27">
        <v>10764.000000000005</v>
      </c>
      <c r="E42" s="27">
        <v>21.4</v>
      </c>
      <c r="F42" s="27">
        <v>21.4</v>
      </c>
      <c r="G42" s="27">
        <f>表1[[#This Row],[m_melee]]</f>
        <v>21.4</v>
      </c>
      <c r="H42" s="27">
        <f>表1[[#This Row],[m_laser]]</f>
        <v>21.4</v>
      </c>
    </row>
    <row r="43" spans="1:8" x14ac:dyDescent="0.3">
      <c r="A43" s="24">
        <v>40</v>
      </c>
      <c r="B43" s="28">
        <v>239.50000000000006</v>
      </c>
      <c r="C43" s="29">
        <v>239.50000000000006</v>
      </c>
      <c r="D43" s="27">
        <v>11320</v>
      </c>
      <c r="E43" s="27">
        <v>21.7</v>
      </c>
      <c r="F43" s="27">
        <v>21.7</v>
      </c>
      <c r="G43" s="27">
        <f>表1[[#This Row],[m_melee]]</f>
        <v>21.7</v>
      </c>
      <c r="H43" s="27">
        <f>表1[[#This Row],[m_laser]]</f>
        <v>21.7</v>
      </c>
    </row>
    <row r="44" spans="1:8" x14ac:dyDescent="0.3">
      <c r="A44" s="27">
        <v>41</v>
      </c>
      <c r="B44" s="28">
        <v>247.50000000000006</v>
      </c>
      <c r="C44" s="29">
        <v>247.50000000000006</v>
      </c>
      <c r="D44" s="27">
        <v>11600</v>
      </c>
      <c r="E44" s="27">
        <v>22</v>
      </c>
      <c r="F44" s="27">
        <v>22</v>
      </c>
      <c r="G44" s="27">
        <f>表1[[#This Row],[m_melee]]</f>
        <v>22</v>
      </c>
      <c r="H44" s="27">
        <f>表1[[#This Row],[m_laser]]</f>
        <v>22</v>
      </c>
    </row>
    <row r="45" spans="1:8" x14ac:dyDescent="0.3">
      <c r="A45" s="27">
        <v>42</v>
      </c>
      <c r="B45" s="28">
        <v>255.50000000000006</v>
      </c>
      <c r="C45" s="29">
        <v>255.50000000000006</v>
      </c>
      <c r="D45" s="27">
        <v>11880</v>
      </c>
      <c r="E45" s="27">
        <v>22.3</v>
      </c>
      <c r="F45" s="27">
        <v>22.3</v>
      </c>
      <c r="G45" s="27">
        <f>表1[[#This Row],[m_melee]]</f>
        <v>22.3</v>
      </c>
      <c r="H45" s="27">
        <f>表1[[#This Row],[m_laser]]</f>
        <v>22.3</v>
      </c>
    </row>
    <row r="46" spans="1:8" x14ac:dyDescent="0.3">
      <c r="A46" s="27">
        <v>43</v>
      </c>
      <c r="B46" s="28">
        <v>263.5</v>
      </c>
      <c r="C46" s="29">
        <v>263.5</v>
      </c>
      <c r="D46" s="27">
        <v>12160</v>
      </c>
      <c r="E46" s="27">
        <v>22.6</v>
      </c>
      <c r="F46" s="27">
        <v>22.6</v>
      </c>
      <c r="G46" s="27">
        <f>表1[[#This Row],[m_melee]]</f>
        <v>22.6</v>
      </c>
      <c r="H46" s="27">
        <f>表1[[#This Row],[m_laser]]</f>
        <v>22.6</v>
      </c>
    </row>
    <row r="47" spans="1:8" x14ac:dyDescent="0.3">
      <c r="A47" s="27">
        <v>44</v>
      </c>
      <c r="B47" s="28">
        <v>271.5</v>
      </c>
      <c r="C47" s="29">
        <v>271.5</v>
      </c>
      <c r="D47" s="27">
        <v>12440</v>
      </c>
      <c r="E47" s="27">
        <v>22.9</v>
      </c>
      <c r="F47" s="27">
        <v>22.9</v>
      </c>
      <c r="G47" s="27">
        <f>表1[[#This Row],[m_melee]]</f>
        <v>22.9</v>
      </c>
      <c r="H47" s="27">
        <f>表1[[#This Row],[m_laser]]</f>
        <v>22.9</v>
      </c>
    </row>
    <row r="48" spans="1:8" x14ac:dyDescent="0.3">
      <c r="A48" s="27">
        <v>45</v>
      </c>
      <c r="B48" s="28">
        <v>279.5</v>
      </c>
      <c r="C48" s="29">
        <v>279.5</v>
      </c>
      <c r="D48" s="27">
        <v>12720</v>
      </c>
      <c r="E48" s="27">
        <v>23.2</v>
      </c>
      <c r="F48" s="27">
        <v>23.2</v>
      </c>
      <c r="G48" s="27">
        <f>表1[[#This Row],[m_melee]]</f>
        <v>23.2</v>
      </c>
      <c r="H48" s="27">
        <f>表1[[#This Row],[m_laser]]</f>
        <v>23.2</v>
      </c>
    </row>
    <row r="49" spans="1:8" x14ac:dyDescent="0.3">
      <c r="A49" s="27">
        <v>46</v>
      </c>
      <c r="B49" s="28">
        <v>287.5</v>
      </c>
      <c r="C49" s="29">
        <v>287.5</v>
      </c>
      <c r="D49" s="27">
        <v>13000</v>
      </c>
      <c r="E49" s="27">
        <v>23.5</v>
      </c>
      <c r="F49" s="27">
        <v>23.5</v>
      </c>
      <c r="G49" s="27">
        <f>表1[[#This Row],[m_melee]]</f>
        <v>23.5</v>
      </c>
      <c r="H49" s="27">
        <f>表1[[#This Row],[m_laser]]</f>
        <v>23.5</v>
      </c>
    </row>
    <row r="50" spans="1:8" x14ac:dyDescent="0.3">
      <c r="A50" s="27">
        <v>47</v>
      </c>
      <c r="B50" s="28">
        <v>295.5</v>
      </c>
      <c r="C50" s="29">
        <v>295.5</v>
      </c>
      <c r="D50" s="27">
        <v>13280</v>
      </c>
      <c r="E50" s="27">
        <v>23.8</v>
      </c>
      <c r="F50" s="27">
        <v>23.8</v>
      </c>
      <c r="G50" s="27">
        <f>表1[[#This Row],[m_melee]]</f>
        <v>23.8</v>
      </c>
      <c r="H50" s="27">
        <f>表1[[#This Row],[m_laser]]</f>
        <v>23.8</v>
      </c>
    </row>
    <row r="51" spans="1:8" x14ac:dyDescent="0.3">
      <c r="A51" s="27">
        <v>48</v>
      </c>
      <c r="B51" s="28">
        <v>303.5</v>
      </c>
      <c r="C51" s="29">
        <v>303.5</v>
      </c>
      <c r="D51" s="27">
        <v>13560</v>
      </c>
      <c r="E51" s="27">
        <v>24.1</v>
      </c>
      <c r="F51" s="27">
        <v>24.1</v>
      </c>
      <c r="G51" s="27">
        <f>表1[[#This Row],[m_melee]]</f>
        <v>24.1</v>
      </c>
      <c r="H51" s="27">
        <f>表1[[#This Row],[m_laser]]</f>
        <v>24.1</v>
      </c>
    </row>
    <row r="52" spans="1:8" x14ac:dyDescent="0.3">
      <c r="A52" s="27">
        <v>49</v>
      </c>
      <c r="B52" s="28">
        <v>311.5</v>
      </c>
      <c r="C52" s="29">
        <v>311.5</v>
      </c>
      <c r="D52" s="27">
        <v>13840</v>
      </c>
      <c r="E52" s="27">
        <v>24.4</v>
      </c>
      <c r="F52" s="27">
        <v>24.4</v>
      </c>
      <c r="G52" s="27">
        <f>表1[[#This Row],[m_melee]]</f>
        <v>24.4</v>
      </c>
      <c r="H52" s="27">
        <f>表1[[#This Row],[m_laser]]</f>
        <v>24.4</v>
      </c>
    </row>
    <row r="53" spans="1:8" x14ac:dyDescent="0.3">
      <c r="A53" s="24">
        <v>50</v>
      </c>
      <c r="B53" s="28">
        <v>319.5</v>
      </c>
      <c r="C53" s="29">
        <v>319.5</v>
      </c>
      <c r="D53" s="27">
        <v>14120</v>
      </c>
      <c r="E53" s="27">
        <v>24.7</v>
      </c>
      <c r="F53" s="27">
        <v>24.7</v>
      </c>
      <c r="G53" s="27">
        <f>表1[[#This Row],[m_melee]]</f>
        <v>24.7</v>
      </c>
      <c r="H53" s="27">
        <f>表1[[#This Row],[m_laser]]</f>
        <v>24.7</v>
      </c>
    </row>
    <row r="54" spans="1:8" x14ac:dyDescent="0.3">
      <c r="A54" s="27">
        <v>51</v>
      </c>
      <c r="B54" s="28">
        <v>327.5</v>
      </c>
      <c r="C54" s="29">
        <v>327.5</v>
      </c>
      <c r="D54" s="27">
        <v>14400</v>
      </c>
      <c r="E54" s="27">
        <v>25</v>
      </c>
      <c r="F54" s="27">
        <v>25</v>
      </c>
      <c r="G54" s="27">
        <f>表1[[#This Row],[m_melee]]</f>
        <v>25</v>
      </c>
      <c r="H54" s="27">
        <f>表1[[#This Row],[m_laser]]</f>
        <v>25</v>
      </c>
    </row>
    <row r="55" spans="1:8" x14ac:dyDescent="0.3">
      <c r="A55" s="27">
        <v>52</v>
      </c>
      <c r="B55" s="28">
        <v>335.5</v>
      </c>
      <c r="C55" s="29">
        <v>335.5</v>
      </c>
      <c r="D55" s="27">
        <v>14680</v>
      </c>
      <c r="E55" s="27">
        <v>25.3</v>
      </c>
      <c r="F55" s="27">
        <v>25.3</v>
      </c>
      <c r="G55" s="27">
        <f>表1[[#This Row],[m_melee]]</f>
        <v>25.3</v>
      </c>
      <c r="H55" s="27">
        <f>表1[[#This Row],[m_laser]]</f>
        <v>25.3</v>
      </c>
    </row>
    <row r="56" spans="1:8" x14ac:dyDescent="0.3">
      <c r="A56" s="27">
        <v>53</v>
      </c>
      <c r="B56" s="28">
        <v>343.5</v>
      </c>
      <c r="C56" s="29">
        <v>343.5</v>
      </c>
      <c r="D56" s="27">
        <v>14960</v>
      </c>
      <c r="E56" s="27">
        <v>25.6</v>
      </c>
      <c r="F56" s="27">
        <v>25.6</v>
      </c>
      <c r="G56" s="27">
        <f>表1[[#This Row],[m_melee]]</f>
        <v>25.6</v>
      </c>
      <c r="H56" s="27">
        <f>表1[[#This Row],[m_laser]]</f>
        <v>25.6</v>
      </c>
    </row>
    <row r="57" spans="1:8" x14ac:dyDescent="0.3">
      <c r="A57" s="27">
        <v>54</v>
      </c>
      <c r="B57" s="28">
        <v>351.49999999999994</v>
      </c>
      <c r="C57" s="29">
        <v>351.49999999999994</v>
      </c>
      <c r="D57" s="27">
        <v>15240</v>
      </c>
      <c r="E57" s="27">
        <v>25.9</v>
      </c>
      <c r="F57" s="27">
        <v>25.9</v>
      </c>
      <c r="G57" s="27">
        <f>表1[[#This Row],[m_melee]]</f>
        <v>25.9</v>
      </c>
      <c r="H57" s="27">
        <f>表1[[#This Row],[m_laser]]</f>
        <v>25.9</v>
      </c>
    </row>
    <row r="58" spans="1:8" x14ac:dyDescent="0.3">
      <c r="A58" s="27">
        <v>55</v>
      </c>
      <c r="B58" s="28">
        <v>359.49999999999994</v>
      </c>
      <c r="C58" s="29">
        <v>359.49999999999994</v>
      </c>
      <c r="D58" s="27">
        <v>15520</v>
      </c>
      <c r="E58" s="27">
        <v>26.2</v>
      </c>
      <c r="F58" s="27">
        <v>26.2</v>
      </c>
      <c r="G58" s="27">
        <f>表1[[#This Row],[m_melee]]</f>
        <v>26.2</v>
      </c>
      <c r="H58" s="27">
        <f>表1[[#This Row],[m_laser]]</f>
        <v>26.2</v>
      </c>
    </row>
    <row r="59" spans="1:8" x14ac:dyDescent="0.3">
      <c r="A59" s="27">
        <v>56</v>
      </c>
      <c r="B59" s="28">
        <v>367.49999999999994</v>
      </c>
      <c r="C59" s="29">
        <v>367.49999999999994</v>
      </c>
      <c r="D59" s="27">
        <v>15800</v>
      </c>
      <c r="E59" s="27">
        <v>26.5</v>
      </c>
      <c r="F59" s="27">
        <v>26.5</v>
      </c>
      <c r="G59" s="27">
        <f>表1[[#This Row],[m_melee]]</f>
        <v>26.5</v>
      </c>
      <c r="H59" s="27">
        <f>表1[[#This Row],[m_laser]]</f>
        <v>26.5</v>
      </c>
    </row>
    <row r="60" spans="1:8" x14ac:dyDescent="0.3">
      <c r="A60" s="27">
        <v>57</v>
      </c>
      <c r="B60" s="28">
        <v>375.49999999999994</v>
      </c>
      <c r="C60" s="29">
        <v>375.49999999999994</v>
      </c>
      <c r="D60" s="27">
        <v>16080</v>
      </c>
      <c r="E60" s="27">
        <v>26.8</v>
      </c>
      <c r="F60" s="27">
        <v>26.8</v>
      </c>
      <c r="G60" s="27">
        <f>表1[[#This Row],[m_melee]]</f>
        <v>26.8</v>
      </c>
      <c r="H60" s="27">
        <f>表1[[#This Row],[m_laser]]</f>
        <v>26.8</v>
      </c>
    </row>
    <row r="61" spans="1:8" x14ac:dyDescent="0.3">
      <c r="A61" s="27">
        <v>58</v>
      </c>
      <c r="B61" s="28">
        <v>383.49999999999994</v>
      </c>
      <c r="C61" s="29">
        <v>383.49999999999994</v>
      </c>
      <c r="D61" s="27">
        <v>16360</v>
      </c>
      <c r="E61" s="27">
        <v>27.1</v>
      </c>
      <c r="F61" s="27">
        <v>27.1</v>
      </c>
      <c r="G61" s="27">
        <f>表1[[#This Row],[m_melee]]</f>
        <v>27.1</v>
      </c>
      <c r="H61" s="27">
        <f>表1[[#This Row],[m_laser]]</f>
        <v>27.1</v>
      </c>
    </row>
    <row r="62" spans="1:8" x14ac:dyDescent="0.3">
      <c r="A62" s="27">
        <v>59</v>
      </c>
      <c r="B62" s="28">
        <v>391.49999999999989</v>
      </c>
      <c r="C62" s="29">
        <v>391.49999999999989</v>
      </c>
      <c r="D62" s="27">
        <v>16640</v>
      </c>
      <c r="E62" s="27">
        <v>27.4</v>
      </c>
      <c r="F62" s="27">
        <v>27.4</v>
      </c>
      <c r="G62" s="27">
        <f>表1[[#This Row],[m_melee]]</f>
        <v>27.4</v>
      </c>
      <c r="H62" s="27">
        <f>表1[[#This Row],[m_laser]]</f>
        <v>27.4</v>
      </c>
    </row>
    <row r="63" spans="1:8" x14ac:dyDescent="0.3">
      <c r="A63" s="27">
        <v>60</v>
      </c>
      <c r="B63" s="28">
        <v>399.49999999999989</v>
      </c>
      <c r="C63" s="29">
        <v>399.49999999999989</v>
      </c>
      <c r="D63" s="27">
        <v>16920</v>
      </c>
      <c r="E63" s="27">
        <v>27.7</v>
      </c>
      <c r="F63" s="27">
        <v>27.7</v>
      </c>
      <c r="G63" s="27">
        <f>表1[[#This Row],[m_melee]]</f>
        <v>27.7</v>
      </c>
      <c r="H63" s="27">
        <f>表1[[#This Row],[m_laser]]</f>
        <v>27.7</v>
      </c>
    </row>
    <row r="64" spans="1:8" x14ac:dyDescent="0.3">
      <c r="A64" s="27">
        <v>61</v>
      </c>
      <c r="B64" s="28">
        <v>407.49999999999989</v>
      </c>
      <c r="C64" s="29">
        <v>407.49999999999989</v>
      </c>
      <c r="D64" s="27">
        <v>17200</v>
      </c>
      <c r="E64" s="27">
        <v>28</v>
      </c>
      <c r="F64" s="27">
        <v>28</v>
      </c>
      <c r="G64" s="27">
        <f>表1[[#This Row],[m_melee]]</f>
        <v>28</v>
      </c>
      <c r="H64" s="27">
        <f>表1[[#This Row],[m_laser]]</f>
        <v>28</v>
      </c>
    </row>
    <row r="65" spans="1:8" x14ac:dyDescent="0.3">
      <c r="A65" s="27">
        <v>62</v>
      </c>
      <c r="B65" s="28">
        <v>415.49999999999989</v>
      </c>
      <c r="C65" s="29">
        <v>415.49999999999989</v>
      </c>
      <c r="D65" s="27">
        <v>17480</v>
      </c>
      <c r="E65" s="27">
        <v>28.3</v>
      </c>
      <c r="F65" s="27">
        <v>28.3</v>
      </c>
      <c r="G65" s="27">
        <f>表1[[#This Row],[m_melee]]</f>
        <v>28.3</v>
      </c>
      <c r="H65" s="27">
        <f>表1[[#This Row],[m_laser]]</f>
        <v>28.3</v>
      </c>
    </row>
    <row r="66" spans="1:8" x14ac:dyDescent="0.3">
      <c r="A66" s="27">
        <v>63</v>
      </c>
      <c r="B66" s="28">
        <v>423.49999999999989</v>
      </c>
      <c r="C66" s="29">
        <v>423.49999999999989</v>
      </c>
      <c r="D66" s="27">
        <v>17760</v>
      </c>
      <c r="E66" s="27">
        <v>28.6</v>
      </c>
      <c r="F66" s="27">
        <v>28.6</v>
      </c>
      <c r="G66" s="27">
        <f>表1[[#This Row],[m_melee]]</f>
        <v>28.6</v>
      </c>
      <c r="H66" s="27">
        <f>表1[[#This Row],[m_laser]]</f>
        <v>28.6</v>
      </c>
    </row>
    <row r="67" spans="1:8" x14ac:dyDescent="0.3">
      <c r="A67" s="27">
        <v>64</v>
      </c>
      <c r="B67" s="28">
        <v>431.49999999999989</v>
      </c>
      <c r="C67" s="29">
        <v>431.49999999999989</v>
      </c>
      <c r="D67" s="27">
        <v>18040</v>
      </c>
      <c r="E67" s="27">
        <v>28.9</v>
      </c>
      <c r="F67" s="27">
        <v>28.9</v>
      </c>
      <c r="G67" s="27">
        <f>表1[[#This Row],[m_melee]]</f>
        <v>28.9</v>
      </c>
      <c r="H67" s="27">
        <f>表1[[#This Row],[m_laser]]</f>
        <v>28.9</v>
      </c>
    </row>
    <row r="68" spans="1:8" x14ac:dyDescent="0.3">
      <c r="A68" s="27">
        <v>65</v>
      </c>
      <c r="B68" s="28">
        <v>439.49999999999989</v>
      </c>
      <c r="C68" s="29">
        <v>439.49999999999989</v>
      </c>
      <c r="D68" s="27">
        <v>18320</v>
      </c>
      <c r="E68" s="27">
        <v>29.2</v>
      </c>
      <c r="F68" s="27">
        <v>29.2</v>
      </c>
      <c r="G68" s="27">
        <f>表1[[#This Row],[m_melee]]</f>
        <v>29.2</v>
      </c>
      <c r="H68" s="27">
        <f>表1[[#This Row],[m_laser]]</f>
        <v>29.2</v>
      </c>
    </row>
    <row r="69" spans="1:8" x14ac:dyDescent="0.3">
      <c r="A69" s="27">
        <v>66</v>
      </c>
      <c r="B69" s="28">
        <v>447.49999999999989</v>
      </c>
      <c r="C69" s="29">
        <v>447.49999999999989</v>
      </c>
      <c r="D69" s="27">
        <v>18600</v>
      </c>
      <c r="E69" s="27">
        <v>29.5</v>
      </c>
      <c r="F69" s="27">
        <v>29.5</v>
      </c>
      <c r="G69" s="27">
        <f>表1[[#This Row],[m_melee]]</f>
        <v>29.5</v>
      </c>
      <c r="H69" s="27">
        <f>表1[[#This Row],[m_laser]]</f>
        <v>29.5</v>
      </c>
    </row>
    <row r="70" spans="1:8" x14ac:dyDescent="0.3">
      <c r="A70" s="27">
        <v>67</v>
      </c>
      <c r="B70" s="28">
        <v>455.49999999999989</v>
      </c>
      <c r="C70" s="29">
        <v>455.49999999999989</v>
      </c>
      <c r="D70" s="27">
        <v>18880</v>
      </c>
      <c r="E70" s="27">
        <v>29.8</v>
      </c>
      <c r="F70" s="27">
        <v>29.8</v>
      </c>
      <c r="G70" s="27">
        <f>表1[[#This Row],[m_melee]]</f>
        <v>29.8</v>
      </c>
      <c r="H70" s="27">
        <f>表1[[#This Row],[m_laser]]</f>
        <v>29.8</v>
      </c>
    </row>
    <row r="71" spans="1:8" x14ac:dyDescent="0.3">
      <c r="A71" s="27">
        <v>68</v>
      </c>
      <c r="B71" s="28">
        <v>463.49999999999989</v>
      </c>
      <c r="C71" s="29">
        <v>463.49999999999989</v>
      </c>
      <c r="D71" s="27">
        <v>19160</v>
      </c>
      <c r="E71" s="27">
        <v>30.1</v>
      </c>
      <c r="F71" s="27">
        <v>30.1</v>
      </c>
      <c r="G71" s="27">
        <f>表1[[#This Row],[m_melee]]</f>
        <v>30.1</v>
      </c>
      <c r="H71" s="27">
        <f>表1[[#This Row],[m_laser]]</f>
        <v>30.1</v>
      </c>
    </row>
    <row r="72" spans="1:8" x14ac:dyDescent="0.3">
      <c r="A72" s="27">
        <v>69</v>
      </c>
      <c r="B72" s="28">
        <v>471.49999999999989</v>
      </c>
      <c r="C72" s="29">
        <v>471.49999999999989</v>
      </c>
      <c r="D72" s="27">
        <v>19440</v>
      </c>
      <c r="E72" s="27">
        <v>30.4</v>
      </c>
      <c r="F72" s="27">
        <v>30.4</v>
      </c>
      <c r="G72" s="27">
        <f>表1[[#This Row],[m_melee]]</f>
        <v>30.4</v>
      </c>
      <c r="H72" s="27">
        <f>表1[[#This Row],[m_laser]]</f>
        <v>30.4</v>
      </c>
    </row>
    <row r="73" spans="1:8" x14ac:dyDescent="0.3">
      <c r="A73" s="27">
        <v>70</v>
      </c>
      <c r="B73" s="28">
        <v>479.49999999999983</v>
      </c>
      <c r="C73" s="29">
        <v>479.49999999999983</v>
      </c>
      <c r="D73" s="27">
        <v>19720</v>
      </c>
      <c r="E73" s="27">
        <v>30.7</v>
      </c>
      <c r="F73" s="27">
        <v>30.7</v>
      </c>
      <c r="G73" s="27">
        <f>表1[[#This Row],[m_melee]]</f>
        <v>30.7</v>
      </c>
      <c r="H73" s="27">
        <f>表1[[#This Row],[m_laser]]</f>
        <v>30.7</v>
      </c>
    </row>
    <row r="74" spans="1:8" x14ac:dyDescent="0.3">
      <c r="A74" s="27">
        <v>71</v>
      </c>
      <c r="B74" s="28">
        <v>487.49999999999983</v>
      </c>
      <c r="C74" s="29">
        <v>487.49999999999983</v>
      </c>
      <c r="D74" s="27">
        <v>20000</v>
      </c>
      <c r="E74" s="27">
        <v>31</v>
      </c>
      <c r="F74" s="27">
        <v>31</v>
      </c>
      <c r="G74" s="27">
        <f>表1[[#This Row],[m_melee]]</f>
        <v>31</v>
      </c>
      <c r="H74" s="27">
        <f>表1[[#This Row],[m_laser]]</f>
        <v>31</v>
      </c>
    </row>
    <row r="75" spans="1:8" x14ac:dyDescent="0.3">
      <c r="A75" s="27">
        <v>72</v>
      </c>
      <c r="B75" s="28">
        <v>495.49999999999983</v>
      </c>
      <c r="C75" s="29">
        <v>495.49999999999983</v>
      </c>
      <c r="D75" s="27">
        <v>20280</v>
      </c>
      <c r="E75" s="27">
        <v>31.3000000000001</v>
      </c>
      <c r="F75" s="27">
        <v>31.3000000000001</v>
      </c>
      <c r="G75" s="27">
        <f>表1[[#This Row],[m_melee]]</f>
        <v>31.3000000000001</v>
      </c>
      <c r="H75" s="27">
        <f>表1[[#This Row],[m_laser]]</f>
        <v>31.3000000000001</v>
      </c>
    </row>
    <row r="76" spans="1:8" x14ac:dyDescent="0.3">
      <c r="A76" s="27">
        <v>73</v>
      </c>
      <c r="B76" s="28">
        <v>503.49999999999983</v>
      </c>
      <c r="C76" s="29">
        <v>503.49999999999983</v>
      </c>
      <c r="D76" s="27">
        <v>20560</v>
      </c>
      <c r="E76" s="27">
        <v>31.600000000000101</v>
      </c>
      <c r="F76" s="27">
        <v>31.600000000000101</v>
      </c>
      <c r="G76" s="27">
        <f>表1[[#This Row],[m_melee]]</f>
        <v>31.600000000000101</v>
      </c>
      <c r="H76" s="27">
        <f>表1[[#This Row],[m_laser]]</f>
        <v>31.600000000000101</v>
      </c>
    </row>
    <row r="77" spans="1:8" x14ac:dyDescent="0.3">
      <c r="A77" s="27">
        <v>74</v>
      </c>
      <c r="B77" s="28">
        <v>511.49999999999983</v>
      </c>
      <c r="C77" s="29">
        <v>511.49999999999983</v>
      </c>
      <c r="D77" s="27">
        <v>20840</v>
      </c>
      <c r="E77" s="27">
        <v>31.900000000000102</v>
      </c>
      <c r="F77" s="27">
        <v>31.900000000000102</v>
      </c>
      <c r="G77" s="27">
        <f>表1[[#This Row],[m_melee]]</f>
        <v>31.900000000000102</v>
      </c>
      <c r="H77" s="27">
        <f>表1[[#This Row],[m_laser]]</f>
        <v>31.900000000000102</v>
      </c>
    </row>
    <row r="78" spans="1:8" x14ac:dyDescent="0.3">
      <c r="A78" s="27">
        <v>75</v>
      </c>
      <c r="B78" s="28">
        <v>519.49999999999977</v>
      </c>
      <c r="C78" s="29">
        <v>519.49999999999977</v>
      </c>
      <c r="D78" s="27">
        <v>21120</v>
      </c>
      <c r="E78" s="27">
        <v>32.200000000000102</v>
      </c>
      <c r="F78" s="27">
        <v>32.200000000000102</v>
      </c>
      <c r="G78" s="27">
        <f>表1[[#This Row],[m_melee]]</f>
        <v>32.200000000000102</v>
      </c>
      <c r="H78" s="27">
        <f>表1[[#This Row],[m_laser]]</f>
        <v>32.200000000000102</v>
      </c>
    </row>
    <row r="79" spans="1:8" x14ac:dyDescent="0.3">
      <c r="A79" s="27">
        <v>76</v>
      </c>
      <c r="B79" s="28">
        <v>527.49999999999977</v>
      </c>
      <c r="C79" s="29">
        <v>527.49999999999977</v>
      </c>
      <c r="D79" s="27">
        <v>21400</v>
      </c>
      <c r="E79" s="27">
        <v>32.500000000000099</v>
      </c>
      <c r="F79" s="27">
        <v>32.500000000000099</v>
      </c>
      <c r="G79" s="27">
        <f>表1[[#This Row],[m_melee]]</f>
        <v>32.500000000000099</v>
      </c>
      <c r="H79" s="27">
        <f>表1[[#This Row],[m_laser]]</f>
        <v>32.500000000000099</v>
      </c>
    </row>
    <row r="80" spans="1:8" x14ac:dyDescent="0.3">
      <c r="A80" s="27">
        <v>77</v>
      </c>
      <c r="B80" s="28">
        <v>535.49999999999977</v>
      </c>
      <c r="C80" s="29">
        <v>535.49999999999977</v>
      </c>
      <c r="D80" s="27">
        <v>21680</v>
      </c>
      <c r="E80" s="27">
        <v>32.800000000000097</v>
      </c>
      <c r="F80" s="27">
        <v>32.800000000000097</v>
      </c>
      <c r="G80" s="27">
        <f>表1[[#This Row],[m_melee]]</f>
        <v>32.800000000000097</v>
      </c>
      <c r="H80" s="27">
        <f>表1[[#This Row],[m_laser]]</f>
        <v>32.800000000000097</v>
      </c>
    </row>
    <row r="81" spans="1:8" x14ac:dyDescent="0.3">
      <c r="A81" s="27">
        <v>78</v>
      </c>
      <c r="B81" s="28">
        <v>543.49999999999977</v>
      </c>
      <c r="C81" s="29">
        <v>543.49999999999977</v>
      </c>
      <c r="D81" s="27">
        <v>21960</v>
      </c>
      <c r="E81" s="27">
        <v>33.100000000000101</v>
      </c>
      <c r="F81" s="27">
        <v>33.100000000000101</v>
      </c>
      <c r="G81" s="27">
        <f>表1[[#This Row],[m_melee]]</f>
        <v>33.100000000000101</v>
      </c>
      <c r="H81" s="27">
        <f>表1[[#This Row],[m_laser]]</f>
        <v>33.100000000000101</v>
      </c>
    </row>
    <row r="82" spans="1:8" x14ac:dyDescent="0.3">
      <c r="A82" s="27">
        <v>79</v>
      </c>
      <c r="B82" s="28">
        <v>551.49999999999977</v>
      </c>
      <c r="C82" s="29">
        <v>551.49999999999977</v>
      </c>
      <c r="D82" s="27">
        <v>22240</v>
      </c>
      <c r="E82" s="27">
        <v>33.400000000000098</v>
      </c>
      <c r="F82" s="27">
        <v>33.400000000000098</v>
      </c>
      <c r="G82" s="27">
        <f>表1[[#This Row],[m_melee]]</f>
        <v>33.400000000000098</v>
      </c>
      <c r="H82" s="27">
        <f>表1[[#This Row],[m_laser]]</f>
        <v>33.400000000000098</v>
      </c>
    </row>
    <row r="83" spans="1:8" x14ac:dyDescent="0.3">
      <c r="A83" s="27">
        <v>80</v>
      </c>
      <c r="B83" s="28">
        <v>559.49999999999977</v>
      </c>
      <c r="C83" s="29">
        <v>559.49999999999977</v>
      </c>
      <c r="D83" s="27">
        <v>22520</v>
      </c>
      <c r="E83" s="27">
        <v>33.700000000000102</v>
      </c>
      <c r="F83" s="27">
        <v>33.700000000000102</v>
      </c>
      <c r="G83" s="27">
        <f>表1[[#This Row],[m_melee]]</f>
        <v>33.700000000000102</v>
      </c>
      <c r="H83" s="27">
        <f>表1[[#This Row],[m_laser]]</f>
        <v>33.700000000000102</v>
      </c>
    </row>
    <row r="84" spans="1:8" x14ac:dyDescent="0.3">
      <c r="A84" s="27">
        <v>81</v>
      </c>
      <c r="B84" s="28">
        <v>567.49999999999977</v>
      </c>
      <c r="C84" s="29">
        <v>567.49999999999977</v>
      </c>
      <c r="D84" s="27">
        <v>22800</v>
      </c>
      <c r="E84" s="27">
        <v>34.000000000000099</v>
      </c>
      <c r="F84" s="27">
        <v>34.000000000000099</v>
      </c>
      <c r="G84" s="27">
        <f>表1[[#This Row],[m_melee]]</f>
        <v>34.000000000000099</v>
      </c>
      <c r="H84" s="27">
        <f>表1[[#This Row],[m_laser]]</f>
        <v>34.000000000000099</v>
      </c>
    </row>
    <row r="85" spans="1:8" x14ac:dyDescent="0.3">
      <c r="A85" s="27">
        <v>82</v>
      </c>
      <c r="B85" s="28">
        <v>575.49999999999977</v>
      </c>
      <c r="C85" s="29">
        <v>575.49999999999977</v>
      </c>
      <c r="D85" s="27">
        <v>23080</v>
      </c>
      <c r="E85" s="27">
        <v>34.300000000000097</v>
      </c>
      <c r="F85" s="27">
        <v>34.300000000000097</v>
      </c>
      <c r="G85" s="27">
        <f>表1[[#This Row],[m_melee]]</f>
        <v>34.300000000000097</v>
      </c>
      <c r="H85" s="27">
        <f>表1[[#This Row],[m_laser]]</f>
        <v>34.300000000000097</v>
      </c>
    </row>
    <row r="86" spans="1:8" x14ac:dyDescent="0.3">
      <c r="A86" s="27">
        <v>83</v>
      </c>
      <c r="B86" s="28">
        <v>583.49999999999977</v>
      </c>
      <c r="C86" s="29">
        <v>583.49999999999977</v>
      </c>
      <c r="D86" s="27">
        <v>23360</v>
      </c>
      <c r="E86" s="27">
        <v>34.600000000000101</v>
      </c>
      <c r="F86" s="27">
        <v>34.600000000000101</v>
      </c>
      <c r="G86" s="27">
        <f>表1[[#This Row],[m_melee]]</f>
        <v>34.600000000000101</v>
      </c>
      <c r="H86" s="27">
        <f>表1[[#This Row],[m_laser]]</f>
        <v>34.600000000000101</v>
      </c>
    </row>
    <row r="87" spans="1:8" x14ac:dyDescent="0.3">
      <c r="A87" s="27">
        <v>84</v>
      </c>
      <c r="B87" s="28">
        <v>591.49999999999977</v>
      </c>
      <c r="C87" s="29">
        <v>591.49999999999977</v>
      </c>
      <c r="D87" s="27">
        <v>23640</v>
      </c>
      <c r="E87" s="27">
        <v>34.900000000000098</v>
      </c>
      <c r="F87" s="27">
        <v>34.900000000000098</v>
      </c>
      <c r="G87" s="27">
        <f>表1[[#This Row],[m_melee]]</f>
        <v>34.900000000000098</v>
      </c>
      <c r="H87" s="27">
        <f>表1[[#This Row],[m_laser]]</f>
        <v>34.900000000000098</v>
      </c>
    </row>
    <row r="88" spans="1:8" x14ac:dyDescent="0.3">
      <c r="A88" s="27">
        <v>85</v>
      </c>
      <c r="B88" s="28">
        <v>599.49999999999977</v>
      </c>
      <c r="C88" s="29">
        <v>599.49999999999977</v>
      </c>
      <c r="D88" s="27">
        <v>23920</v>
      </c>
      <c r="E88" s="27">
        <v>35.200000000000102</v>
      </c>
      <c r="F88" s="27">
        <v>35.200000000000102</v>
      </c>
      <c r="G88" s="27">
        <f>表1[[#This Row],[m_melee]]</f>
        <v>35.200000000000102</v>
      </c>
      <c r="H88" s="27">
        <f>表1[[#This Row],[m_laser]]</f>
        <v>35.200000000000102</v>
      </c>
    </row>
    <row r="89" spans="1:8" x14ac:dyDescent="0.3">
      <c r="A89" s="27">
        <v>86</v>
      </c>
      <c r="B89" s="28">
        <v>607.49999999999977</v>
      </c>
      <c r="C89" s="29">
        <v>607.49999999999977</v>
      </c>
      <c r="D89" s="27">
        <v>24200</v>
      </c>
      <c r="E89" s="27">
        <v>35.500000000000099</v>
      </c>
      <c r="F89" s="27">
        <v>35.500000000000099</v>
      </c>
      <c r="G89" s="27">
        <f>表1[[#This Row],[m_melee]]</f>
        <v>35.500000000000099</v>
      </c>
      <c r="H89" s="27">
        <f>表1[[#This Row],[m_laser]]</f>
        <v>35.500000000000099</v>
      </c>
    </row>
    <row r="90" spans="1:8" x14ac:dyDescent="0.3">
      <c r="A90" s="27">
        <v>87</v>
      </c>
      <c r="B90" s="28">
        <v>615.49999999999977</v>
      </c>
      <c r="C90" s="29">
        <v>615.49999999999977</v>
      </c>
      <c r="D90" s="27">
        <v>24480</v>
      </c>
      <c r="E90" s="27">
        <v>35.800000000000097</v>
      </c>
      <c r="F90" s="27">
        <v>35.800000000000097</v>
      </c>
      <c r="G90" s="27">
        <f>表1[[#This Row],[m_melee]]</f>
        <v>35.800000000000097</v>
      </c>
      <c r="H90" s="27">
        <f>表1[[#This Row],[m_laser]]</f>
        <v>35.800000000000097</v>
      </c>
    </row>
    <row r="91" spans="1:8" x14ac:dyDescent="0.3">
      <c r="A91" s="27">
        <v>88</v>
      </c>
      <c r="B91" s="28">
        <v>623.49999999999977</v>
      </c>
      <c r="C91" s="29">
        <v>623.49999999999977</v>
      </c>
      <c r="D91" s="27">
        <v>24760</v>
      </c>
      <c r="E91" s="27">
        <v>36.100000000000101</v>
      </c>
      <c r="F91" s="27">
        <v>36.100000000000101</v>
      </c>
      <c r="G91" s="27">
        <f>表1[[#This Row],[m_melee]]</f>
        <v>36.100000000000101</v>
      </c>
      <c r="H91" s="27">
        <f>表1[[#This Row],[m_laser]]</f>
        <v>36.100000000000101</v>
      </c>
    </row>
    <row r="92" spans="1:8" x14ac:dyDescent="0.3">
      <c r="A92" s="27">
        <v>89</v>
      </c>
      <c r="B92" s="28">
        <v>631.49999999999977</v>
      </c>
      <c r="C92" s="29">
        <v>631.49999999999977</v>
      </c>
      <c r="D92" s="27">
        <v>25040</v>
      </c>
      <c r="E92" s="27">
        <v>36.400000000000098</v>
      </c>
      <c r="F92" s="27">
        <v>36.400000000000098</v>
      </c>
      <c r="G92" s="27">
        <f>表1[[#This Row],[m_melee]]</f>
        <v>36.400000000000098</v>
      </c>
      <c r="H92" s="27">
        <f>表1[[#This Row],[m_laser]]</f>
        <v>36.400000000000098</v>
      </c>
    </row>
    <row r="93" spans="1:8" x14ac:dyDescent="0.3">
      <c r="A93" s="27">
        <v>90</v>
      </c>
      <c r="B93" s="28">
        <v>639.49999999999977</v>
      </c>
      <c r="C93" s="29">
        <v>639.49999999999977</v>
      </c>
      <c r="D93" s="27">
        <v>25320</v>
      </c>
      <c r="E93" s="27">
        <v>36.700000000000102</v>
      </c>
      <c r="F93" s="27">
        <v>36.700000000000102</v>
      </c>
      <c r="G93" s="27">
        <f>表1[[#This Row],[m_melee]]</f>
        <v>36.700000000000102</v>
      </c>
      <c r="H93" s="27">
        <f>表1[[#This Row],[m_laser]]</f>
        <v>36.700000000000102</v>
      </c>
    </row>
    <row r="94" spans="1:8" x14ac:dyDescent="0.3">
      <c r="A94" s="27">
        <v>91</v>
      </c>
      <c r="B94" s="28">
        <v>647.49999999999966</v>
      </c>
      <c r="C94" s="29">
        <v>647.49999999999966</v>
      </c>
      <c r="D94" s="27">
        <v>25600</v>
      </c>
      <c r="E94" s="27">
        <v>37.000000000000099</v>
      </c>
      <c r="F94" s="27">
        <v>37.000000000000099</v>
      </c>
      <c r="G94" s="27">
        <f>表1[[#This Row],[m_melee]]</f>
        <v>37.000000000000099</v>
      </c>
      <c r="H94" s="27">
        <f>表1[[#This Row],[m_laser]]</f>
        <v>37.000000000000099</v>
      </c>
    </row>
    <row r="95" spans="1:8" x14ac:dyDescent="0.3">
      <c r="A95" s="27">
        <v>92</v>
      </c>
      <c r="B95" s="28">
        <v>655.49999999999966</v>
      </c>
      <c r="C95" s="29">
        <v>655.49999999999966</v>
      </c>
      <c r="D95" s="27">
        <v>25880</v>
      </c>
      <c r="E95" s="27">
        <v>37.300000000000097</v>
      </c>
      <c r="F95" s="27">
        <v>37.300000000000097</v>
      </c>
      <c r="G95" s="27">
        <f>表1[[#This Row],[m_melee]]</f>
        <v>37.300000000000097</v>
      </c>
      <c r="H95" s="27">
        <f>表1[[#This Row],[m_laser]]</f>
        <v>37.300000000000097</v>
      </c>
    </row>
    <row r="96" spans="1:8" x14ac:dyDescent="0.3">
      <c r="A96" s="27">
        <v>93</v>
      </c>
      <c r="B96" s="28">
        <v>663.49999999999966</v>
      </c>
      <c r="C96" s="29">
        <v>663.49999999999966</v>
      </c>
      <c r="D96" s="27">
        <v>26160</v>
      </c>
      <c r="E96" s="27">
        <v>37.600000000000101</v>
      </c>
      <c r="F96" s="27">
        <v>37.600000000000101</v>
      </c>
      <c r="G96" s="27">
        <f>表1[[#This Row],[m_melee]]</f>
        <v>37.600000000000101</v>
      </c>
      <c r="H96" s="27">
        <f>表1[[#This Row],[m_laser]]</f>
        <v>37.600000000000101</v>
      </c>
    </row>
    <row r="97" spans="1:8" x14ac:dyDescent="0.3">
      <c r="A97" s="27">
        <v>94</v>
      </c>
      <c r="B97" s="28">
        <v>671.49999999999966</v>
      </c>
      <c r="C97" s="29">
        <v>671.49999999999966</v>
      </c>
      <c r="D97" s="27">
        <v>26440</v>
      </c>
      <c r="E97" s="27">
        <v>37.900000000000098</v>
      </c>
      <c r="F97" s="27">
        <v>37.900000000000098</v>
      </c>
      <c r="G97" s="27">
        <f>表1[[#This Row],[m_melee]]</f>
        <v>37.900000000000098</v>
      </c>
      <c r="H97" s="27">
        <f>表1[[#This Row],[m_laser]]</f>
        <v>37.900000000000098</v>
      </c>
    </row>
    <row r="98" spans="1:8" x14ac:dyDescent="0.3">
      <c r="A98" s="27">
        <v>95</v>
      </c>
      <c r="B98" s="28">
        <v>679.49999999999966</v>
      </c>
      <c r="C98" s="29">
        <v>679.49999999999966</v>
      </c>
      <c r="D98" s="27">
        <v>26720</v>
      </c>
      <c r="E98" s="27">
        <v>38.200000000000102</v>
      </c>
      <c r="F98" s="27">
        <v>38.200000000000102</v>
      </c>
      <c r="G98" s="27">
        <f>表1[[#This Row],[m_melee]]</f>
        <v>38.200000000000102</v>
      </c>
      <c r="H98" s="27">
        <f>表1[[#This Row],[m_laser]]</f>
        <v>38.200000000000102</v>
      </c>
    </row>
    <row r="99" spans="1:8" x14ac:dyDescent="0.3">
      <c r="A99" s="27">
        <v>96</v>
      </c>
      <c r="B99" s="28">
        <v>687.49999999999966</v>
      </c>
      <c r="C99" s="29">
        <v>687.49999999999966</v>
      </c>
      <c r="D99" s="27">
        <v>27000</v>
      </c>
      <c r="E99" s="27">
        <v>38.500000000000099</v>
      </c>
      <c r="F99" s="27">
        <v>38.500000000000099</v>
      </c>
      <c r="G99" s="27">
        <f>表1[[#This Row],[m_melee]]</f>
        <v>38.500000000000099</v>
      </c>
      <c r="H99" s="27">
        <f>表1[[#This Row],[m_laser]]</f>
        <v>38.500000000000099</v>
      </c>
    </row>
    <row r="100" spans="1:8" x14ac:dyDescent="0.3">
      <c r="A100" s="27">
        <v>97</v>
      </c>
      <c r="B100" s="28">
        <v>695.49999999999966</v>
      </c>
      <c r="C100" s="29">
        <v>695.49999999999966</v>
      </c>
      <c r="D100" s="27">
        <v>27280</v>
      </c>
      <c r="E100" s="27">
        <v>38.800000000000097</v>
      </c>
      <c r="F100" s="27">
        <v>38.800000000000097</v>
      </c>
      <c r="G100" s="27">
        <f>表1[[#This Row],[m_melee]]</f>
        <v>38.800000000000097</v>
      </c>
      <c r="H100" s="27">
        <f>表1[[#This Row],[m_laser]]</f>
        <v>38.800000000000097</v>
      </c>
    </row>
    <row r="101" spans="1:8" x14ac:dyDescent="0.3">
      <c r="A101" s="27">
        <v>98</v>
      </c>
      <c r="B101" s="28">
        <v>703.49999999999966</v>
      </c>
      <c r="C101" s="29">
        <v>703.49999999999966</v>
      </c>
      <c r="D101" s="27">
        <v>27560</v>
      </c>
      <c r="E101" s="27">
        <v>39.100000000000101</v>
      </c>
      <c r="F101" s="27">
        <v>39.100000000000101</v>
      </c>
      <c r="G101" s="27">
        <f>表1[[#This Row],[m_melee]]</f>
        <v>39.100000000000101</v>
      </c>
      <c r="H101" s="27">
        <f>表1[[#This Row],[m_laser]]</f>
        <v>39.100000000000101</v>
      </c>
    </row>
    <row r="102" spans="1:8" x14ac:dyDescent="0.3">
      <c r="A102" s="27">
        <v>99</v>
      </c>
      <c r="B102" s="28">
        <v>711.49999999999966</v>
      </c>
      <c r="C102" s="29">
        <v>711.49999999999966</v>
      </c>
      <c r="D102" s="27">
        <v>27840</v>
      </c>
      <c r="E102" s="27">
        <v>39.400000000000098</v>
      </c>
      <c r="F102" s="27">
        <v>39.400000000000098</v>
      </c>
      <c r="G102" s="27">
        <f>表1[[#This Row],[m_melee]]</f>
        <v>39.400000000000098</v>
      </c>
      <c r="H102" s="27">
        <f>表1[[#This Row],[m_laser]]</f>
        <v>39.400000000000098</v>
      </c>
    </row>
    <row r="103" spans="1:8" x14ac:dyDescent="0.3">
      <c r="A103" s="27">
        <v>100</v>
      </c>
      <c r="B103" s="28">
        <v>719.49999999999966</v>
      </c>
      <c r="C103" s="29">
        <v>719.49999999999966</v>
      </c>
      <c r="D103" s="27">
        <v>28120</v>
      </c>
      <c r="E103" s="27">
        <v>39.700000000000102</v>
      </c>
      <c r="F103" s="27">
        <v>39.700000000000102</v>
      </c>
      <c r="G103" s="27">
        <f>表1[[#This Row],[m_melee]]</f>
        <v>39.700000000000102</v>
      </c>
      <c r="H103" s="27">
        <f>表1[[#This Row],[m_laser]]</f>
        <v>39.700000000000102</v>
      </c>
    </row>
    <row r="104" spans="1:8" x14ac:dyDescent="0.3">
      <c r="A104" s="27">
        <v>101</v>
      </c>
      <c r="B104" s="28">
        <v>727.49999999999966</v>
      </c>
      <c r="C104" s="29">
        <v>727.49999999999966</v>
      </c>
      <c r="D104" s="27">
        <v>28400</v>
      </c>
      <c r="E104" s="27">
        <v>40.000000000000099</v>
      </c>
      <c r="F104" s="27">
        <v>40.000000000000099</v>
      </c>
      <c r="G104" s="27">
        <f>表1[[#This Row],[m_melee]]</f>
        <v>40.000000000000099</v>
      </c>
      <c r="H104" s="27">
        <f>表1[[#This Row],[m_laser]]</f>
        <v>40.000000000000099</v>
      </c>
    </row>
    <row r="105" spans="1:8" x14ac:dyDescent="0.3">
      <c r="A105" s="27">
        <v>102</v>
      </c>
      <c r="B105" s="28">
        <v>735.49999999999955</v>
      </c>
      <c r="C105" s="29">
        <v>735.49999999999955</v>
      </c>
      <c r="D105" s="27">
        <v>28680</v>
      </c>
      <c r="E105" s="27">
        <v>40.300000000000097</v>
      </c>
      <c r="F105" s="27">
        <v>40.300000000000097</v>
      </c>
      <c r="G105" s="27">
        <f>表1[[#This Row],[m_melee]]</f>
        <v>40.300000000000097</v>
      </c>
      <c r="H105" s="27">
        <f>表1[[#This Row],[m_laser]]</f>
        <v>40.300000000000097</v>
      </c>
    </row>
    <row r="106" spans="1:8" x14ac:dyDescent="0.3">
      <c r="A106" s="27">
        <v>103</v>
      </c>
      <c r="B106" s="28">
        <v>743.49999999999955</v>
      </c>
      <c r="C106" s="29">
        <v>743.49999999999955</v>
      </c>
      <c r="D106" s="27">
        <v>28960</v>
      </c>
      <c r="E106" s="27">
        <v>40.600000000000101</v>
      </c>
      <c r="F106" s="27">
        <v>40.600000000000101</v>
      </c>
      <c r="G106" s="27">
        <f>表1[[#This Row],[m_melee]]</f>
        <v>40.600000000000101</v>
      </c>
      <c r="H106" s="27">
        <f>表1[[#This Row],[m_laser]]</f>
        <v>40.600000000000101</v>
      </c>
    </row>
    <row r="107" spans="1:8" x14ac:dyDescent="0.3">
      <c r="A107" s="27">
        <v>104</v>
      </c>
      <c r="B107" s="28">
        <v>751.49999999999955</v>
      </c>
      <c r="C107" s="29">
        <v>751.49999999999955</v>
      </c>
      <c r="D107" s="27">
        <v>29240</v>
      </c>
      <c r="E107" s="27">
        <v>40.900000000000098</v>
      </c>
      <c r="F107" s="27">
        <v>40.900000000000098</v>
      </c>
      <c r="G107" s="27">
        <f>表1[[#This Row],[m_melee]]</f>
        <v>40.900000000000098</v>
      </c>
      <c r="H107" s="27">
        <f>表1[[#This Row],[m_laser]]</f>
        <v>40.900000000000098</v>
      </c>
    </row>
    <row r="108" spans="1:8" x14ac:dyDescent="0.3">
      <c r="A108" s="27">
        <v>105</v>
      </c>
      <c r="B108" s="28">
        <v>759.49999999999955</v>
      </c>
      <c r="C108" s="29">
        <v>759.49999999999955</v>
      </c>
      <c r="D108" s="27">
        <v>29520</v>
      </c>
      <c r="E108" s="27">
        <v>41.200000000000102</v>
      </c>
      <c r="F108" s="27">
        <v>41.200000000000102</v>
      </c>
      <c r="G108" s="27">
        <f>表1[[#This Row],[m_melee]]</f>
        <v>41.200000000000102</v>
      </c>
      <c r="H108" s="27">
        <f>表1[[#This Row],[m_laser]]</f>
        <v>41.200000000000102</v>
      </c>
    </row>
    <row r="109" spans="1:8" x14ac:dyDescent="0.3">
      <c r="A109" s="27">
        <v>106</v>
      </c>
      <c r="B109" s="28">
        <v>767.49999999999955</v>
      </c>
      <c r="C109" s="29">
        <v>767.49999999999955</v>
      </c>
      <c r="D109" s="27">
        <v>29800</v>
      </c>
      <c r="E109" s="27">
        <v>41.500000000000099</v>
      </c>
      <c r="F109" s="27">
        <v>41.500000000000099</v>
      </c>
      <c r="G109" s="27">
        <f>表1[[#This Row],[m_melee]]</f>
        <v>41.500000000000099</v>
      </c>
      <c r="H109" s="27">
        <f>表1[[#This Row],[m_laser]]</f>
        <v>41.500000000000099</v>
      </c>
    </row>
    <row r="110" spans="1:8" x14ac:dyDescent="0.3">
      <c r="A110" s="27">
        <v>107</v>
      </c>
      <c r="B110" s="28">
        <v>775.49999999999955</v>
      </c>
      <c r="C110" s="29">
        <v>775.49999999999955</v>
      </c>
      <c r="D110" s="27">
        <v>30080</v>
      </c>
      <c r="E110" s="27">
        <v>41.800000000000097</v>
      </c>
      <c r="F110" s="27">
        <v>41.800000000000097</v>
      </c>
      <c r="G110" s="27">
        <f>表1[[#This Row],[m_melee]]</f>
        <v>41.800000000000097</v>
      </c>
      <c r="H110" s="27">
        <f>表1[[#This Row],[m_laser]]</f>
        <v>41.800000000000097</v>
      </c>
    </row>
    <row r="111" spans="1:8" x14ac:dyDescent="0.3">
      <c r="A111" s="27">
        <v>108</v>
      </c>
      <c r="B111" s="28">
        <v>783.49999999999955</v>
      </c>
      <c r="C111" s="29">
        <v>783.49999999999955</v>
      </c>
      <c r="D111" s="27">
        <v>30360</v>
      </c>
      <c r="E111" s="27">
        <v>42.100000000000101</v>
      </c>
      <c r="F111" s="27">
        <v>42.100000000000101</v>
      </c>
      <c r="G111" s="27">
        <f>表1[[#This Row],[m_melee]]</f>
        <v>42.100000000000101</v>
      </c>
      <c r="H111" s="27">
        <f>表1[[#This Row],[m_laser]]</f>
        <v>42.100000000000101</v>
      </c>
    </row>
    <row r="112" spans="1:8" x14ac:dyDescent="0.3">
      <c r="A112" s="27">
        <v>109</v>
      </c>
      <c r="B112" s="28">
        <v>791.49999999999955</v>
      </c>
      <c r="C112" s="29">
        <v>791.49999999999955</v>
      </c>
      <c r="D112" s="27">
        <v>30640</v>
      </c>
      <c r="E112" s="27">
        <v>42.400000000000098</v>
      </c>
      <c r="F112" s="27">
        <v>42.400000000000098</v>
      </c>
      <c r="G112" s="27">
        <f>表1[[#This Row],[m_melee]]</f>
        <v>42.400000000000098</v>
      </c>
      <c r="H112" s="27">
        <f>表1[[#This Row],[m_laser]]</f>
        <v>42.400000000000098</v>
      </c>
    </row>
    <row r="113" spans="1:8" x14ac:dyDescent="0.3">
      <c r="A113" s="27">
        <v>110</v>
      </c>
      <c r="B113" s="28">
        <v>799.49999999999955</v>
      </c>
      <c r="C113" s="29">
        <v>799.49999999999955</v>
      </c>
      <c r="D113" s="27">
        <v>30920</v>
      </c>
      <c r="E113" s="27">
        <v>42.700000000000102</v>
      </c>
      <c r="F113" s="27">
        <v>42.700000000000102</v>
      </c>
      <c r="G113" s="27">
        <f>表1[[#This Row],[m_melee]]</f>
        <v>42.700000000000102</v>
      </c>
      <c r="H113" s="27">
        <f>表1[[#This Row],[m_laser]]</f>
        <v>42.700000000000102</v>
      </c>
    </row>
    <row r="114" spans="1:8" x14ac:dyDescent="0.3">
      <c r="A114" s="27">
        <v>111</v>
      </c>
      <c r="B114" s="28">
        <v>807.49999999999955</v>
      </c>
      <c r="C114" s="29">
        <v>807.49999999999955</v>
      </c>
      <c r="D114" s="27">
        <v>31200</v>
      </c>
      <c r="E114" s="27">
        <v>43.000000000000099</v>
      </c>
      <c r="F114" s="27">
        <v>43.000000000000099</v>
      </c>
      <c r="G114" s="27">
        <f>表1[[#This Row],[m_melee]]</f>
        <v>43.000000000000099</v>
      </c>
      <c r="H114" s="27">
        <f>表1[[#This Row],[m_laser]]</f>
        <v>43.000000000000099</v>
      </c>
    </row>
    <row r="115" spans="1:8" x14ac:dyDescent="0.3">
      <c r="A115" s="27">
        <v>112</v>
      </c>
      <c r="B115" s="28">
        <v>815.49999999999955</v>
      </c>
      <c r="C115" s="29">
        <v>815.49999999999955</v>
      </c>
      <c r="D115" s="27">
        <v>31480</v>
      </c>
      <c r="E115" s="27">
        <v>43.300000000000097</v>
      </c>
      <c r="F115" s="27">
        <v>43.300000000000097</v>
      </c>
      <c r="G115" s="27">
        <f>表1[[#This Row],[m_melee]]</f>
        <v>43.300000000000097</v>
      </c>
      <c r="H115" s="27">
        <f>表1[[#This Row],[m_laser]]</f>
        <v>43.300000000000097</v>
      </c>
    </row>
    <row r="116" spans="1:8" x14ac:dyDescent="0.3">
      <c r="A116" s="27">
        <v>113</v>
      </c>
      <c r="B116" s="28">
        <v>823.49999999999955</v>
      </c>
      <c r="C116" s="29">
        <v>823.49999999999955</v>
      </c>
      <c r="D116" s="27">
        <v>31760</v>
      </c>
      <c r="E116" s="27">
        <v>43.600000000000101</v>
      </c>
      <c r="F116" s="27">
        <v>43.600000000000101</v>
      </c>
      <c r="G116" s="27">
        <f>表1[[#This Row],[m_melee]]</f>
        <v>43.600000000000101</v>
      </c>
      <c r="H116" s="27">
        <f>表1[[#This Row],[m_laser]]</f>
        <v>43.600000000000101</v>
      </c>
    </row>
    <row r="117" spans="1:8" x14ac:dyDescent="0.3">
      <c r="A117" s="27">
        <v>114</v>
      </c>
      <c r="B117" s="28">
        <v>831.49999999999955</v>
      </c>
      <c r="C117" s="29">
        <v>831.49999999999955</v>
      </c>
      <c r="D117" s="27">
        <v>32040</v>
      </c>
      <c r="E117" s="27">
        <v>43.900000000000098</v>
      </c>
      <c r="F117" s="27">
        <v>43.900000000000098</v>
      </c>
      <c r="G117" s="27">
        <f>表1[[#This Row],[m_melee]]</f>
        <v>43.900000000000098</v>
      </c>
      <c r="H117" s="27">
        <f>表1[[#This Row],[m_laser]]</f>
        <v>43.900000000000098</v>
      </c>
    </row>
    <row r="118" spans="1:8" x14ac:dyDescent="0.3">
      <c r="A118" s="27">
        <v>115</v>
      </c>
      <c r="B118" s="28">
        <v>839.49999999999955</v>
      </c>
      <c r="C118" s="29">
        <v>839.49999999999955</v>
      </c>
      <c r="D118" s="27">
        <v>32320</v>
      </c>
      <c r="E118" s="27">
        <v>44.200000000000102</v>
      </c>
      <c r="F118" s="27">
        <v>44.200000000000102</v>
      </c>
      <c r="G118" s="27">
        <f>表1[[#This Row],[m_melee]]</f>
        <v>44.200000000000102</v>
      </c>
      <c r="H118" s="27">
        <f>表1[[#This Row],[m_laser]]</f>
        <v>44.200000000000102</v>
      </c>
    </row>
    <row r="119" spans="1:8" x14ac:dyDescent="0.3">
      <c r="A119" s="27">
        <v>116</v>
      </c>
      <c r="B119" s="28">
        <v>847.49999999999955</v>
      </c>
      <c r="C119" s="29">
        <v>847.49999999999955</v>
      </c>
      <c r="D119" s="27">
        <v>32600</v>
      </c>
      <c r="E119" s="27">
        <v>44.500000000000099</v>
      </c>
      <c r="F119" s="27">
        <v>44.500000000000099</v>
      </c>
      <c r="G119" s="27">
        <f>表1[[#This Row],[m_melee]]</f>
        <v>44.500000000000099</v>
      </c>
      <c r="H119" s="27">
        <f>表1[[#This Row],[m_laser]]</f>
        <v>44.500000000000099</v>
      </c>
    </row>
    <row r="120" spans="1:8" x14ac:dyDescent="0.3">
      <c r="A120" s="27">
        <v>117</v>
      </c>
      <c r="B120" s="28">
        <v>855.49999999999955</v>
      </c>
      <c r="C120" s="29">
        <v>855.49999999999955</v>
      </c>
      <c r="D120" s="27">
        <v>32880</v>
      </c>
      <c r="E120" s="27">
        <v>44.800000000000097</v>
      </c>
      <c r="F120" s="27">
        <v>44.800000000000097</v>
      </c>
      <c r="G120" s="27">
        <f>表1[[#This Row],[m_melee]]</f>
        <v>44.800000000000097</v>
      </c>
      <c r="H120" s="27">
        <f>表1[[#This Row],[m_laser]]</f>
        <v>44.800000000000097</v>
      </c>
    </row>
    <row r="121" spans="1:8" x14ac:dyDescent="0.3">
      <c r="A121" s="27">
        <v>118</v>
      </c>
      <c r="B121" s="28">
        <v>863.49999999999955</v>
      </c>
      <c r="C121" s="29">
        <v>863.49999999999955</v>
      </c>
      <c r="D121" s="27">
        <v>33160</v>
      </c>
      <c r="E121" s="27">
        <v>45.100000000000101</v>
      </c>
      <c r="F121" s="27">
        <v>45.100000000000101</v>
      </c>
      <c r="G121" s="27">
        <f>表1[[#This Row],[m_melee]]</f>
        <v>45.100000000000101</v>
      </c>
      <c r="H121" s="27">
        <f>表1[[#This Row],[m_laser]]</f>
        <v>45.100000000000101</v>
      </c>
    </row>
    <row r="122" spans="1:8" x14ac:dyDescent="0.3">
      <c r="A122" s="27">
        <v>119</v>
      </c>
      <c r="B122" s="28">
        <v>871.49999999999955</v>
      </c>
      <c r="C122" s="29">
        <v>871.49999999999955</v>
      </c>
      <c r="D122" s="27">
        <v>33440</v>
      </c>
      <c r="E122" s="27">
        <v>45.400000000000098</v>
      </c>
      <c r="F122" s="27">
        <v>45.400000000000098</v>
      </c>
      <c r="G122" s="27">
        <f>表1[[#This Row],[m_melee]]</f>
        <v>45.400000000000098</v>
      </c>
      <c r="H122" s="27">
        <f>表1[[#This Row],[m_laser]]</f>
        <v>45.400000000000098</v>
      </c>
    </row>
    <row r="123" spans="1:8" x14ac:dyDescent="0.3">
      <c r="A123" s="27">
        <v>120</v>
      </c>
      <c r="B123" s="28">
        <v>879.49999999999955</v>
      </c>
      <c r="C123" s="29">
        <v>879.49999999999955</v>
      </c>
      <c r="D123" s="27">
        <v>33720</v>
      </c>
      <c r="E123" s="27">
        <v>45.700000000000102</v>
      </c>
      <c r="F123" s="27">
        <v>45.700000000000102</v>
      </c>
      <c r="G123" s="27">
        <f>表1[[#This Row],[m_melee]]</f>
        <v>45.700000000000102</v>
      </c>
      <c r="H123" s="27">
        <f>表1[[#This Row],[m_laser]]</f>
        <v>45.700000000000102</v>
      </c>
    </row>
    <row r="124" spans="1:8" x14ac:dyDescent="0.3">
      <c r="A124" s="27">
        <v>121</v>
      </c>
      <c r="B124" s="28">
        <v>887.49999999999955</v>
      </c>
      <c r="C124" s="29">
        <v>887.49999999999955</v>
      </c>
      <c r="D124" s="27">
        <v>34000</v>
      </c>
      <c r="E124" s="27">
        <v>46.000000000000099</v>
      </c>
      <c r="F124" s="27">
        <v>46.000000000000099</v>
      </c>
      <c r="G124" s="27">
        <f>表1[[#This Row],[m_melee]]</f>
        <v>46.000000000000099</v>
      </c>
      <c r="H124" s="27">
        <f>表1[[#This Row],[m_laser]]</f>
        <v>46.000000000000099</v>
      </c>
    </row>
    <row r="125" spans="1:8" x14ac:dyDescent="0.3">
      <c r="A125" s="27">
        <v>122</v>
      </c>
      <c r="B125" s="28">
        <v>895.49999999999955</v>
      </c>
      <c r="C125" s="29">
        <v>895.49999999999955</v>
      </c>
      <c r="D125" s="27">
        <v>34280</v>
      </c>
      <c r="E125" s="27">
        <v>46.300000000000097</v>
      </c>
      <c r="F125" s="27">
        <v>46.300000000000097</v>
      </c>
      <c r="G125" s="27">
        <f>表1[[#This Row],[m_melee]]</f>
        <v>46.300000000000097</v>
      </c>
      <c r="H125" s="27">
        <f>表1[[#This Row],[m_laser]]</f>
        <v>46.300000000000097</v>
      </c>
    </row>
    <row r="126" spans="1:8" x14ac:dyDescent="0.3">
      <c r="A126" s="27">
        <v>123</v>
      </c>
      <c r="B126" s="28">
        <v>903.49999999999943</v>
      </c>
      <c r="C126" s="29">
        <v>903.49999999999943</v>
      </c>
      <c r="D126" s="27">
        <v>34560</v>
      </c>
      <c r="E126" s="27">
        <v>46.600000000000101</v>
      </c>
      <c r="F126" s="27">
        <v>46.600000000000101</v>
      </c>
      <c r="G126" s="27">
        <f>表1[[#This Row],[m_melee]]</f>
        <v>46.600000000000101</v>
      </c>
      <c r="H126" s="27">
        <f>表1[[#This Row],[m_laser]]</f>
        <v>46.600000000000101</v>
      </c>
    </row>
    <row r="127" spans="1:8" x14ac:dyDescent="0.3">
      <c r="A127" s="27">
        <v>124</v>
      </c>
      <c r="B127" s="28">
        <v>911.49999999999943</v>
      </c>
      <c r="C127" s="29">
        <v>911.49999999999943</v>
      </c>
      <c r="D127" s="27">
        <v>34840</v>
      </c>
      <c r="E127" s="27">
        <v>46.900000000000098</v>
      </c>
      <c r="F127" s="27">
        <v>46.900000000000098</v>
      </c>
      <c r="G127" s="27">
        <f>表1[[#This Row],[m_melee]]</f>
        <v>46.900000000000098</v>
      </c>
      <c r="H127" s="27">
        <f>表1[[#This Row],[m_laser]]</f>
        <v>46.900000000000098</v>
      </c>
    </row>
    <row r="128" spans="1:8" x14ac:dyDescent="0.3">
      <c r="A128" s="27">
        <v>125</v>
      </c>
      <c r="B128" s="28">
        <v>919.49999999999943</v>
      </c>
      <c r="C128" s="29">
        <v>919.49999999999943</v>
      </c>
      <c r="D128" s="27">
        <v>35120</v>
      </c>
      <c r="E128" s="27">
        <v>47.200000000000102</v>
      </c>
      <c r="F128" s="27">
        <v>47.200000000000102</v>
      </c>
      <c r="G128" s="27">
        <f>表1[[#This Row],[m_melee]]</f>
        <v>47.200000000000102</v>
      </c>
      <c r="H128" s="27">
        <f>表1[[#This Row],[m_laser]]</f>
        <v>47.200000000000102</v>
      </c>
    </row>
    <row r="129" spans="1:8" x14ac:dyDescent="0.3">
      <c r="A129" s="27">
        <v>126</v>
      </c>
      <c r="B129" s="28">
        <v>927.49999999999943</v>
      </c>
      <c r="C129" s="29">
        <v>927.49999999999943</v>
      </c>
      <c r="D129" s="27">
        <v>35400</v>
      </c>
      <c r="E129" s="27">
        <v>47.500000000000099</v>
      </c>
      <c r="F129" s="27">
        <v>47.500000000000099</v>
      </c>
      <c r="G129" s="27">
        <f>表1[[#This Row],[m_melee]]</f>
        <v>47.500000000000099</v>
      </c>
      <c r="H129" s="27">
        <f>表1[[#This Row],[m_laser]]</f>
        <v>47.500000000000099</v>
      </c>
    </row>
    <row r="130" spans="1:8" x14ac:dyDescent="0.3">
      <c r="A130" s="27">
        <v>127</v>
      </c>
      <c r="B130" s="28">
        <v>935.49999999999943</v>
      </c>
      <c r="C130" s="29">
        <v>935.49999999999943</v>
      </c>
      <c r="D130" s="27">
        <v>35680</v>
      </c>
      <c r="E130" s="27">
        <v>47.800000000000097</v>
      </c>
      <c r="F130" s="27">
        <v>47.800000000000097</v>
      </c>
      <c r="G130" s="27">
        <f>表1[[#This Row],[m_melee]]</f>
        <v>47.800000000000097</v>
      </c>
      <c r="H130" s="27">
        <f>表1[[#This Row],[m_laser]]</f>
        <v>47.800000000000097</v>
      </c>
    </row>
    <row r="131" spans="1:8" x14ac:dyDescent="0.3">
      <c r="A131" s="27">
        <v>128</v>
      </c>
      <c r="B131" s="28">
        <v>943.49999999999943</v>
      </c>
      <c r="C131" s="29">
        <v>943.49999999999943</v>
      </c>
      <c r="D131" s="27">
        <v>35960</v>
      </c>
      <c r="E131" s="27">
        <v>48.100000000000101</v>
      </c>
      <c r="F131" s="27">
        <v>48.100000000000101</v>
      </c>
      <c r="G131" s="27">
        <f>表1[[#This Row],[m_melee]]</f>
        <v>48.100000000000101</v>
      </c>
      <c r="H131" s="27">
        <f>表1[[#This Row],[m_laser]]</f>
        <v>48.100000000000101</v>
      </c>
    </row>
    <row r="132" spans="1:8" x14ac:dyDescent="0.3">
      <c r="A132" s="27">
        <v>129</v>
      </c>
      <c r="B132" s="28">
        <v>951.49999999999943</v>
      </c>
      <c r="C132" s="29">
        <v>951.49999999999943</v>
      </c>
      <c r="D132" s="27">
        <v>36240</v>
      </c>
      <c r="E132" s="27">
        <v>48.400000000000098</v>
      </c>
      <c r="F132" s="27">
        <v>48.400000000000098</v>
      </c>
      <c r="G132" s="27">
        <f>表1[[#This Row],[m_melee]]</f>
        <v>48.400000000000098</v>
      </c>
      <c r="H132" s="27">
        <f>表1[[#This Row],[m_laser]]</f>
        <v>48.400000000000098</v>
      </c>
    </row>
    <row r="133" spans="1:8" x14ac:dyDescent="0.3">
      <c r="A133" s="27">
        <v>130</v>
      </c>
      <c r="B133" s="28">
        <v>959.49999999999943</v>
      </c>
      <c r="C133" s="29">
        <v>959.49999999999943</v>
      </c>
      <c r="D133" s="27">
        <v>36520</v>
      </c>
      <c r="E133" s="27">
        <v>48.700000000000102</v>
      </c>
      <c r="F133" s="27">
        <v>48.700000000000102</v>
      </c>
      <c r="G133" s="27">
        <f>表1[[#This Row],[m_melee]]</f>
        <v>48.700000000000102</v>
      </c>
      <c r="H133" s="27">
        <f>表1[[#This Row],[m_laser]]</f>
        <v>48.700000000000102</v>
      </c>
    </row>
    <row r="134" spans="1:8" x14ac:dyDescent="0.3">
      <c r="A134" s="27">
        <v>131</v>
      </c>
      <c r="B134" s="28">
        <v>967.49999999999943</v>
      </c>
      <c r="C134" s="29">
        <v>967.49999999999943</v>
      </c>
      <c r="D134" s="27">
        <v>36800</v>
      </c>
      <c r="E134" s="27">
        <v>49.000000000000099</v>
      </c>
      <c r="F134" s="27">
        <v>49.000000000000099</v>
      </c>
      <c r="G134" s="27">
        <f>表1[[#This Row],[m_melee]]</f>
        <v>49.000000000000099</v>
      </c>
      <c r="H134" s="27">
        <f>表1[[#This Row],[m_laser]]</f>
        <v>49.000000000000099</v>
      </c>
    </row>
    <row r="135" spans="1:8" x14ac:dyDescent="0.3">
      <c r="A135" s="27">
        <v>132</v>
      </c>
      <c r="B135" s="28">
        <v>975.49999999999943</v>
      </c>
      <c r="C135" s="29">
        <v>975.49999999999943</v>
      </c>
      <c r="D135" s="27">
        <v>37080</v>
      </c>
      <c r="E135" s="27">
        <v>49.300000000000097</v>
      </c>
      <c r="F135" s="27">
        <v>49.300000000000097</v>
      </c>
      <c r="G135" s="27">
        <f>表1[[#This Row],[m_melee]]</f>
        <v>49.300000000000097</v>
      </c>
      <c r="H135" s="27">
        <f>表1[[#This Row],[m_laser]]</f>
        <v>49.300000000000097</v>
      </c>
    </row>
    <row r="136" spans="1:8" x14ac:dyDescent="0.3">
      <c r="A136" s="27">
        <v>133</v>
      </c>
      <c r="B136" s="28">
        <v>983.49999999999932</v>
      </c>
      <c r="C136" s="29">
        <v>983.49999999999932</v>
      </c>
      <c r="D136" s="27">
        <v>37360</v>
      </c>
      <c r="E136" s="27">
        <v>49.600000000000101</v>
      </c>
      <c r="F136" s="27">
        <v>49.600000000000101</v>
      </c>
      <c r="G136" s="27">
        <f>表1[[#This Row],[m_melee]]</f>
        <v>49.600000000000101</v>
      </c>
      <c r="H136" s="27">
        <f>表1[[#This Row],[m_laser]]</f>
        <v>49.600000000000101</v>
      </c>
    </row>
    <row r="137" spans="1:8" x14ac:dyDescent="0.3">
      <c r="A137" s="27">
        <v>134</v>
      </c>
      <c r="B137" s="28">
        <v>991.49999999999932</v>
      </c>
      <c r="C137" s="29">
        <v>991.49999999999932</v>
      </c>
      <c r="D137" s="27">
        <v>37640</v>
      </c>
      <c r="E137" s="27">
        <v>49.900000000000098</v>
      </c>
      <c r="F137" s="27">
        <v>49.900000000000098</v>
      </c>
      <c r="G137" s="27">
        <f>表1[[#This Row],[m_melee]]</f>
        <v>49.900000000000098</v>
      </c>
      <c r="H137" s="27">
        <f>表1[[#This Row],[m_laser]]</f>
        <v>49.900000000000098</v>
      </c>
    </row>
    <row r="138" spans="1:8" x14ac:dyDescent="0.3">
      <c r="A138" s="27">
        <v>135</v>
      </c>
      <c r="B138" s="28">
        <v>999.49999999999932</v>
      </c>
      <c r="C138" s="29">
        <v>999.49999999999932</v>
      </c>
      <c r="D138" s="27">
        <v>37920</v>
      </c>
      <c r="E138" s="27">
        <v>50.200000000000102</v>
      </c>
      <c r="F138" s="27">
        <v>50.200000000000102</v>
      </c>
      <c r="G138" s="27">
        <f>表1[[#This Row],[m_melee]]</f>
        <v>50.200000000000102</v>
      </c>
      <c r="H138" s="27">
        <f>表1[[#This Row],[m_laser]]</f>
        <v>50.200000000000102</v>
      </c>
    </row>
    <row r="139" spans="1:8" x14ac:dyDescent="0.3">
      <c r="A139" s="27">
        <v>136</v>
      </c>
      <c r="B139" s="28">
        <v>1007.4999999999993</v>
      </c>
      <c r="C139" s="29">
        <v>1007.4999999999993</v>
      </c>
      <c r="D139" s="27">
        <v>38200</v>
      </c>
      <c r="E139" s="27">
        <v>50.500000000000099</v>
      </c>
      <c r="F139" s="27">
        <v>50.500000000000099</v>
      </c>
      <c r="G139" s="27">
        <f>表1[[#This Row],[m_melee]]</f>
        <v>50.500000000000099</v>
      </c>
      <c r="H139" s="27">
        <f>表1[[#This Row],[m_laser]]</f>
        <v>50.500000000000099</v>
      </c>
    </row>
    <row r="140" spans="1:8" x14ac:dyDescent="0.3">
      <c r="A140" s="27">
        <v>137</v>
      </c>
      <c r="B140" s="28">
        <v>1015.4999999999993</v>
      </c>
      <c r="C140" s="29">
        <v>1015.4999999999993</v>
      </c>
      <c r="D140" s="27">
        <v>38480</v>
      </c>
      <c r="E140" s="27">
        <v>50.800000000000097</v>
      </c>
      <c r="F140" s="27">
        <v>50.800000000000097</v>
      </c>
      <c r="G140" s="27">
        <f>表1[[#This Row],[m_melee]]</f>
        <v>50.800000000000097</v>
      </c>
      <c r="H140" s="27">
        <f>表1[[#This Row],[m_laser]]</f>
        <v>50.800000000000097</v>
      </c>
    </row>
    <row r="141" spans="1:8" x14ac:dyDescent="0.3">
      <c r="A141" s="27">
        <v>138</v>
      </c>
      <c r="B141" s="28">
        <v>1023.4999999999993</v>
      </c>
      <c r="C141" s="29">
        <v>1023.4999999999993</v>
      </c>
      <c r="D141" s="27">
        <v>38760</v>
      </c>
      <c r="E141" s="27">
        <v>51.100000000000101</v>
      </c>
      <c r="F141" s="27">
        <v>51.100000000000101</v>
      </c>
      <c r="G141" s="27">
        <f>表1[[#This Row],[m_melee]]</f>
        <v>51.100000000000101</v>
      </c>
      <c r="H141" s="27">
        <f>表1[[#This Row],[m_laser]]</f>
        <v>51.100000000000101</v>
      </c>
    </row>
    <row r="142" spans="1:8" x14ac:dyDescent="0.3">
      <c r="A142" s="27">
        <v>139</v>
      </c>
      <c r="B142" s="28">
        <v>1031.4999999999993</v>
      </c>
      <c r="C142" s="29">
        <v>1031.4999999999993</v>
      </c>
      <c r="D142" s="27">
        <v>39040</v>
      </c>
      <c r="E142" s="27">
        <v>51.400000000000098</v>
      </c>
      <c r="F142" s="27">
        <v>51.400000000000098</v>
      </c>
      <c r="G142" s="27">
        <f>表1[[#This Row],[m_melee]]</f>
        <v>51.400000000000098</v>
      </c>
      <c r="H142" s="27">
        <f>表1[[#This Row],[m_laser]]</f>
        <v>51.400000000000098</v>
      </c>
    </row>
    <row r="143" spans="1:8" x14ac:dyDescent="0.3">
      <c r="A143" s="27">
        <v>140</v>
      </c>
      <c r="B143" s="28">
        <v>1039.4999999999993</v>
      </c>
      <c r="C143" s="29">
        <v>1039.4999999999993</v>
      </c>
      <c r="D143" s="27">
        <v>39320</v>
      </c>
      <c r="E143" s="27">
        <v>51.700000000000102</v>
      </c>
      <c r="F143" s="27">
        <v>51.700000000000102</v>
      </c>
      <c r="G143" s="27">
        <f>表1[[#This Row],[m_melee]]</f>
        <v>51.700000000000102</v>
      </c>
      <c r="H143" s="27">
        <f>表1[[#This Row],[m_laser]]</f>
        <v>51.700000000000102</v>
      </c>
    </row>
    <row r="144" spans="1:8" x14ac:dyDescent="0.3">
      <c r="A144" s="27">
        <v>141</v>
      </c>
      <c r="B144" s="28">
        <v>1047.4999999999993</v>
      </c>
      <c r="C144" s="29">
        <v>1047.4999999999993</v>
      </c>
      <c r="D144" s="27">
        <v>39600</v>
      </c>
      <c r="E144" s="27">
        <v>52.000000000000099</v>
      </c>
      <c r="F144" s="27">
        <v>52.000000000000099</v>
      </c>
      <c r="G144" s="27">
        <f>表1[[#This Row],[m_melee]]</f>
        <v>52.000000000000099</v>
      </c>
      <c r="H144" s="27">
        <f>表1[[#This Row],[m_laser]]</f>
        <v>52.000000000000099</v>
      </c>
    </row>
    <row r="145" spans="1:8" x14ac:dyDescent="0.3">
      <c r="A145" s="27">
        <v>142</v>
      </c>
      <c r="B145" s="28">
        <v>1055.4999999999993</v>
      </c>
      <c r="C145" s="29">
        <v>1055.4999999999993</v>
      </c>
      <c r="D145" s="27">
        <v>39880</v>
      </c>
      <c r="E145" s="27">
        <v>52.300000000000097</v>
      </c>
      <c r="F145" s="27">
        <v>52.300000000000097</v>
      </c>
      <c r="G145" s="27">
        <f>表1[[#This Row],[m_melee]]</f>
        <v>52.300000000000097</v>
      </c>
      <c r="H145" s="27">
        <f>表1[[#This Row],[m_laser]]</f>
        <v>52.300000000000097</v>
      </c>
    </row>
    <row r="146" spans="1:8" x14ac:dyDescent="0.3">
      <c r="A146" s="27">
        <v>143</v>
      </c>
      <c r="B146" s="28">
        <v>1063.4999999999993</v>
      </c>
      <c r="C146" s="29">
        <v>1063.4999999999993</v>
      </c>
      <c r="D146" s="27">
        <v>40160</v>
      </c>
      <c r="E146" s="27">
        <v>52.600000000000101</v>
      </c>
      <c r="F146" s="27">
        <v>52.600000000000101</v>
      </c>
      <c r="G146" s="27">
        <f>表1[[#This Row],[m_melee]]</f>
        <v>52.600000000000101</v>
      </c>
      <c r="H146" s="27">
        <f>表1[[#This Row],[m_laser]]</f>
        <v>52.600000000000101</v>
      </c>
    </row>
    <row r="147" spans="1:8" x14ac:dyDescent="0.3">
      <c r="A147" s="27">
        <v>144</v>
      </c>
      <c r="B147" s="28">
        <v>1071.4999999999993</v>
      </c>
      <c r="C147" s="29">
        <v>1071.4999999999993</v>
      </c>
      <c r="D147" s="27">
        <v>40440</v>
      </c>
      <c r="E147" s="27">
        <v>52.900000000000098</v>
      </c>
      <c r="F147" s="27">
        <v>52.900000000000098</v>
      </c>
      <c r="G147" s="27">
        <f>表1[[#This Row],[m_melee]]</f>
        <v>52.900000000000098</v>
      </c>
      <c r="H147" s="27">
        <f>表1[[#This Row],[m_laser]]</f>
        <v>52.900000000000098</v>
      </c>
    </row>
    <row r="148" spans="1:8" x14ac:dyDescent="0.3">
      <c r="A148" s="27">
        <v>145</v>
      </c>
      <c r="B148" s="28">
        <v>1079.4999999999993</v>
      </c>
      <c r="C148" s="29">
        <v>1079.4999999999993</v>
      </c>
      <c r="D148" s="27">
        <v>40720</v>
      </c>
      <c r="E148" s="27">
        <v>53.200000000000102</v>
      </c>
      <c r="F148" s="27">
        <v>53.200000000000102</v>
      </c>
      <c r="G148" s="27">
        <f>表1[[#This Row],[m_melee]]</f>
        <v>53.200000000000102</v>
      </c>
      <c r="H148" s="27">
        <f>表1[[#This Row],[m_laser]]</f>
        <v>53.200000000000102</v>
      </c>
    </row>
    <row r="149" spans="1:8" x14ac:dyDescent="0.3">
      <c r="A149" s="27">
        <v>146</v>
      </c>
      <c r="B149" s="28">
        <v>1087.4999999999993</v>
      </c>
      <c r="C149" s="29">
        <v>1087.4999999999993</v>
      </c>
      <c r="D149" s="27">
        <v>41000</v>
      </c>
      <c r="E149" s="27">
        <v>53.500000000000099</v>
      </c>
      <c r="F149" s="27">
        <v>53.500000000000099</v>
      </c>
      <c r="G149" s="27">
        <f>表1[[#This Row],[m_melee]]</f>
        <v>53.500000000000099</v>
      </c>
      <c r="H149" s="27">
        <f>表1[[#This Row],[m_laser]]</f>
        <v>53.500000000000099</v>
      </c>
    </row>
    <row r="150" spans="1:8" x14ac:dyDescent="0.3">
      <c r="A150" s="27">
        <v>147</v>
      </c>
      <c r="B150" s="28">
        <v>1095.4999999999993</v>
      </c>
      <c r="C150" s="29">
        <v>1095.4999999999993</v>
      </c>
      <c r="D150" s="27">
        <v>41280</v>
      </c>
      <c r="E150" s="27">
        <v>53.800000000000097</v>
      </c>
      <c r="F150" s="27">
        <v>53.800000000000097</v>
      </c>
      <c r="G150" s="27">
        <f>表1[[#This Row],[m_melee]]</f>
        <v>53.800000000000097</v>
      </c>
      <c r="H150" s="27">
        <f>表1[[#This Row],[m_laser]]</f>
        <v>53.800000000000097</v>
      </c>
    </row>
    <row r="151" spans="1:8" x14ac:dyDescent="0.3">
      <c r="A151" s="27">
        <v>148</v>
      </c>
      <c r="B151" s="28">
        <v>1103.4999999999993</v>
      </c>
      <c r="C151" s="29">
        <v>1103.4999999999993</v>
      </c>
      <c r="D151" s="27">
        <v>41560</v>
      </c>
      <c r="E151" s="27">
        <v>54.100000000000101</v>
      </c>
      <c r="F151" s="27">
        <v>54.100000000000101</v>
      </c>
      <c r="G151" s="27">
        <f>表1[[#This Row],[m_melee]]</f>
        <v>54.100000000000101</v>
      </c>
      <c r="H151" s="27">
        <f>表1[[#This Row],[m_laser]]</f>
        <v>54.100000000000101</v>
      </c>
    </row>
    <row r="152" spans="1:8" x14ac:dyDescent="0.3">
      <c r="A152" s="27">
        <v>149</v>
      </c>
      <c r="B152" s="28">
        <v>1111.4999999999993</v>
      </c>
      <c r="C152" s="29">
        <v>1111.4999999999993</v>
      </c>
      <c r="D152" s="27">
        <v>41840</v>
      </c>
      <c r="E152" s="27">
        <v>54.400000000000098</v>
      </c>
      <c r="F152" s="27">
        <v>54.400000000000098</v>
      </c>
      <c r="G152" s="27">
        <f>表1[[#This Row],[m_melee]]</f>
        <v>54.400000000000098</v>
      </c>
      <c r="H152" s="27">
        <f>表1[[#This Row],[m_laser]]</f>
        <v>54.400000000000098</v>
      </c>
    </row>
    <row r="153" spans="1:8" x14ac:dyDescent="0.3">
      <c r="A153" s="27">
        <v>150</v>
      </c>
      <c r="B153" s="28">
        <v>1119.4999999999993</v>
      </c>
      <c r="C153" s="29">
        <v>1119.4999999999993</v>
      </c>
      <c r="D153" s="27">
        <v>42120</v>
      </c>
      <c r="E153" s="27">
        <v>54.700000000000102</v>
      </c>
      <c r="F153" s="27">
        <v>54.700000000000102</v>
      </c>
      <c r="G153" s="27">
        <f>表1[[#This Row],[m_melee]]</f>
        <v>54.700000000000102</v>
      </c>
      <c r="H153" s="27">
        <f>表1[[#This Row],[m_laser]]</f>
        <v>54.700000000000102</v>
      </c>
    </row>
    <row r="154" spans="1:8" x14ac:dyDescent="0.3">
      <c r="A154" s="27">
        <v>151</v>
      </c>
      <c r="B154" s="28">
        <v>1127.4999999999993</v>
      </c>
      <c r="C154" s="29">
        <v>1127.4999999999993</v>
      </c>
      <c r="D154" s="27">
        <v>42400</v>
      </c>
      <c r="E154" s="27">
        <v>55.000000000000099</v>
      </c>
      <c r="F154" s="27">
        <v>55.000000000000099</v>
      </c>
      <c r="G154" s="27">
        <f>表1[[#This Row],[m_melee]]</f>
        <v>55.000000000000099</v>
      </c>
      <c r="H154" s="27">
        <f>表1[[#This Row],[m_laser]]</f>
        <v>55.000000000000099</v>
      </c>
    </row>
    <row r="155" spans="1:8" x14ac:dyDescent="0.3">
      <c r="A155" s="27">
        <v>152</v>
      </c>
      <c r="B155" s="28">
        <v>1135.4999999999993</v>
      </c>
      <c r="C155" s="29">
        <v>1135.4999999999993</v>
      </c>
      <c r="D155" s="27">
        <v>42680</v>
      </c>
      <c r="E155" s="27">
        <v>55.300000000000097</v>
      </c>
      <c r="F155" s="27">
        <v>55.300000000000097</v>
      </c>
      <c r="G155" s="27">
        <f>表1[[#This Row],[m_melee]]</f>
        <v>55.300000000000097</v>
      </c>
      <c r="H155" s="27">
        <f>表1[[#This Row],[m_laser]]</f>
        <v>55.300000000000097</v>
      </c>
    </row>
    <row r="156" spans="1:8" x14ac:dyDescent="0.3">
      <c r="A156" s="27">
        <v>153</v>
      </c>
      <c r="B156" s="28">
        <v>1143.4999999999993</v>
      </c>
      <c r="C156" s="29">
        <v>1143.4999999999993</v>
      </c>
      <c r="D156" s="27">
        <v>42960</v>
      </c>
      <c r="E156" s="27">
        <v>55.600000000000101</v>
      </c>
      <c r="F156" s="27">
        <v>55.600000000000101</v>
      </c>
      <c r="G156" s="27">
        <f>表1[[#This Row],[m_melee]]</f>
        <v>55.600000000000101</v>
      </c>
      <c r="H156" s="27">
        <f>表1[[#This Row],[m_laser]]</f>
        <v>55.600000000000101</v>
      </c>
    </row>
    <row r="157" spans="1:8" x14ac:dyDescent="0.3">
      <c r="A157" s="27">
        <v>154</v>
      </c>
      <c r="B157" s="28">
        <v>1151.4999999999993</v>
      </c>
      <c r="C157" s="29">
        <v>1151.4999999999993</v>
      </c>
      <c r="D157" s="27">
        <v>43240</v>
      </c>
      <c r="E157" s="27">
        <v>55.900000000000098</v>
      </c>
      <c r="F157" s="27">
        <v>55.900000000000098</v>
      </c>
      <c r="G157" s="27">
        <f>表1[[#This Row],[m_melee]]</f>
        <v>55.900000000000098</v>
      </c>
      <c r="H157" s="27">
        <f>表1[[#This Row],[m_laser]]</f>
        <v>55.900000000000098</v>
      </c>
    </row>
    <row r="158" spans="1:8" x14ac:dyDescent="0.3">
      <c r="A158" s="27">
        <v>155</v>
      </c>
      <c r="B158" s="28">
        <v>1159.4999999999993</v>
      </c>
      <c r="C158" s="29">
        <v>1159.4999999999993</v>
      </c>
      <c r="D158" s="27">
        <v>43520</v>
      </c>
      <c r="E158" s="27">
        <v>56.200000000000102</v>
      </c>
      <c r="F158" s="27">
        <v>56.200000000000102</v>
      </c>
      <c r="G158" s="27">
        <f>表1[[#This Row],[m_melee]]</f>
        <v>56.200000000000102</v>
      </c>
      <c r="H158" s="27">
        <f>表1[[#This Row],[m_laser]]</f>
        <v>56.200000000000102</v>
      </c>
    </row>
    <row r="159" spans="1:8" x14ac:dyDescent="0.3">
      <c r="A159" s="27">
        <v>156</v>
      </c>
      <c r="B159" s="28">
        <v>1167.4999999999991</v>
      </c>
      <c r="C159" s="29">
        <v>1167.4999999999991</v>
      </c>
      <c r="D159" s="27">
        <v>43800</v>
      </c>
      <c r="E159" s="27">
        <v>56.500000000000099</v>
      </c>
      <c r="F159" s="27">
        <v>56.500000000000099</v>
      </c>
      <c r="G159" s="27">
        <f>表1[[#This Row],[m_melee]]</f>
        <v>56.500000000000099</v>
      </c>
      <c r="H159" s="27">
        <f>表1[[#This Row],[m_laser]]</f>
        <v>56.500000000000099</v>
      </c>
    </row>
    <row r="160" spans="1:8" x14ac:dyDescent="0.3">
      <c r="A160" s="27">
        <v>157</v>
      </c>
      <c r="B160" s="28">
        <v>1175.4999999999991</v>
      </c>
      <c r="C160" s="29">
        <v>1175.4999999999991</v>
      </c>
      <c r="D160" s="27">
        <v>44080</v>
      </c>
      <c r="E160" s="27">
        <v>56.800000000000097</v>
      </c>
      <c r="F160" s="27">
        <v>56.800000000000097</v>
      </c>
      <c r="G160" s="27">
        <f>表1[[#This Row],[m_melee]]</f>
        <v>56.800000000000097</v>
      </c>
      <c r="H160" s="27">
        <f>表1[[#This Row],[m_laser]]</f>
        <v>56.800000000000097</v>
      </c>
    </row>
    <row r="161" spans="1:8" x14ac:dyDescent="0.3">
      <c r="A161" s="27">
        <v>158</v>
      </c>
      <c r="B161" s="28">
        <v>1183.4999999999991</v>
      </c>
      <c r="C161" s="29">
        <v>1183.4999999999991</v>
      </c>
      <c r="D161" s="27">
        <v>44360</v>
      </c>
      <c r="E161" s="27">
        <v>57.100000000000101</v>
      </c>
      <c r="F161" s="27">
        <v>57.100000000000101</v>
      </c>
      <c r="G161" s="27">
        <f>表1[[#This Row],[m_melee]]</f>
        <v>57.100000000000101</v>
      </c>
      <c r="H161" s="27">
        <f>表1[[#This Row],[m_laser]]</f>
        <v>57.100000000000101</v>
      </c>
    </row>
    <row r="162" spans="1:8" x14ac:dyDescent="0.3">
      <c r="A162" s="27">
        <v>159</v>
      </c>
      <c r="B162" s="28">
        <v>1191.4999999999991</v>
      </c>
      <c r="C162" s="29">
        <v>1191.4999999999991</v>
      </c>
      <c r="D162" s="27">
        <v>44640</v>
      </c>
      <c r="E162" s="27">
        <v>57.400000000000098</v>
      </c>
      <c r="F162" s="27">
        <v>57.400000000000098</v>
      </c>
      <c r="G162" s="27">
        <f>表1[[#This Row],[m_melee]]</f>
        <v>57.400000000000098</v>
      </c>
      <c r="H162" s="27">
        <f>表1[[#This Row],[m_laser]]</f>
        <v>57.400000000000098</v>
      </c>
    </row>
    <row r="163" spans="1:8" x14ac:dyDescent="0.3">
      <c r="A163" s="27">
        <v>160</v>
      </c>
      <c r="B163" s="28">
        <v>1199.4999999999991</v>
      </c>
      <c r="C163" s="29">
        <v>1199.4999999999991</v>
      </c>
      <c r="D163" s="27">
        <v>44920</v>
      </c>
      <c r="E163" s="27">
        <v>57.700000000000102</v>
      </c>
      <c r="F163" s="27">
        <v>57.700000000000102</v>
      </c>
      <c r="G163" s="27">
        <f>表1[[#This Row],[m_melee]]</f>
        <v>57.700000000000102</v>
      </c>
      <c r="H163" s="27">
        <f>表1[[#This Row],[m_laser]]</f>
        <v>57.700000000000102</v>
      </c>
    </row>
    <row r="164" spans="1:8" x14ac:dyDescent="0.3">
      <c r="A164" s="27">
        <v>161</v>
      </c>
      <c r="B164" s="28">
        <v>1207.4999999999991</v>
      </c>
      <c r="C164" s="29">
        <v>1207.4999999999991</v>
      </c>
      <c r="D164" s="27">
        <v>45200</v>
      </c>
      <c r="E164" s="27">
        <v>58.000000000000099</v>
      </c>
      <c r="F164" s="27">
        <v>58.000000000000099</v>
      </c>
      <c r="G164" s="27">
        <f>表1[[#This Row],[m_melee]]</f>
        <v>58.000000000000099</v>
      </c>
      <c r="H164" s="27">
        <f>表1[[#This Row],[m_laser]]</f>
        <v>58.000000000000099</v>
      </c>
    </row>
    <row r="165" spans="1:8" x14ac:dyDescent="0.3">
      <c r="A165" s="27">
        <v>162</v>
      </c>
      <c r="B165" s="28">
        <v>1215.4999999999993</v>
      </c>
      <c r="C165" s="29">
        <v>1215.4999999999993</v>
      </c>
      <c r="D165" s="27">
        <v>45480</v>
      </c>
      <c r="E165" s="27">
        <v>58.300000000000097</v>
      </c>
      <c r="F165" s="27">
        <v>58.300000000000097</v>
      </c>
      <c r="G165" s="27">
        <f>表1[[#This Row],[m_melee]]</f>
        <v>58.300000000000097</v>
      </c>
      <c r="H165" s="27">
        <f>表1[[#This Row],[m_laser]]</f>
        <v>58.300000000000097</v>
      </c>
    </row>
    <row r="166" spans="1:8" x14ac:dyDescent="0.3">
      <c r="A166" s="27">
        <v>163</v>
      </c>
      <c r="B166" s="28">
        <v>1223.4999999999993</v>
      </c>
      <c r="C166" s="29">
        <v>1223.4999999999993</v>
      </c>
      <c r="D166" s="27">
        <v>45760</v>
      </c>
      <c r="E166" s="27">
        <v>58.600000000000101</v>
      </c>
      <c r="F166" s="27">
        <v>58.600000000000101</v>
      </c>
      <c r="G166" s="27">
        <f>表1[[#This Row],[m_melee]]</f>
        <v>58.600000000000101</v>
      </c>
      <c r="H166" s="27">
        <f>表1[[#This Row],[m_laser]]</f>
        <v>58.600000000000101</v>
      </c>
    </row>
    <row r="167" spans="1:8" x14ac:dyDescent="0.3">
      <c r="A167" s="27">
        <v>164</v>
      </c>
      <c r="B167" s="28">
        <v>1231.4999999999993</v>
      </c>
      <c r="C167" s="29">
        <v>1231.4999999999993</v>
      </c>
      <c r="D167" s="27">
        <v>46040</v>
      </c>
      <c r="E167" s="27">
        <v>58.900000000000098</v>
      </c>
      <c r="F167" s="27">
        <v>58.900000000000098</v>
      </c>
      <c r="G167" s="27">
        <f>表1[[#This Row],[m_melee]]</f>
        <v>58.900000000000098</v>
      </c>
      <c r="H167" s="27">
        <f>表1[[#This Row],[m_laser]]</f>
        <v>58.900000000000098</v>
      </c>
    </row>
    <row r="168" spans="1:8" x14ac:dyDescent="0.3">
      <c r="A168" s="27">
        <v>165</v>
      </c>
      <c r="B168" s="28">
        <v>1239.4999999999993</v>
      </c>
      <c r="C168" s="29">
        <v>1239.4999999999993</v>
      </c>
      <c r="D168" s="27">
        <v>46320</v>
      </c>
      <c r="E168" s="27">
        <v>59.200000000000102</v>
      </c>
      <c r="F168" s="27">
        <v>59.200000000000102</v>
      </c>
      <c r="G168" s="27">
        <f>表1[[#This Row],[m_melee]]</f>
        <v>59.200000000000102</v>
      </c>
      <c r="H168" s="27">
        <f>表1[[#This Row],[m_laser]]</f>
        <v>59.200000000000102</v>
      </c>
    </row>
    <row r="169" spans="1:8" x14ac:dyDescent="0.3">
      <c r="A169" s="27">
        <v>166</v>
      </c>
      <c r="B169" s="28">
        <v>1247.4999999999993</v>
      </c>
      <c r="C169" s="29">
        <v>1247.4999999999993</v>
      </c>
      <c r="D169" s="27">
        <v>46600</v>
      </c>
      <c r="E169" s="27">
        <v>59.500000000000099</v>
      </c>
      <c r="F169" s="27">
        <v>59.500000000000099</v>
      </c>
      <c r="G169" s="27">
        <f>表1[[#This Row],[m_melee]]</f>
        <v>59.500000000000099</v>
      </c>
      <c r="H169" s="27">
        <f>表1[[#This Row],[m_laser]]</f>
        <v>59.500000000000099</v>
      </c>
    </row>
    <row r="170" spans="1:8" x14ac:dyDescent="0.3">
      <c r="A170" s="27">
        <v>167</v>
      </c>
      <c r="B170" s="28">
        <v>1255.4999999999995</v>
      </c>
      <c r="C170" s="29">
        <v>1255.4999999999995</v>
      </c>
      <c r="D170" s="27">
        <v>46880</v>
      </c>
      <c r="E170" s="27">
        <v>59.800000000000097</v>
      </c>
      <c r="F170" s="27">
        <v>59.800000000000097</v>
      </c>
      <c r="G170" s="27">
        <f>表1[[#This Row],[m_melee]]</f>
        <v>59.800000000000097</v>
      </c>
      <c r="H170" s="27">
        <f>表1[[#This Row],[m_laser]]</f>
        <v>59.800000000000097</v>
      </c>
    </row>
    <row r="171" spans="1:8" x14ac:dyDescent="0.3">
      <c r="A171" s="27">
        <v>168</v>
      </c>
      <c r="B171" s="28">
        <v>1263.4999999999995</v>
      </c>
      <c r="C171" s="29">
        <v>1263.4999999999995</v>
      </c>
      <c r="D171" s="27">
        <v>47160</v>
      </c>
      <c r="E171" s="27">
        <v>60.100000000000101</v>
      </c>
      <c r="F171" s="27">
        <v>60.100000000000101</v>
      </c>
      <c r="G171" s="27">
        <f>表1[[#This Row],[m_melee]]</f>
        <v>60.100000000000101</v>
      </c>
      <c r="H171" s="27">
        <f>表1[[#This Row],[m_laser]]</f>
        <v>60.100000000000101</v>
      </c>
    </row>
    <row r="172" spans="1:8" x14ac:dyDescent="0.3">
      <c r="A172" s="27">
        <v>169</v>
      </c>
      <c r="B172" s="28">
        <v>1271.4999999999995</v>
      </c>
      <c r="C172" s="29">
        <v>1271.4999999999995</v>
      </c>
      <c r="D172" s="27">
        <v>47440</v>
      </c>
      <c r="E172" s="27">
        <v>60.400000000000098</v>
      </c>
      <c r="F172" s="27">
        <v>60.400000000000098</v>
      </c>
      <c r="G172" s="27">
        <f>表1[[#This Row],[m_melee]]</f>
        <v>60.400000000000098</v>
      </c>
      <c r="H172" s="27">
        <f>表1[[#This Row],[m_laser]]</f>
        <v>60.400000000000098</v>
      </c>
    </row>
    <row r="173" spans="1:8" x14ac:dyDescent="0.3">
      <c r="A173" s="27">
        <v>170</v>
      </c>
      <c r="B173" s="28">
        <v>1279.4999999999995</v>
      </c>
      <c r="C173" s="29">
        <v>1279.4999999999995</v>
      </c>
      <c r="D173" s="27">
        <v>47720</v>
      </c>
      <c r="E173" s="27">
        <v>60.700000000000102</v>
      </c>
      <c r="F173" s="27">
        <v>60.700000000000102</v>
      </c>
      <c r="G173" s="27">
        <f>表1[[#This Row],[m_melee]]</f>
        <v>60.700000000000102</v>
      </c>
      <c r="H173" s="27">
        <f>表1[[#This Row],[m_laser]]</f>
        <v>60.700000000000102</v>
      </c>
    </row>
    <row r="174" spans="1:8" x14ac:dyDescent="0.3">
      <c r="A174" s="27">
        <v>171</v>
      </c>
      <c r="B174" s="28">
        <v>1287.4999999999995</v>
      </c>
      <c r="C174" s="29">
        <v>1287.4999999999995</v>
      </c>
      <c r="D174" s="27">
        <v>48000</v>
      </c>
      <c r="E174" s="27">
        <v>61.000000000000099</v>
      </c>
      <c r="F174" s="27">
        <v>61.000000000000099</v>
      </c>
      <c r="G174" s="27">
        <f>表1[[#This Row],[m_melee]]</f>
        <v>61.000000000000099</v>
      </c>
      <c r="H174" s="27">
        <f>表1[[#This Row],[m_laser]]</f>
        <v>61.000000000000099</v>
      </c>
    </row>
    <row r="175" spans="1:8" x14ac:dyDescent="0.3">
      <c r="A175" s="27">
        <v>172</v>
      </c>
      <c r="B175" s="28">
        <v>1295.4999999999995</v>
      </c>
      <c r="C175" s="29">
        <v>1295.4999999999995</v>
      </c>
      <c r="D175" s="27">
        <v>48280</v>
      </c>
      <c r="E175" s="27">
        <v>61.300000000000097</v>
      </c>
      <c r="F175" s="27">
        <v>61.300000000000097</v>
      </c>
      <c r="G175" s="27">
        <f>表1[[#This Row],[m_melee]]</f>
        <v>61.300000000000097</v>
      </c>
      <c r="H175" s="27">
        <f>表1[[#This Row],[m_laser]]</f>
        <v>61.300000000000097</v>
      </c>
    </row>
    <row r="176" spans="1:8" x14ac:dyDescent="0.3">
      <c r="A176" s="27">
        <v>173</v>
      </c>
      <c r="B176" s="28">
        <v>1303.4999999999995</v>
      </c>
      <c r="C176" s="29">
        <v>1303.4999999999995</v>
      </c>
      <c r="D176" s="27">
        <v>48560</v>
      </c>
      <c r="E176" s="27">
        <v>61.600000000000101</v>
      </c>
      <c r="F176" s="27">
        <v>61.600000000000101</v>
      </c>
      <c r="G176" s="27">
        <f>表1[[#This Row],[m_melee]]</f>
        <v>61.600000000000101</v>
      </c>
      <c r="H176" s="27">
        <f>表1[[#This Row],[m_laser]]</f>
        <v>61.600000000000101</v>
      </c>
    </row>
    <row r="177" spans="1:8" x14ac:dyDescent="0.3">
      <c r="A177" s="27">
        <v>174</v>
      </c>
      <c r="B177" s="28">
        <v>1311.4999999999995</v>
      </c>
      <c r="C177" s="29">
        <v>1311.4999999999995</v>
      </c>
      <c r="D177" s="27">
        <v>48840</v>
      </c>
      <c r="E177" s="27">
        <v>61.900000000000098</v>
      </c>
      <c r="F177" s="27">
        <v>61.900000000000098</v>
      </c>
      <c r="G177" s="27">
        <f>表1[[#This Row],[m_melee]]</f>
        <v>61.900000000000098</v>
      </c>
      <c r="H177" s="27">
        <f>表1[[#This Row],[m_laser]]</f>
        <v>61.900000000000098</v>
      </c>
    </row>
    <row r="178" spans="1:8" x14ac:dyDescent="0.3">
      <c r="A178" s="27">
        <v>175</v>
      </c>
      <c r="B178" s="28">
        <v>1319.4999999999995</v>
      </c>
      <c r="C178" s="29">
        <v>1319.4999999999995</v>
      </c>
      <c r="D178" s="27">
        <v>49120</v>
      </c>
      <c r="E178" s="27">
        <v>62.200000000000102</v>
      </c>
      <c r="F178" s="27">
        <v>62.200000000000102</v>
      </c>
      <c r="G178" s="27">
        <f>表1[[#This Row],[m_melee]]</f>
        <v>62.200000000000102</v>
      </c>
      <c r="H178" s="27">
        <f>表1[[#This Row],[m_laser]]</f>
        <v>62.200000000000102</v>
      </c>
    </row>
    <row r="179" spans="1:8" x14ac:dyDescent="0.3">
      <c r="A179" s="27">
        <v>176</v>
      </c>
      <c r="B179" s="28">
        <v>1327.4999999999995</v>
      </c>
      <c r="C179" s="29">
        <v>1327.4999999999995</v>
      </c>
      <c r="D179" s="27">
        <v>49400</v>
      </c>
      <c r="E179" s="27">
        <v>62.500000000000099</v>
      </c>
      <c r="F179" s="27">
        <v>62.500000000000099</v>
      </c>
      <c r="G179" s="27">
        <f>表1[[#This Row],[m_melee]]</f>
        <v>62.500000000000099</v>
      </c>
      <c r="H179" s="27">
        <f>表1[[#This Row],[m_laser]]</f>
        <v>62.500000000000099</v>
      </c>
    </row>
    <row r="180" spans="1:8" x14ac:dyDescent="0.3">
      <c r="A180" s="27">
        <v>177</v>
      </c>
      <c r="B180" s="28">
        <v>1335.4999999999995</v>
      </c>
      <c r="C180" s="29">
        <v>1335.4999999999995</v>
      </c>
      <c r="D180" s="27">
        <v>49680</v>
      </c>
      <c r="E180" s="27">
        <v>62.800000000000097</v>
      </c>
      <c r="F180" s="27">
        <v>62.800000000000097</v>
      </c>
      <c r="G180" s="27">
        <f>表1[[#This Row],[m_melee]]</f>
        <v>62.800000000000097</v>
      </c>
      <c r="H180" s="27">
        <f>表1[[#This Row],[m_laser]]</f>
        <v>62.800000000000097</v>
      </c>
    </row>
    <row r="181" spans="1:8" x14ac:dyDescent="0.3">
      <c r="A181" s="27">
        <v>178</v>
      </c>
      <c r="B181" s="28">
        <v>1343.4999999999998</v>
      </c>
      <c r="C181" s="29">
        <v>1343.4999999999998</v>
      </c>
      <c r="D181" s="27">
        <v>49960</v>
      </c>
      <c r="E181" s="27">
        <v>63.100000000000101</v>
      </c>
      <c r="F181" s="27">
        <v>63.100000000000101</v>
      </c>
      <c r="G181" s="27">
        <f>表1[[#This Row],[m_melee]]</f>
        <v>63.100000000000101</v>
      </c>
      <c r="H181" s="27">
        <f>表1[[#This Row],[m_laser]]</f>
        <v>63.100000000000101</v>
      </c>
    </row>
    <row r="182" spans="1:8" x14ac:dyDescent="0.3">
      <c r="A182" s="27">
        <v>179</v>
      </c>
      <c r="B182" s="28">
        <v>1351.4999999999998</v>
      </c>
      <c r="C182" s="29">
        <v>1351.4999999999998</v>
      </c>
      <c r="D182" s="27">
        <v>50240</v>
      </c>
      <c r="E182" s="27">
        <v>63.400000000000098</v>
      </c>
      <c r="F182" s="27">
        <v>63.400000000000098</v>
      </c>
      <c r="G182" s="27">
        <f>表1[[#This Row],[m_melee]]</f>
        <v>63.400000000000098</v>
      </c>
      <c r="H182" s="27">
        <f>表1[[#This Row],[m_laser]]</f>
        <v>63.400000000000098</v>
      </c>
    </row>
    <row r="183" spans="1:8" x14ac:dyDescent="0.3">
      <c r="A183" s="27">
        <v>180</v>
      </c>
      <c r="B183" s="28">
        <v>1359.4999999999998</v>
      </c>
      <c r="C183" s="29">
        <v>1359.4999999999998</v>
      </c>
      <c r="D183" s="27">
        <v>50520</v>
      </c>
      <c r="E183" s="27">
        <v>63.700000000000102</v>
      </c>
      <c r="F183" s="27">
        <v>63.700000000000102</v>
      </c>
      <c r="G183" s="27">
        <f>表1[[#This Row],[m_melee]]</f>
        <v>63.700000000000102</v>
      </c>
      <c r="H183" s="27">
        <f>表1[[#This Row],[m_laser]]</f>
        <v>63.700000000000102</v>
      </c>
    </row>
    <row r="184" spans="1:8" x14ac:dyDescent="0.3">
      <c r="A184" s="27">
        <v>181</v>
      </c>
      <c r="B184" s="28">
        <v>1367.4999999999998</v>
      </c>
      <c r="C184" s="29">
        <v>1367.4999999999998</v>
      </c>
      <c r="D184" s="27">
        <v>50800</v>
      </c>
      <c r="E184" s="27">
        <v>64.000000000000099</v>
      </c>
      <c r="F184" s="27">
        <v>64.000000000000099</v>
      </c>
      <c r="G184" s="27">
        <f>表1[[#This Row],[m_melee]]</f>
        <v>64.000000000000099</v>
      </c>
      <c r="H184" s="27">
        <f>表1[[#This Row],[m_laser]]</f>
        <v>64.000000000000099</v>
      </c>
    </row>
    <row r="185" spans="1:8" x14ac:dyDescent="0.3">
      <c r="A185" s="27">
        <v>182</v>
      </c>
      <c r="B185" s="28">
        <v>1375.4999999999998</v>
      </c>
      <c r="C185" s="29">
        <v>1375.4999999999998</v>
      </c>
      <c r="D185" s="27">
        <v>51080</v>
      </c>
      <c r="E185" s="27">
        <v>64.300000000000097</v>
      </c>
      <c r="F185" s="27">
        <v>64.300000000000097</v>
      </c>
      <c r="G185" s="27">
        <f>表1[[#This Row],[m_melee]]</f>
        <v>64.300000000000097</v>
      </c>
      <c r="H185" s="27">
        <f>表1[[#This Row],[m_laser]]</f>
        <v>64.300000000000097</v>
      </c>
    </row>
    <row r="186" spans="1:8" x14ac:dyDescent="0.3">
      <c r="A186" s="27">
        <v>183</v>
      </c>
      <c r="B186" s="28">
        <v>1383.5</v>
      </c>
      <c r="C186" s="29">
        <v>1383.5</v>
      </c>
      <c r="D186" s="27">
        <v>51360</v>
      </c>
      <c r="E186" s="27">
        <v>64.600000000000094</v>
      </c>
      <c r="F186" s="27">
        <v>64.600000000000094</v>
      </c>
      <c r="G186" s="27">
        <f>表1[[#This Row],[m_melee]]</f>
        <v>64.600000000000094</v>
      </c>
      <c r="H186" s="27">
        <f>表1[[#This Row],[m_laser]]</f>
        <v>64.600000000000094</v>
      </c>
    </row>
    <row r="187" spans="1:8" x14ac:dyDescent="0.3">
      <c r="A187" s="27">
        <v>184</v>
      </c>
      <c r="B187" s="28">
        <v>1391.5</v>
      </c>
      <c r="C187" s="29">
        <v>1391.5</v>
      </c>
      <c r="D187" s="27">
        <v>51640</v>
      </c>
      <c r="E187" s="27">
        <v>64.900000000000105</v>
      </c>
      <c r="F187" s="27">
        <v>64.900000000000105</v>
      </c>
      <c r="G187" s="27">
        <f>表1[[#This Row],[m_melee]]</f>
        <v>64.900000000000105</v>
      </c>
      <c r="H187" s="27">
        <f>表1[[#This Row],[m_laser]]</f>
        <v>64.900000000000105</v>
      </c>
    </row>
    <row r="188" spans="1:8" x14ac:dyDescent="0.3">
      <c r="A188" s="27">
        <v>185</v>
      </c>
      <c r="B188" s="28">
        <v>1399.5</v>
      </c>
      <c r="C188" s="29">
        <v>1399.5</v>
      </c>
      <c r="D188" s="27">
        <v>51920</v>
      </c>
      <c r="E188" s="27">
        <v>65.200000000000102</v>
      </c>
      <c r="F188" s="27">
        <v>65.200000000000102</v>
      </c>
      <c r="G188" s="27">
        <f>表1[[#This Row],[m_melee]]</f>
        <v>65.200000000000102</v>
      </c>
      <c r="H188" s="27">
        <f>表1[[#This Row],[m_laser]]</f>
        <v>65.200000000000102</v>
      </c>
    </row>
    <row r="189" spans="1:8" x14ac:dyDescent="0.3">
      <c r="A189" s="27">
        <v>186</v>
      </c>
      <c r="B189" s="28">
        <v>1407.5</v>
      </c>
      <c r="C189" s="29">
        <v>1407.5</v>
      </c>
      <c r="D189" s="27">
        <v>52200</v>
      </c>
      <c r="E189" s="27">
        <v>65.500000000000099</v>
      </c>
      <c r="F189" s="27">
        <v>65.500000000000099</v>
      </c>
      <c r="G189" s="27">
        <f>表1[[#This Row],[m_melee]]</f>
        <v>65.500000000000099</v>
      </c>
      <c r="H189" s="27">
        <f>表1[[#This Row],[m_laser]]</f>
        <v>65.500000000000099</v>
      </c>
    </row>
    <row r="190" spans="1:8" x14ac:dyDescent="0.3">
      <c r="A190" s="27">
        <v>187</v>
      </c>
      <c r="B190" s="28">
        <v>1415.5</v>
      </c>
      <c r="C190" s="29">
        <v>1415.5</v>
      </c>
      <c r="D190" s="27">
        <v>52480</v>
      </c>
      <c r="E190" s="27">
        <v>65.800000000000097</v>
      </c>
      <c r="F190" s="27">
        <v>65.800000000000097</v>
      </c>
      <c r="G190" s="27">
        <f>表1[[#This Row],[m_melee]]</f>
        <v>65.800000000000097</v>
      </c>
      <c r="H190" s="27">
        <f>表1[[#This Row],[m_laser]]</f>
        <v>65.800000000000097</v>
      </c>
    </row>
    <row r="191" spans="1:8" x14ac:dyDescent="0.3">
      <c r="A191" s="27">
        <v>188</v>
      </c>
      <c r="B191" s="28">
        <v>1423.5</v>
      </c>
      <c r="C191" s="29">
        <v>1423.5</v>
      </c>
      <c r="D191" s="27">
        <v>52760</v>
      </c>
      <c r="E191" s="27">
        <v>66.100000000000094</v>
      </c>
      <c r="F191" s="27">
        <v>66.100000000000094</v>
      </c>
      <c r="G191" s="27">
        <f>表1[[#This Row],[m_melee]]</f>
        <v>66.100000000000094</v>
      </c>
      <c r="H191" s="27">
        <f>表1[[#This Row],[m_laser]]</f>
        <v>66.100000000000094</v>
      </c>
    </row>
    <row r="192" spans="1:8" x14ac:dyDescent="0.3">
      <c r="A192" s="27">
        <v>189</v>
      </c>
      <c r="B192" s="28">
        <v>1431.5</v>
      </c>
      <c r="C192" s="29">
        <v>1431.5</v>
      </c>
      <c r="D192" s="27">
        <v>53040</v>
      </c>
      <c r="E192" s="27">
        <v>66.400000000000105</v>
      </c>
      <c r="F192" s="27">
        <v>66.400000000000105</v>
      </c>
      <c r="G192" s="27">
        <f>表1[[#This Row],[m_melee]]</f>
        <v>66.400000000000105</v>
      </c>
      <c r="H192" s="27">
        <f>表1[[#This Row],[m_laser]]</f>
        <v>66.400000000000105</v>
      </c>
    </row>
    <row r="193" spans="1:8" x14ac:dyDescent="0.3">
      <c r="A193" s="27">
        <v>190</v>
      </c>
      <c r="B193" s="28">
        <v>1439.5</v>
      </c>
      <c r="C193" s="29">
        <v>1439.5</v>
      </c>
      <c r="D193" s="27">
        <v>53320</v>
      </c>
      <c r="E193" s="27">
        <v>66.700000000000102</v>
      </c>
      <c r="F193" s="27">
        <v>66.700000000000102</v>
      </c>
      <c r="G193" s="27">
        <f>表1[[#This Row],[m_melee]]</f>
        <v>66.700000000000102</v>
      </c>
      <c r="H193" s="27">
        <f>表1[[#This Row],[m_laser]]</f>
        <v>66.700000000000102</v>
      </c>
    </row>
    <row r="194" spans="1:8" x14ac:dyDescent="0.3">
      <c r="A194" s="27">
        <v>191</v>
      </c>
      <c r="B194" s="28">
        <v>1447.5</v>
      </c>
      <c r="C194" s="29">
        <v>1447.5</v>
      </c>
      <c r="D194" s="27">
        <v>53600</v>
      </c>
      <c r="E194" s="27">
        <v>67.000000000000099</v>
      </c>
      <c r="F194" s="27">
        <v>67.000000000000099</v>
      </c>
      <c r="G194" s="27">
        <f>表1[[#This Row],[m_melee]]</f>
        <v>67.000000000000099</v>
      </c>
      <c r="H194" s="27">
        <f>表1[[#This Row],[m_laser]]</f>
        <v>67.000000000000099</v>
      </c>
    </row>
    <row r="195" spans="1:8" x14ac:dyDescent="0.3">
      <c r="A195" s="27">
        <v>192</v>
      </c>
      <c r="B195" s="28">
        <v>1455.5</v>
      </c>
      <c r="C195" s="29">
        <v>1455.5</v>
      </c>
      <c r="D195" s="27">
        <v>53880</v>
      </c>
      <c r="E195" s="27">
        <v>67.300000000000097</v>
      </c>
      <c r="F195" s="27">
        <v>67.300000000000097</v>
      </c>
      <c r="G195" s="27">
        <f>表1[[#This Row],[m_melee]]</f>
        <v>67.300000000000097</v>
      </c>
      <c r="H195" s="27">
        <f>表1[[#This Row],[m_laser]]</f>
        <v>67.300000000000097</v>
      </c>
    </row>
    <row r="196" spans="1:8" x14ac:dyDescent="0.3">
      <c r="A196" s="27">
        <v>193</v>
      </c>
      <c r="B196" s="28">
        <v>1463.5</v>
      </c>
      <c r="C196" s="29">
        <v>1463.5</v>
      </c>
      <c r="D196" s="27">
        <v>54160</v>
      </c>
      <c r="E196" s="27">
        <v>67.600000000000094</v>
      </c>
      <c r="F196" s="27">
        <v>67.600000000000094</v>
      </c>
      <c r="G196" s="27">
        <f>表1[[#This Row],[m_melee]]</f>
        <v>67.600000000000094</v>
      </c>
      <c r="H196" s="27">
        <f>表1[[#This Row],[m_laser]]</f>
        <v>67.600000000000094</v>
      </c>
    </row>
    <row r="197" spans="1:8" x14ac:dyDescent="0.3">
      <c r="A197" s="27">
        <v>194</v>
      </c>
      <c r="B197" s="28">
        <v>1471.5000000000002</v>
      </c>
      <c r="C197" s="29">
        <v>1471.5000000000002</v>
      </c>
      <c r="D197" s="27">
        <v>54440</v>
      </c>
      <c r="E197" s="27">
        <v>67.900000000000105</v>
      </c>
      <c r="F197" s="27">
        <v>67.900000000000105</v>
      </c>
      <c r="G197" s="27">
        <f>表1[[#This Row],[m_melee]]</f>
        <v>67.900000000000105</v>
      </c>
      <c r="H197" s="27">
        <f>表1[[#This Row],[m_laser]]</f>
        <v>67.900000000000105</v>
      </c>
    </row>
    <row r="198" spans="1:8" x14ac:dyDescent="0.3">
      <c r="A198" s="27">
        <v>195</v>
      </c>
      <c r="B198" s="28">
        <v>1479.5000000000002</v>
      </c>
      <c r="C198" s="29">
        <v>1479.5000000000002</v>
      </c>
      <c r="D198" s="27">
        <v>54720</v>
      </c>
      <c r="E198" s="27">
        <v>68.200000000000102</v>
      </c>
      <c r="F198" s="27">
        <v>68.200000000000102</v>
      </c>
      <c r="G198" s="27">
        <f>表1[[#This Row],[m_melee]]</f>
        <v>68.200000000000102</v>
      </c>
      <c r="H198" s="27">
        <f>表1[[#This Row],[m_laser]]</f>
        <v>68.200000000000102</v>
      </c>
    </row>
    <row r="199" spans="1:8" x14ac:dyDescent="0.3">
      <c r="A199" s="27">
        <v>196</v>
      </c>
      <c r="B199" s="28">
        <v>1487.5000000000002</v>
      </c>
      <c r="C199" s="29">
        <v>1487.5000000000002</v>
      </c>
      <c r="D199" s="27">
        <v>55000</v>
      </c>
      <c r="E199" s="27">
        <v>68.500000000000099</v>
      </c>
      <c r="F199" s="27">
        <v>68.500000000000099</v>
      </c>
      <c r="G199" s="27">
        <f>表1[[#This Row],[m_melee]]</f>
        <v>68.500000000000099</v>
      </c>
      <c r="H199" s="27">
        <f>表1[[#This Row],[m_laser]]</f>
        <v>68.500000000000099</v>
      </c>
    </row>
    <row r="200" spans="1:8" x14ac:dyDescent="0.3">
      <c r="A200" s="27">
        <v>197</v>
      </c>
      <c r="B200" s="28">
        <v>1495.5000000000002</v>
      </c>
      <c r="C200" s="29">
        <v>1495.5000000000002</v>
      </c>
      <c r="D200" s="27">
        <v>55280</v>
      </c>
      <c r="E200" s="27">
        <v>68.800000000000097</v>
      </c>
      <c r="F200" s="27">
        <v>68.800000000000097</v>
      </c>
      <c r="G200" s="27">
        <f>表1[[#This Row],[m_melee]]</f>
        <v>68.800000000000097</v>
      </c>
      <c r="H200" s="27">
        <f>表1[[#This Row],[m_laser]]</f>
        <v>68.800000000000097</v>
      </c>
    </row>
    <row r="201" spans="1:8" x14ac:dyDescent="0.3">
      <c r="A201" s="27">
        <v>198</v>
      </c>
      <c r="B201" s="28">
        <v>1503.5000000000002</v>
      </c>
      <c r="C201" s="29">
        <v>1503.5000000000002</v>
      </c>
      <c r="D201" s="27">
        <v>55560</v>
      </c>
      <c r="E201" s="27">
        <v>69.100000000000094</v>
      </c>
      <c r="F201" s="27">
        <v>69.100000000000094</v>
      </c>
      <c r="G201" s="27">
        <f>表1[[#This Row],[m_melee]]</f>
        <v>69.100000000000094</v>
      </c>
      <c r="H201" s="27">
        <f>表1[[#This Row],[m_laser]]</f>
        <v>69.100000000000094</v>
      </c>
    </row>
    <row r="202" spans="1:8" x14ac:dyDescent="0.3">
      <c r="A202" s="27">
        <v>199</v>
      </c>
      <c r="B202" s="28">
        <v>1511.5000000000005</v>
      </c>
      <c r="C202" s="29">
        <v>1511.5000000000005</v>
      </c>
      <c r="D202" s="27">
        <v>55840</v>
      </c>
      <c r="E202" s="27">
        <v>69.400000000000105</v>
      </c>
      <c r="F202" s="27">
        <v>69.400000000000105</v>
      </c>
      <c r="G202" s="27">
        <f>表1[[#This Row],[m_melee]]</f>
        <v>69.400000000000105</v>
      </c>
      <c r="H202" s="27">
        <f>表1[[#This Row],[m_laser]]</f>
        <v>69.400000000000105</v>
      </c>
    </row>
    <row r="203" spans="1:8" x14ac:dyDescent="0.3">
      <c r="A203" s="27">
        <v>200</v>
      </c>
      <c r="B203" s="28">
        <v>1519.5000000000005</v>
      </c>
      <c r="C203" s="29">
        <v>1519.5000000000005</v>
      </c>
      <c r="D203" s="27">
        <v>56120</v>
      </c>
      <c r="E203" s="27">
        <v>69.700000000000102</v>
      </c>
      <c r="F203" s="27">
        <v>69.700000000000102</v>
      </c>
      <c r="G203" s="27">
        <f>表1[[#This Row],[m_melee]]</f>
        <v>69.700000000000102</v>
      </c>
      <c r="H203" s="27">
        <f>表1[[#This Row],[m_laser]]</f>
        <v>69.700000000000102</v>
      </c>
    </row>
    <row r="204" spans="1:8" x14ac:dyDescent="0.3">
      <c r="A204" s="27">
        <v>201</v>
      </c>
      <c r="B204" s="28">
        <v>1527.5000000000005</v>
      </c>
      <c r="C204" s="29">
        <v>1527.5000000000005</v>
      </c>
      <c r="D204" s="27">
        <v>56400</v>
      </c>
      <c r="E204" s="27">
        <v>70.000000000000099</v>
      </c>
      <c r="F204" s="27">
        <v>70.000000000000099</v>
      </c>
      <c r="G204" s="27">
        <f>表1[[#This Row],[m_melee]]</f>
        <v>70.000000000000099</v>
      </c>
      <c r="H204" s="27">
        <f>表1[[#This Row],[m_laser]]</f>
        <v>70.000000000000099</v>
      </c>
    </row>
    <row r="205" spans="1:8" x14ac:dyDescent="0.3">
      <c r="A205" s="27">
        <v>202</v>
      </c>
      <c r="B205" s="28">
        <v>1535.5000000000005</v>
      </c>
      <c r="C205" s="29">
        <v>1535.5000000000005</v>
      </c>
      <c r="D205" s="27">
        <v>56680</v>
      </c>
      <c r="E205" s="27">
        <v>70.300000000000097</v>
      </c>
      <c r="F205" s="27">
        <v>70.300000000000097</v>
      </c>
      <c r="G205" s="27">
        <f>表1[[#This Row],[m_melee]]</f>
        <v>70.300000000000097</v>
      </c>
      <c r="H205" s="27">
        <f>表1[[#This Row],[m_laser]]</f>
        <v>70.300000000000097</v>
      </c>
    </row>
    <row r="206" spans="1:8" x14ac:dyDescent="0.3">
      <c r="A206" s="27">
        <v>203</v>
      </c>
      <c r="B206" s="28">
        <v>1543.5000000000005</v>
      </c>
      <c r="C206" s="29">
        <v>1543.5000000000005</v>
      </c>
      <c r="D206" s="27">
        <v>56960</v>
      </c>
      <c r="E206" s="27">
        <v>70.600000000000094</v>
      </c>
      <c r="F206" s="27">
        <v>70.600000000000094</v>
      </c>
      <c r="G206" s="27">
        <f>表1[[#This Row],[m_melee]]</f>
        <v>70.600000000000094</v>
      </c>
      <c r="H206" s="27">
        <f>表1[[#This Row],[m_laser]]</f>
        <v>70.600000000000094</v>
      </c>
    </row>
    <row r="207" spans="1:8" x14ac:dyDescent="0.3">
      <c r="A207" s="27">
        <v>204</v>
      </c>
      <c r="B207" s="28">
        <v>1551.5000000000005</v>
      </c>
      <c r="C207" s="29">
        <v>1551.5000000000005</v>
      </c>
      <c r="D207" s="27">
        <v>57240</v>
      </c>
      <c r="E207" s="27">
        <v>70.900000000000105</v>
      </c>
      <c r="F207" s="27">
        <v>70.900000000000105</v>
      </c>
      <c r="G207" s="27">
        <f>表1[[#This Row],[m_melee]]</f>
        <v>70.900000000000105</v>
      </c>
      <c r="H207" s="27">
        <f>表1[[#This Row],[m_laser]]</f>
        <v>70.900000000000105</v>
      </c>
    </row>
    <row r="208" spans="1:8" x14ac:dyDescent="0.3">
      <c r="A208" s="27">
        <v>205</v>
      </c>
      <c r="B208" s="28">
        <v>1559.5000000000005</v>
      </c>
      <c r="C208" s="29">
        <v>1559.5000000000005</v>
      </c>
      <c r="D208" s="27">
        <v>57520</v>
      </c>
      <c r="E208" s="27">
        <v>71.200000000000102</v>
      </c>
      <c r="F208" s="27">
        <v>71.200000000000102</v>
      </c>
      <c r="G208" s="27">
        <f>表1[[#This Row],[m_melee]]</f>
        <v>71.200000000000102</v>
      </c>
      <c r="H208" s="27">
        <f>表1[[#This Row],[m_laser]]</f>
        <v>71.200000000000102</v>
      </c>
    </row>
    <row r="209" spans="1:8" x14ac:dyDescent="0.3">
      <c r="A209" s="27">
        <v>206</v>
      </c>
      <c r="B209" s="28">
        <v>1567.5000000000005</v>
      </c>
      <c r="C209" s="29">
        <v>1567.5000000000005</v>
      </c>
      <c r="D209" s="27">
        <v>57800</v>
      </c>
      <c r="E209" s="27">
        <v>71.500000000000099</v>
      </c>
      <c r="F209" s="27">
        <v>71.500000000000099</v>
      </c>
      <c r="G209" s="27">
        <f>表1[[#This Row],[m_melee]]</f>
        <v>71.500000000000099</v>
      </c>
      <c r="H209" s="27">
        <f>表1[[#This Row],[m_laser]]</f>
        <v>71.500000000000099</v>
      </c>
    </row>
    <row r="210" spans="1:8" x14ac:dyDescent="0.3">
      <c r="A210" s="27">
        <v>207</v>
      </c>
      <c r="B210" s="28">
        <v>1575.5000000000005</v>
      </c>
      <c r="C210" s="29">
        <v>1575.5000000000005</v>
      </c>
      <c r="D210" s="27">
        <v>58080</v>
      </c>
      <c r="E210" s="27">
        <v>71.800000000000097</v>
      </c>
      <c r="F210" s="27">
        <v>71.800000000000097</v>
      </c>
      <c r="G210" s="27">
        <f>表1[[#This Row],[m_melee]]</f>
        <v>71.800000000000097</v>
      </c>
      <c r="H210" s="27">
        <f>表1[[#This Row],[m_laser]]</f>
        <v>71.800000000000097</v>
      </c>
    </row>
    <row r="211" spans="1:8" x14ac:dyDescent="0.3">
      <c r="A211" s="27">
        <v>208</v>
      </c>
      <c r="B211" s="28">
        <v>1583.5000000000005</v>
      </c>
      <c r="C211" s="29">
        <v>1583.5000000000005</v>
      </c>
      <c r="D211" s="27">
        <v>58360</v>
      </c>
      <c r="E211" s="27">
        <v>72.100000000000193</v>
      </c>
      <c r="F211" s="27">
        <v>72.100000000000193</v>
      </c>
      <c r="G211" s="27">
        <f>表1[[#This Row],[m_melee]]</f>
        <v>72.100000000000193</v>
      </c>
      <c r="H211" s="27">
        <f>表1[[#This Row],[m_laser]]</f>
        <v>72.100000000000193</v>
      </c>
    </row>
    <row r="212" spans="1:8" x14ac:dyDescent="0.3">
      <c r="A212" s="27">
        <v>209</v>
      </c>
      <c r="B212" s="28">
        <v>1591.5000000000005</v>
      </c>
      <c r="C212" s="29">
        <v>1591.5000000000005</v>
      </c>
      <c r="D212" s="27">
        <v>58640</v>
      </c>
      <c r="E212" s="27">
        <v>72.400000000000105</v>
      </c>
      <c r="F212" s="27">
        <v>72.400000000000105</v>
      </c>
      <c r="G212" s="27">
        <f>表1[[#This Row],[m_melee]]</f>
        <v>72.400000000000105</v>
      </c>
      <c r="H212" s="27">
        <f>表1[[#This Row],[m_laser]]</f>
        <v>72.400000000000105</v>
      </c>
    </row>
    <row r="213" spans="1:8" x14ac:dyDescent="0.3">
      <c r="A213" s="27">
        <v>210</v>
      </c>
      <c r="B213" s="28">
        <v>1599.5000000000007</v>
      </c>
      <c r="C213" s="29">
        <v>1599.5000000000007</v>
      </c>
      <c r="D213" s="27">
        <v>58920</v>
      </c>
      <c r="E213" s="27">
        <v>72.700000000000102</v>
      </c>
      <c r="F213" s="27">
        <v>72.700000000000102</v>
      </c>
      <c r="G213" s="27">
        <f>表1[[#This Row],[m_melee]]</f>
        <v>72.700000000000102</v>
      </c>
      <c r="H213" s="27">
        <f>表1[[#This Row],[m_laser]]</f>
        <v>72.700000000000102</v>
      </c>
    </row>
    <row r="214" spans="1:8" x14ac:dyDescent="0.3">
      <c r="A214" s="27">
        <v>211</v>
      </c>
      <c r="B214" s="28">
        <v>1607.5000000000007</v>
      </c>
      <c r="C214" s="29">
        <v>1607.5000000000007</v>
      </c>
      <c r="D214" s="27">
        <v>59200</v>
      </c>
      <c r="E214" s="27">
        <v>73.000000000000099</v>
      </c>
      <c r="F214" s="27">
        <v>73.000000000000099</v>
      </c>
      <c r="G214" s="27">
        <f>表1[[#This Row],[m_melee]]</f>
        <v>73.000000000000099</v>
      </c>
      <c r="H214" s="27">
        <f>表1[[#This Row],[m_laser]]</f>
        <v>73.000000000000099</v>
      </c>
    </row>
    <row r="215" spans="1:8" x14ac:dyDescent="0.3">
      <c r="A215" s="27">
        <v>212</v>
      </c>
      <c r="B215" s="28">
        <v>1615.5000000000007</v>
      </c>
      <c r="C215" s="29">
        <v>1615.5000000000007</v>
      </c>
      <c r="D215" s="27">
        <v>59480</v>
      </c>
      <c r="E215" s="27">
        <v>73.300000000000196</v>
      </c>
      <c r="F215" s="27">
        <v>73.300000000000196</v>
      </c>
      <c r="G215" s="27">
        <f>表1[[#This Row],[m_melee]]</f>
        <v>73.300000000000196</v>
      </c>
      <c r="H215" s="27">
        <f>表1[[#This Row],[m_laser]]</f>
        <v>73.300000000000196</v>
      </c>
    </row>
    <row r="216" spans="1:8" x14ac:dyDescent="0.3">
      <c r="A216" s="27">
        <v>213</v>
      </c>
      <c r="B216" s="28">
        <v>1623.5000000000007</v>
      </c>
      <c r="C216" s="29">
        <v>1623.5000000000007</v>
      </c>
      <c r="D216" s="27">
        <v>59760</v>
      </c>
      <c r="E216" s="27">
        <v>73.600000000000193</v>
      </c>
      <c r="F216" s="27">
        <v>73.600000000000193</v>
      </c>
      <c r="G216" s="27">
        <f>表1[[#This Row],[m_melee]]</f>
        <v>73.600000000000193</v>
      </c>
      <c r="H216" s="27">
        <f>表1[[#This Row],[m_laser]]</f>
        <v>73.600000000000193</v>
      </c>
    </row>
    <row r="217" spans="1:8" x14ac:dyDescent="0.3">
      <c r="A217" s="27">
        <v>214</v>
      </c>
      <c r="B217" s="28">
        <v>1631.5000000000007</v>
      </c>
      <c r="C217" s="29">
        <v>1631.5000000000007</v>
      </c>
      <c r="D217" s="27">
        <v>60040</v>
      </c>
      <c r="E217" s="27">
        <v>73.900000000000105</v>
      </c>
      <c r="F217" s="27">
        <v>73.900000000000105</v>
      </c>
      <c r="G217" s="27">
        <f>表1[[#This Row],[m_melee]]</f>
        <v>73.900000000000105</v>
      </c>
      <c r="H217" s="27">
        <f>表1[[#This Row],[m_laser]]</f>
        <v>73.900000000000105</v>
      </c>
    </row>
    <row r="218" spans="1:8" x14ac:dyDescent="0.3">
      <c r="A218" s="27">
        <v>215</v>
      </c>
      <c r="B218" s="28">
        <v>1639.5000000000009</v>
      </c>
      <c r="C218" s="29">
        <v>1639.5000000000009</v>
      </c>
      <c r="D218" s="27">
        <v>60320</v>
      </c>
      <c r="E218" s="27">
        <v>74.200000000000202</v>
      </c>
      <c r="F218" s="27">
        <v>74.200000000000202</v>
      </c>
      <c r="G218" s="27">
        <f>表1[[#This Row],[m_melee]]</f>
        <v>74.200000000000202</v>
      </c>
      <c r="H218" s="27">
        <f>表1[[#This Row],[m_laser]]</f>
        <v>74.200000000000202</v>
      </c>
    </row>
    <row r="219" spans="1:8" x14ac:dyDescent="0.3">
      <c r="A219" s="27">
        <v>216</v>
      </c>
      <c r="B219" s="28">
        <v>1647.5000000000009</v>
      </c>
      <c r="C219" s="29">
        <v>1647.5000000000009</v>
      </c>
      <c r="D219" s="27">
        <v>60600</v>
      </c>
      <c r="E219" s="27">
        <v>74.500000000000199</v>
      </c>
      <c r="F219" s="27">
        <v>74.500000000000199</v>
      </c>
      <c r="G219" s="27">
        <f>表1[[#This Row],[m_melee]]</f>
        <v>74.500000000000199</v>
      </c>
      <c r="H219" s="27">
        <f>表1[[#This Row],[m_laser]]</f>
        <v>74.500000000000199</v>
      </c>
    </row>
    <row r="220" spans="1:8" x14ac:dyDescent="0.3">
      <c r="A220" s="27">
        <v>217</v>
      </c>
      <c r="B220" s="28">
        <v>1655.5000000000009</v>
      </c>
      <c r="C220" s="29">
        <v>1655.5000000000009</v>
      </c>
      <c r="D220" s="27">
        <v>60880</v>
      </c>
      <c r="E220" s="27">
        <v>74.800000000000196</v>
      </c>
      <c r="F220" s="27">
        <v>74.800000000000196</v>
      </c>
      <c r="G220" s="27">
        <f>表1[[#This Row],[m_melee]]</f>
        <v>74.800000000000196</v>
      </c>
      <c r="H220" s="27">
        <f>表1[[#This Row],[m_laser]]</f>
        <v>74.800000000000196</v>
      </c>
    </row>
    <row r="221" spans="1:8" x14ac:dyDescent="0.3">
      <c r="A221" s="27">
        <v>218</v>
      </c>
      <c r="B221" s="28">
        <v>1663.5000000000009</v>
      </c>
      <c r="C221" s="29">
        <v>1663.5000000000009</v>
      </c>
      <c r="D221" s="27">
        <v>61160</v>
      </c>
      <c r="E221" s="27">
        <v>75.100000000000193</v>
      </c>
      <c r="F221" s="27">
        <v>75.100000000000193</v>
      </c>
      <c r="G221" s="27">
        <f>表1[[#This Row],[m_melee]]</f>
        <v>75.100000000000193</v>
      </c>
      <c r="H221" s="27">
        <f>表1[[#This Row],[m_laser]]</f>
        <v>75.100000000000193</v>
      </c>
    </row>
    <row r="222" spans="1:8" x14ac:dyDescent="0.3">
      <c r="A222" s="27">
        <v>219</v>
      </c>
      <c r="B222" s="28">
        <v>1671.5000000000009</v>
      </c>
      <c r="C222" s="29">
        <v>1671.5000000000009</v>
      </c>
      <c r="D222" s="27">
        <v>61440</v>
      </c>
      <c r="E222" s="27">
        <v>75.400000000000105</v>
      </c>
      <c r="F222" s="27">
        <v>75.400000000000105</v>
      </c>
      <c r="G222" s="27">
        <f>表1[[#This Row],[m_melee]]</f>
        <v>75.400000000000105</v>
      </c>
      <c r="H222" s="27">
        <f>表1[[#This Row],[m_laser]]</f>
        <v>75.400000000000105</v>
      </c>
    </row>
    <row r="223" spans="1:8" x14ac:dyDescent="0.3">
      <c r="A223" s="27">
        <v>220</v>
      </c>
      <c r="B223" s="28">
        <v>1679.5000000000009</v>
      </c>
      <c r="C223" s="29">
        <v>1679.5000000000009</v>
      </c>
      <c r="D223" s="27">
        <v>61720</v>
      </c>
      <c r="E223" s="27">
        <v>75.700000000000202</v>
      </c>
      <c r="F223" s="27">
        <v>75.700000000000202</v>
      </c>
      <c r="G223" s="27">
        <f>表1[[#This Row],[m_melee]]</f>
        <v>75.700000000000202</v>
      </c>
      <c r="H223" s="27">
        <f>表1[[#This Row],[m_laser]]</f>
        <v>75.700000000000202</v>
      </c>
    </row>
    <row r="224" spans="1:8" x14ac:dyDescent="0.3">
      <c r="A224" s="27">
        <v>221</v>
      </c>
      <c r="B224" s="28">
        <v>1687.5000000000009</v>
      </c>
      <c r="C224" s="29">
        <v>1687.5000000000009</v>
      </c>
      <c r="D224" s="27">
        <v>62000</v>
      </c>
      <c r="E224" s="27">
        <v>76.000000000000199</v>
      </c>
      <c r="F224" s="27">
        <v>76.000000000000199</v>
      </c>
      <c r="G224" s="27">
        <f>表1[[#This Row],[m_melee]]</f>
        <v>76.000000000000199</v>
      </c>
      <c r="H224" s="27">
        <f>表1[[#This Row],[m_laser]]</f>
        <v>76.000000000000199</v>
      </c>
    </row>
    <row r="225" spans="1:8" x14ac:dyDescent="0.3">
      <c r="A225" s="27">
        <v>222</v>
      </c>
      <c r="B225" s="28">
        <v>1695.5000000000009</v>
      </c>
      <c r="C225" s="29">
        <v>1695.5000000000009</v>
      </c>
      <c r="D225" s="27">
        <v>62280</v>
      </c>
      <c r="E225" s="27">
        <v>76.300000000000196</v>
      </c>
      <c r="F225" s="27">
        <v>76.300000000000196</v>
      </c>
      <c r="G225" s="27">
        <f>表1[[#This Row],[m_melee]]</f>
        <v>76.300000000000196</v>
      </c>
      <c r="H225" s="27">
        <f>表1[[#This Row],[m_laser]]</f>
        <v>76.300000000000196</v>
      </c>
    </row>
    <row r="226" spans="1:8" x14ac:dyDescent="0.3">
      <c r="A226" s="27">
        <v>223</v>
      </c>
      <c r="B226" s="28">
        <v>1703.5000000000009</v>
      </c>
      <c r="C226" s="29">
        <v>1703.5000000000009</v>
      </c>
      <c r="D226" s="27">
        <v>62560</v>
      </c>
      <c r="E226" s="27">
        <v>76.600000000000193</v>
      </c>
      <c r="F226" s="27">
        <v>76.600000000000193</v>
      </c>
      <c r="G226" s="27">
        <f>表1[[#This Row],[m_melee]]</f>
        <v>76.600000000000193</v>
      </c>
      <c r="H226" s="27">
        <f>表1[[#This Row],[m_laser]]</f>
        <v>76.600000000000193</v>
      </c>
    </row>
    <row r="227" spans="1:8" x14ac:dyDescent="0.3">
      <c r="A227" s="27">
        <v>224</v>
      </c>
      <c r="B227" s="28">
        <v>1711.5000000000009</v>
      </c>
      <c r="C227" s="29">
        <v>1711.5000000000009</v>
      </c>
      <c r="D227" s="27">
        <v>62840</v>
      </c>
      <c r="E227" s="27">
        <v>76.900000000000205</v>
      </c>
      <c r="F227" s="27">
        <v>76.900000000000205</v>
      </c>
      <c r="G227" s="27">
        <f>表1[[#This Row],[m_melee]]</f>
        <v>76.900000000000205</v>
      </c>
      <c r="H227" s="27">
        <f>表1[[#This Row],[m_laser]]</f>
        <v>76.900000000000205</v>
      </c>
    </row>
    <row r="228" spans="1:8" x14ac:dyDescent="0.3">
      <c r="A228" s="27">
        <v>225</v>
      </c>
      <c r="B228" s="28">
        <v>1719.5000000000009</v>
      </c>
      <c r="C228" s="29">
        <v>1719.5000000000009</v>
      </c>
      <c r="D228" s="27">
        <v>63120</v>
      </c>
      <c r="E228" s="27">
        <v>77.200000000000202</v>
      </c>
      <c r="F228" s="27">
        <v>77.200000000000202</v>
      </c>
      <c r="G228" s="27">
        <f>表1[[#This Row],[m_melee]]</f>
        <v>77.200000000000202</v>
      </c>
      <c r="H228" s="27">
        <f>表1[[#This Row],[m_laser]]</f>
        <v>77.200000000000202</v>
      </c>
    </row>
    <row r="229" spans="1:8" x14ac:dyDescent="0.3">
      <c r="A229" s="27">
        <v>226</v>
      </c>
      <c r="B229" s="28">
        <v>1727.5000000000011</v>
      </c>
      <c r="C229" s="29">
        <v>1727.5000000000011</v>
      </c>
      <c r="D229" s="27">
        <v>63400</v>
      </c>
      <c r="E229" s="27">
        <v>77.500000000000199</v>
      </c>
      <c r="F229" s="27">
        <v>77.500000000000199</v>
      </c>
      <c r="G229" s="27">
        <f>表1[[#This Row],[m_melee]]</f>
        <v>77.500000000000199</v>
      </c>
      <c r="H229" s="27">
        <f>表1[[#This Row],[m_laser]]</f>
        <v>77.500000000000199</v>
      </c>
    </row>
    <row r="230" spans="1:8" x14ac:dyDescent="0.3">
      <c r="A230" s="27">
        <v>227</v>
      </c>
      <c r="B230" s="28">
        <v>1735.5000000000011</v>
      </c>
      <c r="C230" s="29">
        <v>1735.5000000000011</v>
      </c>
      <c r="D230" s="27">
        <v>63680</v>
      </c>
      <c r="E230" s="27">
        <v>77.800000000000196</v>
      </c>
      <c r="F230" s="27">
        <v>77.800000000000196</v>
      </c>
      <c r="G230" s="27">
        <f>表1[[#This Row],[m_melee]]</f>
        <v>77.800000000000196</v>
      </c>
      <c r="H230" s="27">
        <f>表1[[#This Row],[m_laser]]</f>
        <v>77.800000000000196</v>
      </c>
    </row>
    <row r="231" spans="1:8" x14ac:dyDescent="0.3">
      <c r="A231" s="27">
        <v>228</v>
      </c>
      <c r="B231" s="28">
        <v>1743.5000000000011</v>
      </c>
      <c r="C231" s="29">
        <v>1743.5000000000011</v>
      </c>
      <c r="D231" s="27">
        <v>63960</v>
      </c>
      <c r="E231" s="27">
        <v>78.100000000000193</v>
      </c>
      <c r="F231" s="27">
        <v>78.100000000000193</v>
      </c>
      <c r="G231" s="27">
        <f>表1[[#This Row],[m_melee]]</f>
        <v>78.100000000000193</v>
      </c>
      <c r="H231" s="27">
        <f>表1[[#This Row],[m_laser]]</f>
        <v>78.100000000000193</v>
      </c>
    </row>
    <row r="232" spans="1:8" x14ac:dyDescent="0.3">
      <c r="A232" s="27">
        <v>229</v>
      </c>
      <c r="B232" s="28">
        <v>1751.5000000000011</v>
      </c>
      <c r="C232" s="29">
        <v>1751.5000000000011</v>
      </c>
      <c r="D232" s="27">
        <v>64240</v>
      </c>
      <c r="E232" s="27">
        <v>78.400000000000205</v>
      </c>
      <c r="F232" s="27">
        <v>78.400000000000205</v>
      </c>
      <c r="G232" s="27">
        <f>表1[[#This Row],[m_melee]]</f>
        <v>78.400000000000205</v>
      </c>
      <c r="H232" s="27">
        <f>表1[[#This Row],[m_laser]]</f>
        <v>78.400000000000205</v>
      </c>
    </row>
    <row r="233" spans="1:8" x14ac:dyDescent="0.3">
      <c r="A233" s="27">
        <v>230</v>
      </c>
      <c r="B233" s="28">
        <v>1759.5000000000011</v>
      </c>
      <c r="C233" s="29">
        <v>1759.5000000000011</v>
      </c>
      <c r="D233" s="27">
        <v>64520</v>
      </c>
      <c r="E233" s="27">
        <v>78.700000000000202</v>
      </c>
      <c r="F233" s="27">
        <v>78.700000000000202</v>
      </c>
      <c r="G233" s="27">
        <f>表1[[#This Row],[m_melee]]</f>
        <v>78.700000000000202</v>
      </c>
      <c r="H233" s="27">
        <f>表1[[#This Row],[m_laser]]</f>
        <v>78.700000000000202</v>
      </c>
    </row>
    <row r="234" spans="1:8" x14ac:dyDescent="0.3">
      <c r="A234" s="27">
        <v>231</v>
      </c>
      <c r="B234" s="28">
        <v>1767.5000000000014</v>
      </c>
      <c r="C234" s="29">
        <v>1767.5000000000014</v>
      </c>
      <c r="D234" s="27">
        <v>64800</v>
      </c>
      <c r="E234" s="27">
        <v>79.000000000000199</v>
      </c>
      <c r="F234" s="27">
        <v>79.000000000000199</v>
      </c>
      <c r="G234" s="27">
        <f>表1[[#This Row],[m_melee]]</f>
        <v>79.000000000000199</v>
      </c>
      <c r="H234" s="27">
        <f>表1[[#This Row],[m_laser]]</f>
        <v>79.000000000000199</v>
      </c>
    </row>
    <row r="235" spans="1:8" x14ac:dyDescent="0.3">
      <c r="A235" s="27">
        <v>232</v>
      </c>
      <c r="B235" s="28">
        <v>1775.5000000000014</v>
      </c>
      <c r="C235" s="29">
        <v>1775.5000000000014</v>
      </c>
      <c r="D235" s="27">
        <v>65080</v>
      </c>
      <c r="E235" s="27">
        <v>79.300000000000196</v>
      </c>
      <c r="F235" s="27">
        <v>79.300000000000196</v>
      </c>
      <c r="G235" s="27">
        <f>表1[[#This Row],[m_melee]]</f>
        <v>79.300000000000196</v>
      </c>
      <c r="H235" s="27">
        <f>表1[[#This Row],[m_laser]]</f>
        <v>79.300000000000196</v>
      </c>
    </row>
    <row r="236" spans="1:8" x14ac:dyDescent="0.3">
      <c r="A236" s="27">
        <v>233</v>
      </c>
      <c r="B236" s="28">
        <v>1783.5000000000014</v>
      </c>
      <c r="C236" s="29">
        <v>1783.5000000000014</v>
      </c>
      <c r="D236" s="27">
        <v>65360</v>
      </c>
      <c r="E236" s="27">
        <v>79.600000000000193</v>
      </c>
      <c r="F236" s="27">
        <v>79.600000000000193</v>
      </c>
      <c r="G236" s="27">
        <f>表1[[#This Row],[m_melee]]</f>
        <v>79.600000000000193</v>
      </c>
      <c r="H236" s="27">
        <f>表1[[#This Row],[m_laser]]</f>
        <v>79.600000000000193</v>
      </c>
    </row>
    <row r="237" spans="1:8" x14ac:dyDescent="0.3">
      <c r="A237" s="27">
        <v>234</v>
      </c>
      <c r="B237" s="28">
        <v>1791.5000000000014</v>
      </c>
      <c r="C237" s="29">
        <v>1791.5000000000014</v>
      </c>
      <c r="D237" s="27">
        <v>65640</v>
      </c>
      <c r="E237" s="27">
        <v>79.900000000000205</v>
      </c>
      <c r="F237" s="27">
        <v>79.900000000000205</v>
      </c>
      <c r="G237" s="27">
        <f>表1[[#This Row],[m_melee]]</f>
        <v>79.900000000000205</v>
      </c>
      <c r="H237" s="27">
        <f>表1[[#This Row],[m_laser]]</f>
        <v>79.900000000000205</v>
      </c>
    </row>
    <row r="238" spans="1:8" x14ac:dyDescent="0.3">
      <c r="A238" s="27">
        <v>235</v>
      </c>
      <c r="B238" s="28">
        <v>1799.5000000000014</v>
      </c>
      <c r="C238" s="29">
        <v>1799.5000000000014</v>
      </c>
      <c r="D238" s="27">
        <v>65920</v>
      </c>
      <c r="E238" s="27">
        <v>80.200000000000202</v>
      </c>
      <c r="F238" s="27">
        <v>80.200000000000202</v>
      </c>
      <c r="G238" s="27">
        <f>表1[[#This Row],[m_melee]]</f>
        <v>80.200000000000202</v>
      </c>
      <c r="H238" s="27">
        <f>表1[[#This Row],[m_laser]]</f>
        <v>80.200000000000202</v>
      </c>
    </row>
    <row r="239" spans="1:8" x14ac:dyDescent="0.3">
      <c r="A239" s="27">
        <v>236</v>
      </c>
      <c r="B239" s="28">
        <v>1807.5000000000014</v>
      </c>
      <c r="C239" s="29">
        <v>1807.5000000000014</v>
      </c>
      <c r="D239" s="27">
        <v>66200</v>
      </c>
      <c r="E239" s="27">
        <v>80.500000000000199</v>
      </c>
      <c r="F239" s="27">
        <v>80.500000000000199</v>
      </c>
      <c r="G239" s="27">
        <f>表1[[#This Row],[m_melee]]</f>
        <v>80.500000000000199</v>
      </c>
      <c r="H239" s="27">
        <f>表1[[#This Row],[m_laser]]</f>
        <v>80.500000000000199</v>
      </c>
    </row>
    <row r="240" spans="1:8" x14ac:dyDescent="0.3">
      <c r="A240" s="27">
        <v>237</v>
      </c>
      <c r="B240" s="28">
        <v>1815.5000000000014</v>
      </c>
      <c r="C240" s="29">
        <v>1815.5000000000014</v>
      </c>
      <c r="D240" s="27">
        <v>66480</v>
      </c>
      <c r="E240" s="27">
        <v>80.800000000000196</v>
      </c>
      <c r="F240" s="27">
        <v>80.800000000000196</v>
      </c>
      <c r="G240" s="27">
        <f>表1[[#This Row],[m_melee]]</f>
        <v>80.800000000000196</v>
      </c>
      <c r="H240" s="27">
        <f>表1[[#This Row],[m_laser]]</f>
        <v>80.800000000000196</v>
      </c>
    </row>
    <row r="241" spans="1:8" x14ac:dyDescent="0.3">
      <c r="A241" s="27">
        <v>238</v>
      </c>
      <c r="B241" s="28">
        <v>1823.5000000000014</v>
      </c>
      <c r="C241" s="29">
        <v>1823.5000000000014</v>
      </c>
      <c r="D241" s="27">
        <v>66760</v>
      </c>
      <c r="E241" s="27">
        <v>81.100000000000193</v>
      </c>
      <c r="F241" s="27">
        <v>81.100000000000193</v>
      </c>
      <c r="G241" s="27">
        <f>表1[[#This Row],[m_melee]]</f>
        <v>81.100000000000193</v>
      </c>
      <c r="H241" s="27">
        <f>表1[[#This Row],[m_laser]]</f>
        <v>81.100000000000193</v>
      </c>
    </row>
    <row r="242" spans="1:8" x14ac:dyDescent="0.3">
      <c r="A242" s="27">
        <v>239</v>
      </c>
      <c r="B242" s="28">
        <v>1831.5000000000014</v>
      </c>
      <c r="C242" s="29">
        <v>1831.5000000000014</v>
      </c>
      <c r="D242" s="27">
        <v>67040</v>
      </c>
      <c r="E242" s="27">
        <v>81.400000000000205</v>
      </c>
      <c r="F242" s="27">
        <v>81.400000000000205</v>
      </c>
      <c r="G242" s="27">
        <f>表1[[#This Row],[m_melee]]</f>
        <v>81.400000000000205</v>
      </c>
      <c r="H242" s="27">
        <f>表1[[#This Row],[m_laser]]</f>
        <v>81.400000000000205</v>
      </c>
    </row>
    <row r="243" spans="1:8" x14ac:dyDescent="0.3">
      <c r="A243" s="27">
        <v>240</v>
      </c>
      <c r="B243" s="28">
        <v>1839.5000000000014</v>
      </c>
      <c r="C243" s="29">
        <v>1839.5000000000014</v>
      </c>
      <c r="D243" s="27">
        <v>67320</v>
      </c>
      <c r="E243" s="27">
        <v>81.700000000000202</v>
      </c>
      <c r="F243" s="27">
        <v>81.700000000000202</v>
      </c>
      <c r="G243" s="27">
        <f>表1[[#This Row],[m_melee]]</f>
        <v>81.700000000000202</v>
      </c>
      <c r="H243" s="27">
        <f>表1[[#This Row],[m_laser]]</f>
        <v>81.700000000000202</v>
      </c>
    </row>
    <row r="244" spans="1:8" x14ac:dyDescent="0.3">
      <c r="A244" s="27">
        <v>241</v>
      </c>
      <c r="B244" s="28">
        <v>1847.5000000000014</v>
      </c>
      <c r="C244" s="29">
        <v>1847.5000000000014</v>
      </c>
      <c r="D244" s="27">
        <v>67600</v>
      </c>
      <c r="E244" s="27">
        <v>82.000000000000199</v>
      </c>
      <c r="F244" s="27">
        <v>82.000000000000199</v>
      </c>
      <c r="G244" s="27">
        <f>表1[[#This Row],[m_melee]]</f>
        <v>82.000000000000199</v>
      </c>
      <c r="H244" s="27">
        <f>表1[[#This Row],[m_laser]]</f>
        <v>82.000000000000199</v>
      </c>
    </row>
    <row r="245" spans="1:8" x14ac:dyDescent="0.3">
      <c r="A245" s="27">
        <v>242</v>
      </c>
      <c r="B245" s="28">
        <v>1855.5000000000016</v>
      </c>
      <c r="C245" s="29">
        <v>1855.5000000000016</v>
      </c>
      <c r="D245" s="27">
        <v>67880</v>
      </c>
      <c r="E245" s="27">
        <v>82.300000000000196</v>
      </c>
      <c r="F245" s="27">
        <v>82.300000000000196</v>
      </c>
      <c r="G245" s="27">
        <f>表1[[#This Row],[m_melee]]</f>
        <v>82.300000000000196</v>
      </c>
      <c r="H245" s="27">
        <f>表1[[#This Row],[m_laser]]</f>
        <v>82.300000000000196</v>
      </c>
    </row>
    <row r="246" spans="1:8" x14ac:dyDescent="0.3">
      <c r="A246" s="27">
        <v>243</v>
      </c>
      <c r="B246" s="28">
        <v>1863.5000000000016</v>
      </c>
      <c r="C246" s="29">
        <v>1863.5000000000016</v>
      </c>
      <c r="D246" s="27">
        <v>68160</v>
      </c>
      <c r="E246" s="27">
        <v>82.600000000000193</v>
      </c>
      <c r="F246" s="27">
        <v>82.600000000000193</v>
      </c>
      <c r="G246" s="27">
        <f>表1[[#This Row],[m_melee]]</f>
        <v>82.600000000000193</v>
      </c>
      <c r="H246" s="27">
        <f>表1[[#This Row],[m_laser]]</f>
        <v>82.600000000000193</v>
      </c>
    </row>
    <row r="247" spans="1:8" x14ac:dyDescent="0.3">
      <c r="A247" s="27">
        <v>244</v>
      </c>
      <c r="B247" s="28">
        <v>1871.5000000000016</v>
      </c>
      <c r="C247" s="29">
        <v>1871.5000000000016</v>
      </c>
      <c r="D247" s="27">
        <v>68440</v>
      </c>
      <c r="E247" s="27">
        <v>82.900000000000205</v>
      </c>
      <c r="F247" s="27">
        <v>82.900000000000205</v>
      </c>
      <c r="G247" s="27">
        <f>表1[[#This Row],[m_melee]]</f>
        <v>82.900000000000205</v>
      </c>
      <c r="H247" s="27">
        <f>表1[[#This Row],[m_laser]]</f>
        <v>82.900000000000205</v>
      </c>
    </row>
    <row r="248" spans="1:8" x14ac:dyDescent="0.3">
      <c r="A248" s="27">
        <v>245</v>
      </c>
      <c r="B248" s="28">
        <v>1879.5000000000016</v>
      </c>
      <c r="C248" s="29">
        <v>1879.5000000000016</v>
      </c>
      <c r="D248" s="27">
        <v>68720</v>
      </c>
      <c r="E248" s="27">
        <v>83.200000000000202</v>
      </c>
      <c r="F248" s="27">
        <v>83.200000000000202</v>
      </c>
      <c r="G248" s="27">
        <f>表1[[#This Row],[m_melee]]</f>
        <v>83.200000000000202</v>
      </c>
      <c r="H248" s="27">
        <f>表1[[#This Row],[m_laser]]</f>
        <v>83.200000000000202</v>
      </c>
    </row>
    <row r="249" spans="1:8" x14ac:dyDescent="0.3">
      <c r="A249" s="27">
        <v>246</v>
      </c>
      <c r="B249" s="28">
        <v>1887.5000000000016</v>
      </c>
      <c r="C249" s="29">
        <v>1887.5000000000016</v>
      </c>
      <c r="D249" s="27">
        <v>69000</v>
      </c>
      <c r="E249" s="27">
        <v>83.500000000000199</v>
      </c>
      <c r="F249" s="27">
        <v>83.500000000000199</v>
      </c>
      <c r="G249" s="27">
        <f>表1[[#This Row],[m_melee]]</f>
        <v>83.500000000000199</v>
      </c>
      <c r="H249" s="27">
        <f>表1[[#This Row],[m_laser]]</f>
        <v>83.500000000000199</v>
      </c>
    </row>
    <row r="250" spans="1:8" x14ac:dyDescent="0.3">
      <c r="A250" s="27">
        <v>247</v>
      </c>
      <c r="B250" s="28">
        <v>1895.5000000000018</v>
      </c>
      <c r="C250" s="29">
        <v>1895.5000000000018</v>
      </c>
      <c r="D250" s="27">
        <v>69280</v>
      </c>
      <c r="E250" s="27">
        <v>83.800000000000196</v>
      </c>
      <c r="F250" s="27">
        <v>83.800000000000196</v>
      </c>
      <c r="G250" s="27">
        <f>表1[[#This Row],[m_melee]]</f>
        <v>83.800000000000196</v>
      </c>
      <c r="H250" s="27">
        <f>表1[[#This Row],[m_laser]]</f>
        <v>83.800000000000196</v>
      </c>
    </row>
    <row r="251" spans="1:8" x14ac:dyDescent="0.3">
      <c r="A251" s="27">
        <v>248</v>
      </c>
      <c r="B251" s="28">
        <v>1903.5000000000018</v>
      </c>
      <c r="C251" s="29">
        <v>1903.5000000000018</v>
      </c>
      <c r="D251" s="27">
        <v>69560</v>
      </c>
      <c r="E251" s="27">
        <v>84.100000000000193</v>
      </c>
      <c r="F251" s="27">
        <v>84.100000000000193</v>
      </c>
      <c r="G251" s="27">
        <f>表1[[#This Row],[m_melee]]</f>
        <v>84.100000000000193</v>
      </c>
      <c r="H251" s="27">
        <f>表1[[#This Row],[m_laser]]</f>
        <v>84.100000000000193</v>
      </c>
    </row>
    <row r="252" spans="1:8" x14ac:dyDescent="0.3">
      <c r="A252" s="27">
        <v>249</v>
      </c>
      <c r="B252" s="28">
        <v>1911.5000000000018</v>
      </c>
      <c r="C252" s="29">
        <v>1911.5000000000018</v>
      </c>
      <c r="D252" s="27">
        <v>69840</v>
      </c>
      <c r="E252" s="27">
        <v>84.400000000000205</v>
      </c>
      <c r="F252" s="27">
        <v>84.400000000000205</v>
      </c>
      <c r="G252" s="27">
        <f>表1[[#This Row],[m_melee]]</f>
        <v>84.400000000000205</v>
      </c>
      <c r="H252" s="27">
        <f>表1[[#This Row],[m_laser]]</f>
        <v>84.400000000000205</v>
      </c>
    </row>
    <row r="253" spans="1:8" x14ac:dyDescent="0.3">
      <c r="A253" s="27">
        <v>250</v>
      </c>
      <c r="B253" s="28">
        <v>1919.5000000000018</v>
      </c>
      <c r="C253" s="29">
        <v>1919.5000000000018</v>
      </c>
      <c r="D253" s="27">
        <v>70120</v>
      </c>
      <c r="E253" s="27">
        <v>84.700000000000202</v>
      </c>
      <c r="F253" s="27">
        <v>84.700000000000202</v>
      </c>
      <c r="G253" s="27">
        <f>表1[[#This Row],[m_melee]]</f>
        <v>84.700000000000202</v>
      </c>
      <c r="H253" s="27">
        <f>表1[[#This Row],[m_laser]]</f>
        <v>84.700000000000202</v>
      </c>
    </row>
    <row r="254" spans="1:8" x14ac:dyDescent="0.3">
      <c r="A254" s="27">
        <v>251</v>
      </c>
      <c r="B254" s="28">
        <v>1927.5000000000018</v>
      </c>
      <c r="C254" s="29">
        <v>1927.5000000000018</v>
      </c>
      <c r="D254" s="27">
        <v>70400</v>
      </c>
      <c r="E254" s="27">
        <v>85.000000000000199</v>
      </c>
      <c r="F254" s="27">
        <v>85.000000000000199</v>
      </c>
      <c r="G254" s="27">
        <f>表1[[#This Row],[m_melee]]</f>
        <v>85.000000000000199</v>
      </c>
      <c r="H254" s="27">
        <f>表1[[#This Row],[m_laser]]</f>
        <v>85.000000000000199</v>
      </c>
    </row>
    <row r="255" spans="1:8" x14ac:dyDescent="0.3">
      <c r="A255" s="27">
        <v>252</v>
      </c>
      <c r="B255" s="28">
        <v>1935.5000000000018</v>
      </c>
      <c r="C255" s="29">
        <v>1935.5000000000018</v>
      </c>
      <c r="D255" s="27">
        <v>70680</v>
      </c>
      <c r="E255" s="27">
        <v>85.300000000000196</v>
      </c>
      <c r="F255" s="27">
        <v>85.300000000000196</v>
      </c>
      <c r="G255" s="27">
        <f>表1[[#This Row],[m_melee]]</f>
        <v>85.300000000000196</v>
      </c>
      <c r="H255" s="27">
        <f>表1[[#This Row],[m_laser]]</f>
        <v>85.300000000000196</v>
      </c>
    </row>
    <row r="256" spans="1:8" x14ac:dyDescent="0.3">
      <c r="A256" s="27">
        <v>253</v>
      </c>
      <c r="B256" s="28">
        <v>1943.5000000000018</v>
      </c>
      <c r="C256" s="29">
        <v>1943.5000000000018</v>
      </c>
      <c r="D256" s="27">
        <v>70960</v>
      </c>
      <c r="E256" s="27">
        <v>85.600000000000193</v>
      </c>
      <c r="F256" s="27">
        <v>85.600000000000193</v>
      </c>
      <c r="G256" s="27">
        <f>表1[[#This Row],[m_melee]]</f>
        <v>85.600000000000193</v>
      </c>
      <c r="H256" s="27">
        <f>表1[[#This Row],[m_laser]]</f>
        <v>85.600000000000193</v>
      </c>
    </row>
    <row r="257" spans="1:8" x14ac:dyDescent="0.3">
      <c r="A257" s="27">
        <v>254</v>
      </c>
      <c r="B257" s="28">
        <v>1951.5000000000018</v>
      </c>
      <c r="C257" s="29">
        <v>1951.5000000000018</v>
      </c>
      <c r="D257" s="27">
        <v>71240</v>
      </c>
      <c r="E257" s="27">
        <v>85.900000000000205</v>
      </c>
      <c r="F257" s="27">
        <v>85.900000000000205</v>
      </c>
      <c r="G257" s="27">
        <f>表1[[#This Row],[m_melee]]</f>
        <v>85.900000000000205</v>
      </c>
      <c r="H257" s="27">
        <f>表1[[#This Row],[m_laser]]</f>
        <v>85.900000000000205</v>
      </c>
    </row>
    <row r="258" spans="1:8" x14ac:dyDescent="0.3">
      <c r="A258" s="27">
        <v>255</v>
      </c>
      <c r="B258" s="28">
        <v>1959.5000000000018</v>
      </c>
      <c r="C258" s="29">
        <v>1959.5000000000018</v>
      </c>
      <c r="D258" s="27">
        <v>71520</v>
      </c>
      <c r="E258" s="27">
        <v>86.200000000000202</v>
      </c>
      <c r="F258" s="27">
        <v>86.200000000000202</v>
      </c>
      <c r="G258" s="27">
        <f>表1[[#This Row],[m_melee]]</f>
        <v>86.200000000000202</v>
      </c>
      <c r="H258" s="27">
        <f>表1[[#This Row],[m_laser]]</f>
        <v>86.200000000000202</v>
      </c>
    </row>
    <row r="259" spans="1:8" x14ac:dyDescent="0.3">
      <c r="A259" s="27">
        <v>256</v>
      </c>
      <c r="B259" s="28">
        <v>1967.5000000000018</v>
      </c>
      <c r="C259" s="29">
        <v>1967.5000000000018</v>
      </c>
      <c r="D259" s="27">
        <v>71800</v>
      </c>
      <c r="E259" s="27">
        <v>86.500000000000199</v>
      </c>
      <c r="F259" s="27">
        <v>86.500000000000199</v>
      </c>
      <c r="G259" s="27">
        <f>表1[[#This Row],[m_melee]]</f>
        <v>86.500000000000199</v>
      </c>
      <c r="H259" s="27">
        <f>表1[[#This Row],[m_laser]]</f>
        <v>86.500000000000199</v>
      </c>
    </row>
    <row r="260" spans="1:8" x14ac:dyDescent="0.3">
      <c r="A260" s="27">
        <v>257</v>
      </c>
      <c r="B260" s="28">
        <v>1975.5000000000018</v>
      </c>
      <c r="C260" s="29">
        <v>1975.5000000000018</v>
      </c>
      <c r="D260" s="27">
        <v>72080</v>
      </c>
      <c r="E260" s="27">
        <v>86.800000000000196</v>
      </c>
      <c r="F260" s="27">
        <v>86.800000000000196</v>
      </c>
      <c r="G260" s="27">
        <f>表1[[#This Row],[m_melee]]</f>
        <v>86.800000000000196</v>
      </c>
      <c r="H260" s="27">
        <f>表1[[#This Row],[m_laser]]</f>
        <v>86.800000000000196</v>
      </c>
    </row>
    <row r="261" spans="1:8" x14ac:dyDescent="0.3">
      <c r="A261" s="27">
        <v>258</v>
      </c>
      <c r="B261" s="28">
        <v>1983.500000000002</v>
      </c>
      <c r="C261" s="29">
        <v>1983.500000000002</v>
      </c>
      <c r="D261" s="27">
        <v>72360</v>
      </c>
      <c r="E261" s="27">
        <v>87.100000000000193</v>
      </c>
      <c r="F261" s="27">
        <v>87.100000000000193</v>
      </c>
      <c r="G261" s="27">
        <f>表1[[#This Row],[m_melee]]</f>
        <v>87.100000000000193</v>
      </c>
      <c r="H261" s="27">
        <f>表1[[#This Row],[m_laser]]</f>
        <v>87.100000000000193</v>
      </c>
    </row>
    <row r="262" spans="1:8" x14ac:dyDescent="0.3">
      <c r="A262" s="27">
        <v>259</v>
      </c>
      <c r="B262" s="28">
        <v>1991.500000000002</v>
      </c>
      <c r="C262" s="29">
        <v>1991.500000000002</v>
      </c>
      <c r="D262" s="27">
        <v>72640</v>
      </c>
      <c r="E262" s="27">
        <v>87.400000000000205</v>
      </c>
      <c r="F262" s="27">
        <v>87.400000000000205</v>
      </c>
      <c r="G262" s="27">
        <f>表1[[#This Row],[m_melee]]</f>
        <v>87.400000000000205</v>
      </c>
      <c r="H262" s="27">
        <f>表1[[#This Row],[m_laser]]</f>
        <v>87.400000000000205</v>
      </c>
    </row>
    <row r="263" spans="1:8" x14ac:dyDescent="0.3">
      <c r="A263" s="27">
        <v>260</v>
      </c>
      <c r="B263" s="28">
        <v>1999.500000000002</v>
      </c>
      <c r="C263" s="29">
        <v>1999.500000000002</v>
      </c>
      <c r="D263" s="27">
        <v>72920</v>
      </c>
      <c r="E263" s="27">
        <v>87.700000000000202</v>
      </c>
      <c r="F263" s="27">
        <v>87.700000000000202</v>
      </c>
      <c r="G263" s="27">
        <f>表1[[#This Row],[m_melee]]</f>
        <v>87.700000000000202</v>
      </c>
      <c r="H263" s="27">
        <f>表1[[#This Row],[m_laser]]</f>
        <v>87.700000000000202</v>
      </c>
    </row>
    <row r="264" spans="1:8" x14ac:dyDescent="0.3">
      <c r="A264" s="27">
        <v>261</v>
      </c>
      <c r="B264" s="28">
        <v>2007.500000000002</v>
      </c>
      <c r="C264" s="29">
        <v>2007.500000000002</v>
      </c>
      <c r="D264" s="27">
        <v>73200</v>
      </c>
      <c r="E264" s="27">
        <v>88.000000000000199</v>
      </c>
      <c r="F264" s="27">
        <v>88.000000000000199</v>
      </c>
      <c r="G264" s="27">
        <f>表1[[#This Row],[m_melee]]</f>
        <v>88.000000000000199</v>
      </c>
      <c r="H264" s="27">
        <f>表1[[#This Row],[m_laser]]</f>
        <v>88.000000000000199</v>
      </c>
    </row>
    <row r="265" spans="1:8" x14ac:dyDescent="0.3">
      <c r="A265" s="27">
        <v>262</v>
      </c>
      <c r="B265" s="28">
        <v>2015.500000000002</v>
      </c>
      <c r="C265" s="29">
        <v>2015.500000000002</v>
      </c>
      <c r="D265" s="27">
        <v>73480</v>
      </c>
      <c r="E265" s="27">
        <v>88.300000000000196</v>
      </c>
      <c r="F265" s="27">
        <v>88.300000000000196</v>
      </c>
      <c r="G265" s="27">
        <f>表1[[#This Row],[m_melee]]</f>
        <v>88.300000000000196</v>
      </c>
      <c r="H265" s="27">
        <f>表1[[#This Row],[m_laser]]</f>
        <v>88.300000000000196</v>
      </c>
    </row>
    <row r="266" spans="1:8" x14ac:dyDescent="0.3">
      <c r="A266" s="27">
        <v>263</v>
      </c>
      <c r="B266" s="28">
        <v>2023.5000000000023</v>
      </c>
      <c r="C266" s="29">
        <v>2023.5000000000023</v>
      </c>
      <c r="D266" s="27">
        <v>73760</v>
      </c>
      <c r="E266" s="27">
        <v>88.600000000000193</v>
      </c>
      <c r="F266" s="27">
        <v>88.600000000000193</v>
      </c>
      <c r="G266" s="27">
        <f>表1[[#This Row],[m_melee]]</f>
        <v>88.600000000000193</v>
      </c>
      <c r="H266" s="27">
        <f>表1[[#This Row],[m_laser]]</f>
        <v>88.600000000000193</v>
      </c>
    </row>
    <row r="267" spans="1:8" x14ac:dyDescent="0.3">
      <c r="A267" s="27">
        <v>264</v>
      </c>
      <c r="B267" s="28">
        <v>2031.5000000000023</v>
      </c>
      <c r="C267" s="29">
        <v>2031.5000000000023</v>
      </c>
      <c r="D267" s="27">
        <v>74040</v>
      </c>
      <c r="E267" s="27">
        <v>88.900000000000205</v>
      </c>
      <c r="F267" s="27">
        <v>88.900000000000205</v>
      </c>
      <c r="G267" s="27">
        <f>表1[[#This Row],[m_melee]]</f>
        <v>88.900000000000205</v>
      </c>
      <c r="H267" s="27">
        <f>表1[[#This Row],[m_laser]]</f>
        <v>88.900000000000205</v>
      </c>
    </row>
    <row r="268" spans="1:8" x14ac:dyDescent="0.3">
      <c r="A268" s="27">
        <v>265</v>
      </c>
      <c r="B268" s="28">
        <v>2039.5000000000023</v>
      </c>
      <c r="C268" s="29">
        <v>2039.5000000000023</v>
      </c>
      <c r="D268" s="27">
        <v>74320</v>
      </c>
      <c r="E268" s="27">
        <v>89.200000000000202</v>
      </c>
      <c r="F268" s="27">
        <v>89.200000000000202</v>
      </c>
      <c r="G268" s="27">
        <f>表1[[#This Row],[m_melee]]</f>
        <v>89.200000000000202</v>
      </c>
      <c r="H268" s="27">
        <f>表1[[#This Row],[m_laser]]</f>
        <v>89.200000000000202</v>
      </c>
    </row>
    <row r="269" spans="1:8" x14ac:dyDescent="0.3">
      <c r="A269" s="27">
        <v>266</v>
      </c>
      <c r="B269" s="28">
        <v>2047.5000000000023</v>
      </c>
      <c r="C269" s="29">
        <v>2047.5000000000023</v>
      </c>
      <c r="D269" s="27">
        <v>74600</v>
      </c>
      <c r="E269" s="27">
        <v>89.500000000000199</v>
      </c>
      <c r="F269" s="27">
        <v>89.500000000000199</v>
      </c>
      <c r="G269" s="27">
        <f>表1[[#This Row],[m_melee]]</f>
        <v>89.500000000000199</v>
      </c>
      <c r="H269" s="27">
        <f>表1[[#This Row],[m_laser]]</f>
        <v>89.500000000000199</v>
      </c>
    </row>
    <row r="270" spans="1:8" x14ac:dyDescent="0.3">
      <c r="A270" s="27">
        <v>267</v>
      </c>
      <c r="B270" s="28">
        <v>2055.5000000000023</v>
      </c>
      <c r="C270" s="29">
        <v>2055.5000000000023</v>
      </c>
      <c r="D270" s="27">
        <v>74880</v>
      </c>
      <c r="E270" s="27">
        <v>89.800000000000196</v>
      </c>
      <c r="F270" s="27">
        <v>89.800000000000196</v>
      </c>
      <c r="G270" s="27">
        <f>表1[[#This Row],[m_melee]]</f>
        <v>89.800000000000196</v>
      </c>
      <c r="H270" s="27">
        <f>表1[[#This Row],[m_laser]]</f>
        <v>89.800000000000196</v>
      </c>
    </row>
    <row r="271" spans="1:8" x14ac:dyDescent="0.3">
      <c r="A271" s="27">
        <v>268</v>
      </c>
      <c r="B271" s="28">
        <v>2063.5000000000023</v>
      </c>
      <c r="C271" s="29">
        <v>2063.5000000000023</v>
      </c>
      <c r="D271" s="27">
        <v>75160</v>
      </c>
      <c r="E271" s="27">
        <v>90.100000000000193</v>
      </c>
      <c r="F271" s="27">
        <v>90.100000000000193</v>
      </c>
      <c r="G271" s="27">
        <f>表1[[#This Row],[m_melee]]</f>
        <v>90.100000000000193</v>
      </c>
      <c r="H271" s="27">
        <f>表1[[#This Row],[m_laser]]</f>
        <v>90.100000000000193</v>
      </c>
    </row>
    <row r="272" spans="1:8" x14ac:dyDescent="0.3">
      <c r="A272" s="27">
        <v>269</v>
      </c>
      <c r="B272" s="28">
        <v>2071.5000000000023</v>
      </c>
      <c r="C272" s="29">
        <v>2071.5000000000023</v>
      </c>
      <c r="D272" s="27">
        <v>75440</v>
      </c>
      <c r="E272" s="27">
        <v>90.400000000000205</v>
      </c>
      <c r="F272" s="27">
        <v>90.400000000000205</v>
      </c>
      <c r="G272" s="27">
        <f>表1[[#This Row],[m_melee]]</f>
        <v>90.400000000000205</v>
      </c>
      <c r="H272" s="27">
        <f>表1[[#This Row],[m_laser]]</f>
        <v>90.400000000000205</v>
      </c>
    </row>
    <row r="273" spans="1:8" x14ac:dyDescent="0.3">
      <c r="A273" s="27">
        <v>270</v>
      </c>
      <c r="B273" s="28">
        <v>2079.5000000000023</v>
      </c>
      <c r="C273" s="29">
        <v>2079.5000000000023</v>
      </c>
      <c r="D273" s="27">
        <v>75720</v>
      </c>
      <c r="E273" s="27">
        <v>90.700000000000202</v>
      </c>
      <c r="F273" s="27">
        <v>90.700000000000202</v>
      </c>
      <c r="G273" s="27">
        <f>表1[[#This Row],[m_melee]]</f>
        <v>90.700000000000202</v>
      </c>
      <c r="H273" s="27">
        <f>表1[[#This Row],[m_laser]]</f>
        <v>90.700000000000202</v>
      </c>
    </row>
    <row r="274" spans="1:8" x14ac:dyDescent="0.3">
      <c r="A274" s="27">
        <v>271</v>
      </c>
      <c r="B274" s="28">
        <v>2087.5000000000023</v>
      </c>
      <c r="C274" s="29">
        <v>2087.5000000000023</v>
      </c>
      <c r="D274" s="27">
        <v>76000</v>
      </c>
      <c r="E274" s="27">
        <v>91.000000000000199</v>
      </c>
      <c r="F274" s="27">
        <v>91.000000000000199</v>
      </c>
      <c r="G274" s="27">
        <f>表1[[#This Row],[m_melee]]</f>
        <v>91.000000000000199</v>
      </c>
      <c r="H274" s="27">
        <f>表1[[#This Row],[m_laser]]</f>
        <v>91.000000000000199</v>
      </c>
    </row>
    <row r="275" spans="1:8" x14ac:dyDescent="0.3">
      <c r="A275" s="27">
        <v>272</v>
      </c>
      <c r="B275" s="28">
        <v>2095.5000000000023</v>
      </c>
      <c r="C275" s="29">
        <v>2095.5000000000023</v>
      </c>
      <c r="D275" s="27">
        <v>76280</v>
      </c>
      <c r="E275" s="27">
        <v>91.300000000000196</v>
      </c>
      <c r="F275" s="27">
        <v>91.300000000000196</v>
      </c>
      <c r="G275" s="27">
        <f>表1[[#This Row],[m_melee]]</f>
        <v>91.300000000000196</v>
      </c>
      <c r="H275" s="27">
        <f>表1[[#This Row],[m_laser]]</f>
        <v>91.300000000000196</v>
      </c>
    </row>
    <row r="276" spans="1:8" x14ac:dyDescent="0.3">
      <c r="A276" s="27">
        <v>273</v>
      </c>
      <c r="B276" s="28">
        <v>2103.5000000000023</v>
      </c>
      <c r="C276" s="29">
        <v>2103.5000000000023</v>
      </c>
      <c r="D276" s="27">
        <v>76560</v>
      </c>
      <c r="E276" s="27">
        <v>91.600000000000193</v>
      </c>
      <c r="F276" s="27">
        <v>91.600000000000193</v>
      </c>
      <c r="G276" s="27">
        <f>表1[[#This Row],[m_melee]]</f>
        <v>91.600000000000193</v>
      </c>
      <c r="H276" s="27">
        <f>表1[[#This Row],[m_laser]]</f>
        <v>91.600000000000193</v>
      </c>
    </row>
    <row r="277" spans="1:8" x14ac:dyDescent="0.3">
      <c r="A277" s="27">
        <v>274</v>
      </c>
      <c r="B277" s="28">
        <v>2111.5000000000027</v>
      </c>
      <c r="C277" s="29">
        <v>2111.5000000000027</v>
      </c>
      <c r="D277" s="27">
        <v>76840</v>
      </c>
      <c r="E277" s="27">
        <v>91.900000000000205</v>
      </c>
      <c r="F277" s="27">
        <v>91.900000000000205</v>
      </c>
      <c r="G277" s="27">
        <f>表1[[#This Row],[m_melee]]</f>
        <v>91.900000000000205</v>
      </c>
      <c r="H277" s="27">
        <f>表1[[#This Row],[m_laser]]</f>
        <v>91.900000000000205</v>
      </c>
    </row>
    <row r="278" spans="1:8" x14ac:dyDescent="0.3">
      <c r="A278" s="27">
        <v>275</v>
      </c>
      <c r="B278" s="28">
        <v>2119.5000000000027</v>
      </c>
      <c r="C278" s="29">
        <v>2119.5000000000027</v>
      </c>
      <c r="D278" s="27">
        <v>77120</v>
      </c>
      <c r="E278" s="27">
        <v>92.200000000000202</v>
      </c>
      <c r="F278" s="27">
        <v>92.200000000000202</v>
      </c>
      <c r="G278" s="27">
        <f>表1[[#This Row],[m_melee]]</f>
        <v>92.200000000000202</v>
      </c>
      <c r="H278" s="27">
        <f>表1[[#This Row],[m_laser]]</f>
        <v>92.200000000000202</v>
      </c>
    </row>
    <row r="279" spans="1:8" x14ac:dyDescent="0.3">
      <c r="A279" s="27">
        <v>276</v>
      </c>
      <c r="B279" s="28">
        <v>2127.5000000000027</v>
      </c>
      <c r="C279" s="29">
        <v>2127.5000000000027</v>
      </c>
      <c r="D279" s="27">
        <v>77400</v>
      </c>
      <c r="E279" s="27">
        <v>92.500000000000199</v>
      </c>
      <c r="F279" s="27">
        <v>92.500000000000199</v>
      </c>
      <c r="G279" s="27">
        <f>表1[[#This Row],[m_melee]]</f>
        <v>92.500000000000199</v>
      </c>
      <c r="H279" s="27">
        <f>表1[[#This Row],[m_laser]]</f>
        <v>92.500000000000199</v>
      </c>
    </row>
    <row r="280" spans="1:8" x14ac:dyDescent="0.3">
      <c r="A280" s="27">
        <v>277</v>
      </c>
      <c r="B280" s="28">
        <v>2135.5000000000027</v>
      </c>
      <c r="C280" s="29">
        <v>2135.5000000000027</v>
      </c>
      <c r="D280" s="27">
        <v>77680</v>
      </c>
      <c r="E280" s="27">
        <v>92.800000000000196</v>
      </c>
      <c r="F280" s="27">
        <v>92.800000000000196</v>
      </c>
      <c r="G280" s="27">
        <f>表1[[#This Row],[m_melee]]</f>
        <v>92.800000000000196</v>
      </c>
      <c r="H280" s="27">
        <f>表1[[#This Row],[m_laser]]</f>
        <v>92.800000000000196</v>
      </c>
    </row>
    <row r="281" spans="1:8" x14ac:dyDescent="0.3">
      <c r="A281" s="27">
        <v>278</v>
      </c>
      <c r="B281" s="28">
        <v>2143.5000000000027</v>
      </c>
      <c r="C281" s="29">
        <v>2143.5000000000027</v>
      </c>
      <c r="D281" s="27">
        <v>77960</v>
      </c>
      <c r="E281" s="27">
        <v>93.100000000000193</v>
      </c>
      <c r="F281" s="27">
        <v>93.100000000000193</v>
      </c>
      <c r="G281" s="27">
        <f>表1[[#This Row],[m_melee]]</f>
        <v>93.100000000000193</v>
      </c>
      <c r="H281" s="27">
        <f>表1[[#This Row],[m_laser]]</f>
        <v>93.100000000000193</v>
      </c>
    </row>
    <row r="282" spans="1:8" x14ac:dyDescent="0.3">
      <c r="A282" s="27">
        <v>279</v>
      </c>
      <c r="B282" s="28">
        <v>2151.5000000000027</v>
      </c>
      <c r="C282" s="29">
        <v>2151.5000000000027</v>
      </c>
      <c r="D282" s="27">
        <v>78240</v>
      </c>
      <c r="E282" s="27">
        <v>93.400000000000205</v>
      </c>
      <c r="F282" s="27">
        <v>93.400000000000205</v>
      </c>
      <c r="G282" s="27">
        <f>表1[[#This Row],[m_melee]]</f>
        <v>93.400000000000205</v>
      </c>
      <c r="H282" s="27">
        <f>表1[[#This Row],[m_laser]]</f>
        <v>93.400000000000205</v>
      </c>
    </row>
    <row r="283" spans="1:8" x14ac:dyDescent="0.3">
      <c r="A283" s="27">
        <v>280</v>
      </c>
      <c r="B283" s="28">
        <v>2159.5000000000027</v>
      </c>
      <c r="C283" s="29">
        <v>2159.5000000000027</v>
      </c>
      <c r="D283" s="27">
        <v>78520</v>
      </c>
      <c r="E283" s="27">
        <v>93.700000000000202</v>
      </c>
      <c r="F283" s="27">
        <v>93.700000000000202</v>
      </c>
      <c r="G283" s="27">
        <f>表1[[#This Row],[m_melee]]</f>
        <v>93.700000000000202</v>
      </c>
      <c r="H283" s="27">
        <f>表1[[#This Row],[m_laser]]</f>
        <v>93.700000000000202</v>
      </c>
    </row>
    <row r="284" spans="1:8" x14ac:dyDescent="0.3">
      <c r="A284" s="27">
        <v>281</v>
      </c>
      <c r="B284" s="28">
        <v>2167.5000000000027</v>
      </c>
      <c r="C284" s="29">
        <v>2167.5000000000027</v>
      </c>
      <c r="D284" s="27">
        <v>78800</v>
      </c>
      <c r="E284" s="27">
        <v>94.000000000000199</v>
      </c>
      <c r="F284" s="27">
        <v>94.000000000000199</v>
      </c>
      <c r="G284" s="27">
        <f>表1[[#This Row],[m_melee]]</f>
        <v>94.000000000000199</v>
      </c>
      <c r="H284" s="27">
        <f>表1[[#This Row],[m_laser]]</f>
        <v>94.000000000000199</v>
      </c>
    </row>
    <row r="285" spans="1:8" x14ac:dyDescent="0.3">
      <c r="A285" s="27">
        <v>282</v>
      </c>
      <c r="B285" s="28">
        <v>2175.5000000000027</v>
      </c>
      <c r="C285" s="29">
        <v>2175.5000000000027</v>
      </c>
      <c r="D285" s="27">
        <v>79080</v>
      </c>
      <c r="E285" s="27">
        <v>94.300000000000196</v>
      </c>
      <c r="F285" s="27">
        <v>94.300000000000196</v>
      </c>
      <c r="G285" s="27">
        <f>表1[[#This Row],[m_melee]]</f>
        <v>94.300000000000196</v>
      </c>
      <c r="H285" s="27">
        <f>表1[[#This Row],[m_laser]]</f>
        <v>94.300000000000196</v>
      </c>
    </row>
    <row r="286" spans="1:8" x14ac:dyDescent="0.3">
      <c r="A286" s="27">
        <v>283</v>
      </c>
      <c r="B286" s="28">
        <v>2183.5000000000027</v>
      </c>
      <c r="C286" s="29">
        <v>2183.5000000000027</v>
      </c>
      <c r="D286" s="27">
        <v>79360</v>
      </c>
      <c r="E286" s="27">
        <v>94.600000000000193</v>
      </c>
      <c r="F286" s="27">
        <v>94.600000000000193</v>
      </c>
      <c r="G286" s="27">
        <f>表1[[#This Row],[m_melee]]</f>
        <v>94.600000000000193</v>
      </c>
      <c r="H286" s="27">
        <f>表1[[#This Row],[m_laser]]</f>
        <v>94.600000000000193</v>
      </c>
    </row>
    <row r="287" spans="1:8" x14ac:dyDescent="0.3">
      <c r="A287" s="27">
        <v>284</v>
      </c>
      <c r="B287" s="28">
        <v>2191.5000000000027</v>
      </c>
      <c r="C287" s="29">
        <v>2191.5000000000027</v>
      </c>
      <c r="D287" s="27">
        <v>79640</v>
      </c>
      <c r="E287" s="27">
        <v>94.900000000000205</v>
      </c>
      <c r="F287" s="27">
        <v>94.900000000000205</v>
      </c>
      <c r="G287" s="27">
        <f>表1[[#This Row],[m_melee]]</f>
        <v>94.900000000000205</v>
      </c>
      <c r="H287" s="27">
        <f>表1[[#This Row],[m_laser]]</f>
        <v>94.900000000000205</v>
      </c>
    </row>
    <row r="288" spans="1:8" x14ac:dyDescent="0.3">
      <c r="A288" s="27">
        <v>285</v>
      </c>
      <c r="B288" s="28">
        <v>2199.5000000000027</v>
      </c>
      <c r="C288" s="29">
        <v>2199.5000000000027</v>
      </c>
      <c r="D288" s="27">
        <v>79920</v>
      </c>
      <c r="E288" s="27">
        <v>95.200000000000202</v>
      </c>
      <c r="F288" s="27">
        <v>95.200000000000202</v>
      </c>
      <c r="G288" s="27">
        <f>表1[[#This Row],[m_melee]]</f>
        <v>95.200000000000202</v>
      </c>
      <c r="H288" s="27">
        <f>表1[[#This Row],[m_laser]]</f>
        <v>95.200000000000202</v>
      </c>
    </row>
    <row r="289" spans="1:8" x14ac:dyDescent="0.3">
      <c r="A289" s="27">
        <v>286</v>
      </c>
      <c r="B289" s="28">
        <v>2207.5000000000027</v>
      </c>
      <c r="C289" s="29">
        <v>2207.5000000000027</v>
      </c>
      <c r="D289" s="27">
        <v>80200</v>
      </c>
      <c r="E289" s="27">
        <v>95.500000000000199</v>
      </c>
      <c r="F289" s="27">
        <v>95.500000000000199</v>
      </c>
      <c r="G289" s="27">
        <f>表1[[#This Row],[m_melee]]</f>
        <v>95.500000000000199</v>
      </c>
      <c r="H289" s="27">
        <f>表1[[#This Row],[m_laser]]</f>
        <v>95.500000000000199</v>
      </c>
    </row>
    <row r="290" spans="1:8" x14ac:dyDescent="0.3">
      <c r="A290" s="27">
        <v>287</v>
      </c>
      <c r="B290" s="28">
        <v>2215.5000000000027</v>
      </c>
      <c r="C290" s="29">
        <v>2215.5000000000027</v>
      </c>
      <c r="D290" s="27">
        <v>80480</v>
      </c>
      <c r="E290" s="27">
        <v>95.800000000000196</v>
      </c>
      <c r="F290" s="27">
        <v>95.800000000000196</v>
      </c>
      <c r="G290" s="27">
        <f>表1[[#This Row],[m_melee]]</f>
        <v>95.800000000000196</v>
      </c>
      <c r="H290" s="27">
        <f>表1[[#This Row],[m_laser]]</f>
        <v>95.800000000000196</v>
      </c>
    </row>
    <row r="291" spans="1:8" x14ac:dyDescent="0.3">
      <c r="A291" s="27">
        <v>288</v>
      </c>
      <c r="B291" s="28">
        <v>2223.5000000000027</v>
      </c>
      <c r="C291" s="29">
        <v>2223.5000000000027</v>
      </c>
      <c r="D291" s="27">
        <v>80760</v>
      </c>
      <c r="E291" s="27">
        <v>96.100000000000193</v>
      </c>
      <c r="F291" s="27">
        <v>96.100000000000193</v>
      </c>
      <c r="G291" s="27">
        <f>表1[[#This Row],[m_melee]]</f>
        <v>96.100000000000193</v>
      </c>
      <c r="H291" s="27">
        <f>表1[[#This Row],[m_laser]]</f>
        <v>96.100000000000193</v>
      </c>
    </row>
    <row r="292" spans="1:8" x14ac:dyDescent="0.3">
      <c r="A292" s="27">
        <v>289</v>
      </c>
      <c r="B292" s="28">
        <v>2231.5000000000027</v>
      </c>
      <c r="C292" s="29">
        <v>2231.5000000000027</v>
      </c>
      <c r="D292" s="27">
        <v>81040</v>
      </c>
      <c r="E292" s="27">
        <v>96.400000000000205</v>
      </c>
      <c r="F292" s="27">
        <v>96.400000000000205</v>
      </c>
      <c r="G292" s="27">
        <f>表1[[#This Row],[m_melee]]</f>
        <v>96.400000000000205</v>
      </c>
      <c r="H292" s="27">
        <f>表1[[#This Row],[m_laser]]</f>
        <v>96.400000000000205</v>
      </c>
    </row>
    <row r="293" spans="1:8" x14ac:dyDescent="0.3">
      <c r="A293" s="27">
        <v>290</v>
      </c>
      <c r="B293" s="28">
        <v>2239.5000000000027</v>
      </c>
      <c r="C293" s="29">
        <v>2239.5000000000027</v>
      </c>
      <c r="D293" s="27">
        <v>81320</v>
      </c>
      <c r="E293" s="27">
        <v>96.700000000000202</v>
      </c>
      <c r="F293" s="27">
        <v>96.700000000000202</v>
      </c>
      <c r="G293" s="27">
        <f>表1[[#This Row],[m_melee]]</f>
        <v>96.700000000000202</v>
      </c>
      <c r="H293" s="27">
        <f>表1[[#This Row],[m_laser]]</f>
        <v>96.700000000000202</v>
      </c>
    </row>
    <row r="294" spans="1:8" x14ac:dyDescent="0.3">
      <c r="A294" s="27">
        <v>291</v>
      </c>
      <c r="B294" s="28">
        <v>2247.5000000000027</v>
      </c>
      <c r="C294" s="29">
        <v>2247.5000000000027</v>
      </c>
      <c r="D294" s="27">
        <v>81600</v>
      </c>
      <c r="E294" s="27">
        <v>97.000000000000199</v>
      </c>
      <c r="F294" s="27">
        <v>97.000000000000199</v>
      </c>
      <c r="G294" s="27">
        <f>表1[[#This Row],[m_melee]]</f>
        <v>97.000000000000199</v>
      </c>
      <c r="H294" s="27">
        <f>表1[[#This Row],[m_laser]]</f>
        <v>97.000000000000199</v>
      </c>
    </row>
    <row r="295" spans="1:8" x14ac:dyDescent="0.3">
      <c r="A295" s="27">
        <v>292</v>
      </c>
      <c r="B295" s="28">
        <v>2255.5000000000027</v>
      </c>
      <c r="C295" s="29">
        <v>2255.5000000000027</v>
      </c>
      <c r="D295" s="27">
        <v>81880</v>
      </c>
      <c r="E295" s="27">
        <v>97.300000000000196</v>
      </c>
      <c r="F295" s="27">
        <v>97.300000000000196</v>
      </c>
      <c r="G295" s="27">
        <f>表1[[#This Row],[m_melee]]</f>
        <v>97.300000000000196</v>
      </c>
      <c r="H295" s="27">
        <f>表1[[#This Row],[m_laser]]</f>
        <v>97.300000000000196</v>
      </c>
    </row>
    <row r="296" spans="1:8" x14ac:dyDescent="0.3">
      <c r="A296" s="27">
        <v>293</v>
      </c>
      <c r="B296" s="28">
        <v>2263.5000000000027</v>
      </c>
      <c r="C296" s="29">
        <v>2263.5000000000027</v>
      </c>
      <c r="D296" s="27">
        <v>82160</v>
      </c>
      <c r="E296" s="27">
        <v>97.600000000000193</v>
      </c>
      <c r="F296" s="27">
        <v>97.600000000000193</v>
      </c>
      <c r="G296" s="27">
        <f>表1[[#This Row],[m_melee]]</f>
        <v>97.600000000000193</v>
      </c>
      <c r="H296" s="27">
        <f>表1[[#This Row],[m_laser]]</f>
        <v>97.600000000000193</v>
      </c>
    </row>
    <row r="297" spans="1:8" x14ac:dyDescent="0.3">
      <c r="A297" s="27">
        <v>294</v>
      </c>
      <c r="B297" s="28">
        <v>2271.5000000000027</v>
      </c>
      <c r="C297" s="29">
        <v>2271.5000000000027</v>
      </c>
      <c r="D297" s="27">
        <v>82440</v>
      </c>
      <c r="E297" s="27">
        <v>97.900000000000205</v>
      </c>
      <c r="F297" s="27">
        <v>97.900000000000205</v>
      </c>
      <c r="G297" s="27">
        <f>表1[[#This Row],[m_melee]]</f>
        <v>97.900000000000205</v>
      </c>
      <c r="H297" s="27">
        <f>表1[[#This Row],[m_laser]]</f>
        <v>97.900000000000205</v>
      </c>
    </row>
    <row r="298" spans="1:8" x14ac:dyDescent="0.3">
      <c r="A298" s="27">
        <v>295</v>
      </c>
      <c r="B298" s="28">
        <v>2279.5000000000032</v>
      </c>
      <c r="C298" s="29">
        <v>2279.5000000000032</v>
      </c>
      <c r="D298" s="27">
        <v>82720</v>
      </c>
      <c r="E298" s="27">
        <v>98.200000000000202</v>
      </c>
      <c r="F298" s="27">
        <v>98.200000000000202</v>
      </c>
      <c r="G298" s="27">
        <f>表1[[#This Row],[m_melee]]</f>
        <v>98.200000000000202</v>
      </c>
      <c r="H298" s="27">
        <f>表1[[#This Row],[m_laser]]</f>
        <v>98.200000000000202</v>
      </c>
    </row>
    <row r="299" spans="1:8" x14ac:dyDescent="0.3">
      <c r="A299" s="27">
        <v>296</v>
      </c>
      <c r="B299" s="28">
        <v>2287.5000000000032</v>
      </c>
      <c r="C299" s="29">
        <v>2287.5000000000032</v>
      </c>
      <c r="D299" s="27">
        <v>83000</v>
      </c>
      <c r="E299" s="27">
        <v>98.500000000000199</v>
      </c>
      <c r="F299" s="27">
        <v>98.500000000000199</v>
      </c>
      <c r="G299" s="27">
        <f>表1[[#This Row],[m_melee]]</f>
        <v>98.500000000000199</v>
      </c>
      <c r="H299" s="27">
        <f>表1[[#This Row],[m_laser]]</f>
        <v>98.500000000000199</v>
      </c>
    </row>
    <row r="300" spans="1:8" x14ac:dyDescent="0.3">
      <c r="A300" s="27">
        <v>297</v>
      </c>
      <c r="B300" s="28">
        <v>2295.5000000000032</v>
      </c>
      <c r="C300" s="29">
        <v>2295.5000000000032</v>
      </c>
      <c r="D300" s="27">
        <v>83280</v>
      </c>
      <c r="E300" s="27">
        <v>98.800000000000196</v>
      </c>
      <c r="F300" s="27">
        <v>98.800000000000196</v>
      </c>
      <c r="G300" s="27">
        <f>表1[[#This Row],[m_melee]]</f>
        <v>98.800000000000196</v>
      </c>
      <c r="H300" s="27">
        <f>表1[[#This Row],[m_laser]]</f>
        <v>98.800000000000196</v>
      </c>
    </row>
    <row r="301" spans="1:8" x14ac:dyDescent="0.3">
      <c r="A301" s="27">
        <v>298</v>
      </c>
      <c r="B301" s="28">
        <v>2303.5000000000032</v>
      </c>
      <c r="C301" s="29">
        <v>2303.5000000000032</v>
      </c>
      <c r="D301" s="27">
        <v>83560</v>
      </c>
      <c r="E301" s="27">
        <v>99.100000000000193</v>
      </c>
      <c r="F301" s="27">
        <v>99.100000000000193</v>
      </c>
      <c r="G301" s="27">
        <f>表1[[#This Row],[m_melee]]</f>
        <v>99.100000000000193</v>
      </c>
      <c r="H301" s="27">
        <f>表1[[#This Row],[m_laser]]</f>
        <v>99.100000000000193</v>
      </c>
    </row>
    <row r="302" spans="1:8" x14ac:dyDescent="0.3">
      <c r="A302" s="27">
        <v>299</v>
      </c>
      <c r="B302" s="28">
        <v>2311.5000000000032</v>
      </c>
      <c r="C302" s="29">
        <v>2311.5000000000032</v>
      </c>
      <c r="D302" s="27">
        <v>83840</v>
      </c>
      <c r="E302" s="27">
        <v>99.400000000000205</v>
      </c>
      <c r="F302" s="27">
        <v>99.400000000000205</v>
      </c>
      <c r="G302" s="27">
        <f>表1[[#This Row],[m_melee]]</f>
        <v>99.400000000000205</v>
      </c>
      <c r="H302" s="27">
        <f>表1[[#This Row],[m_laser]]</f>
        <v>99.400000000000205</v>
      </c>
    </row>
    <row r="303" spans="1:8" x14ac:dyDescent="0.3">
      <c r="A303" s="27">
        <v>300</v>
      </c>
      <c r="B303" s="28">
        <v>2319.5000000000032</v>
      </c>
      <c r="C303" s="29">
        <v>2319.5000000000032</v>
      </c>
      <c r="D303" s="27">
        <v>84120</v>
      </c>
      <c r="E303" s="27">
        <v>99.700000000000202</v>
      </c>
      <c r="F303" s="27">
        <v>99.700000000000202</v>
      </c>
      <c r="G303" s="27">
        <f>表1[[#This Row],[m_melee]]</f>
        <v>99.700000000000202</v>
      </c>
      <c r="H303" s="27">
        <f>表1[[#This Row],[m_laser]]</f>
        <v>99.700000000000202</v>
      </c>
    </row>
    <row r="304" spans="1:8" x14ac:dyDescent="0.3">
      <c r="A304" s="27">
        <v>301</v>
      </c>
      <c r="B304" s="28">
        <v>2327.5000000000032</v>
      </c>
      <c r="C304" s="29">
        <v>2327.5000000000032</v>
      </c>
      <c r="D304" s="27">
        <v>84400</v>
      </c>
      <c r="E304" s="27">
        <v>100</v>
      </c>
      <c r="F304" s="27">
        <v>100</v>
      </c>
      <c r="G304" s="27">
        <f>表1[[#This Row],[m_melee]]</f>
        <v>100</v>
      </c>
      <c r="H304" s="27">
        <f>表1[[#This Row],[m_laser]]</f>
        <v>100</v>
      </c>
    </row>
    <row r="305" spans="1:8" x14ac:dyDescent="0.3">
      <c r="A305" s="27">
        <v>302</v>
      </c>
      <c r="B305" s="28">
        <v>2335.5000000000032</v>
      </c>
      <c r="C305" s="29">
        <v>2335.5000000000032</v>
      </c>
      <c r="D305" s="27">
        <v>84680</v>
      </c>
      <c r="E305" s="27">
        <v>100.3</v>
      </c>
      <c r="F305" s="27">
        <v>100.3</v>
      </c>
      <c r="G305" s="27">
        <f>表1[[#This Row],[m_melee]]</f>
        <v>100.3</v>
      </c>
      <c r="H305" s="27">
        <f>表1[[#This Row],[m_laser]]</f>
        <v>100.3</v>
      </c>
    </row>
    <row r="306" spans="1:8" x14ac:dyDescent="0.3">
      <c r="A306" s="27">
        <v>303</v>
      </c>
      <c r="B306" s="28">
        <v>2343.5000000000032</v>
      </c>
      <c r="C306" s="29">
        <v>2343.5000000000032</v>
      </c>
      <c r="D306" s="27">
        <v>84960</v>
      </c>
      <c r="E306" s="27">
        <v>100.6</v>
      </c>
      <c r="F306" s="27">
        <v>100.6</v>
      </c>
      <c r="G306" s="27">
        <f>表1[[#This Row],[m_melee]]</f>
        <v>100.6</v>
      </c>
      <c r="H306" s="27">
        <f>表1[[#This Row],[m_laser]]</f>
        <v>100.6</v>
      </c>
    </row>
    <row r="307" spans="1:8" x14ac:dyDescent="0.3">
      <c r="A307" s="27">
        <v>304</v>
      </c>
      <c r="B307" s="28">
        <v>2351.5000000000032</v>
      </c>
      <c r="C307" s="29">
        <v>2351.5000000000032</v>
      </c>
      <c r="D307" s="27">
        <v>85240</v>
      </c>
      <c r="E307" s="27">
        <v>100.9</v>
      </c>
      <c r="F307" s="27">
        <v>100.9</v>
      </c>
      <c r="G307" s="27">
        <f>表1[[#This Row],[m_melee]]</f>
        <v>100.9</v>
      </c>
      <c r="H307" s="27">
        <f>表1[[#This Row],[m_laser]]</f>
        <v>100.9</v>
      </c>
    </row>
    <row r="308" spans="1:8" x14ac:dyDescent="0.3">
      <c r="A308" s="27">
        <v>305</v>
      </c>
      <c r="B308" s="28">
        <v>2359.5000000000032</v>
      </c>
      <c r="C308" s="29">
        <v>2359.5000000000032</v>
      </c>
      <c r="D308" s="27">
        <v>85520</v>
      </c>
      <c r="E308" s="27">
        <v>101.2</v>
      </c>
      <c r="F308" s="27">
        <v>101.2</v>
      </c>
      <c r="G308" s="27">
        <f>表1[[#This Row],[m_melee]]</f>
        <v>101.2</v>
      </c>
      <c r="H308" s="27">
        <f>表1[[#This Row],[m_laser]]</f>
        <v>101.2</v>
      </c>
    </row>
    <row r="309" spans="1:8" x14ac:dyDescent="0.3">
      <c r="A309" s="27">
        <v>306</v>
      </c>
      <c r="B309" s="28">
        <v>2367.5000000000036</v>
      </c>
      <c r="C309" s="29">
        <v>2367.5000000000036</v>
      </c>
      <c r="D309" s="27">
        <v>85800</v>
      </c>
      <c r="E309" s="27">
        <v>101.5</v>
      </c>
      <c r="F309" s="27">
        <v>101.5</v>
      </c>
      <c r="G309" s="27">
        <f>表1[[#This Row],[m_melee]]</f>
        <v>101.5</v>
      </c>
      <c r="H309" s="27">
        <f>表1[[#This Row],[m_laser]]</f>
        <v>101.5</v>
      </c>
    </row>
    <row r="310" spans="1:8" x14ac:dyDescent="0.3">
      <c r="A310" s="27">
        <v>307</v>
      </c>
      <c r="B310" s="28">
        <v>2375.5000000000036</v>
      </c>
      <c r="C310" s="29">
        <v>2375.5000000000036</v>
      </c>
      <c r="D310" s="27">
        <v>86080</v>
      </c>
      <c r="E310" s="27">
        <v>101.8</v>
      </c>
      <c r="F310" s="27">
        <v>101.8</v>
      </c>
      <c r="G310" s="27">
        <f>表1[[#This Row],[m_melee]]</f>
        <v>101.8</v>
      </c>
      <c r="H310" s="27">
        <f>表1[[#This Row],[m_laser]]</f>
        <v>101.8</v>
      </c>
    </row>
    <row r="311" spans="1:8" x14ac:dyDescent="0.3">
      <c r="A311" s="27">
        <v>308</v>
      </c>
      <c r="B311" s="28">
        <v>2383.5000000000036</v>
      </c>
      <c r="C311" s="29">
        <v>2383.5000000000036</v>
      </c>
      <c r="D311" s="27">
        <v>86360</v>
      </c>
      <c r="E311" s="27">
        <v>102.1</v>
      </c>
      <c r="F311" s="27">
        <v>102.1</v>
      </c>
      <c r="G311" s="27">
        <f>表1[[#This Row],[m_melee]]</f>
        <v>102.1</v>
      </c>
      <c r="H311" s="27">
        <f>表1[[#This Row],[m_laser]]</f>
        <v>102.1</v>
      </c>
    </row>
    <row r="312" spans="1:8" x14ac:dyDescent="0.3">
      <c r="A312" s="27">
        <v>309</v>
      </c>
      <c r="B312" s="28">
        <v>2391.5000000000036</v>
      </c>
      <c r="C312" s="29">
        <v>2391.5000000000036</v>
      </c>
      <c r="D312" s="27">
        <v>86640</v>
      </c>
      <c r="E312" s="27">
        <v>102.4</v>
      </c>
      <c r="F312" s="27">
        <v>102.4</v>
      </c>
      <c r="G312" s="27">
        <f>表1[[#This Row],[m_melee]]</f>
        <v>102.4</v>
      </c>
      <c r="H312" s="27">
        <f>表1[[#This Row],[m_laser]]</f>
        <v>102.4</v>
      </c>
    </row>
    <row r="313" spans="1:8" x14ac:dyDescent="0.3">
      <c r="A313" s="27">
        <v>310</v>
      </c>
      <c r="B313" s="28">
        <v>2399.5000000000036</v>
      </c>
      <c r="C313" s="29">
        <v>2399.5000000000036</v>
      </c>
      <c r="D313" s="27">
        <v>86920</v>
      </c>
      <c r="E313" s="27">
        <v>102.7</v>
      </c>
      <c r="F313" s="27">
        <v>102.7</v>
      </c>
      <c r="G313" s="27">
        <f>表1[[#This Row],[m_melee]]</f>
        <v>102.7</v>
      </c>
      <c r="H313" s="27">
        <f>表1[[#This Row],[m_laser]]</f>
        <v>102.7</v>
      </c>
    </row>
    <row r="314" spans="1:8" x14ac:dyDescent="0.3">
      <c r="A314" s="27">
        <v>311</v>
      </c>
      <c r="B314" s="28">
        <v>2407.5000000000036</v>
      </c>
      <c r="C314" s="29">
        <v>2407.5000000000036</v>
      </c>
      <c r="D314" s="27">
        <v>87200</v>
      </c>
      <c r="E314" s="27">
        <v>103</v>
      </c>
      <c r="F314" s="27">
        <v>103</v>
      </c>
      <c r="G314" s="27">
        <f>表1[[#This Row],[m_melee]]</f>
        <v>103</v>
      </c>
      <c r="H314" s="27">
        <f>表1[[#This Row],[m_laser]]</f>
        <v>103</v>
      </c>
    </row>
    <row r="315" spans="1:8" x14ac:dyDescent="0.3">
      <c r="A315" s="27">
        <v>312</v>
      </c>
      <c r="B315" s="28">
        <v>2415.5000000000036</v>
      </c>
      <c r="C315" s="29">
        <v>2415.5000000000036</v>
      </c>
      <c r="D315" s="27">
        <v>87480</v>
      </c>
      <c r="E315" s="27">
        <v>103.3</v>
      </c>
      <c r="F315" s="27">
        <v>103.3</v>
      </c>
      <c r="G315" s="27">
        <f>表1[[#This Row],[m_melee]]</f>
        <v>103.3</v>
      </c>
      <c r="H315" s="27">
        <f>表1[[#This Row],[m_laser]]</f>
        <v>103.3</v>
      </c>
    </row>
    <row r="316" spans="1:8" x14ac:dyDescent="0.3">
      <c r="A316" s="27">
        <v>313</v>
      </c>
      <c r="B316" s="28">
        <v>2423.5000000000036</v>
      </c>
      <c r="C316" s="29">
        <v>2423.5000000000036</v>
      </c>
      <c r="D316" s="27">
        <v>87760</v>
      </c>
      <c r="E316" s="27">
        <v>103.6</v>
      </c>
      <c r="F316" s="27">
        <v>103.6</v>
      </c>
      <c r="G316" s="27">
        <f>表1[[#This Row],[m_melee]]</f>
        <v>103.6</v>
      </c>
      <c r="H316" s="27">
        <f>表1[[#This Row],[m_laser]]</f>
        <v>103.6</v>
      </c>
    </row>
    <row r="317" spans="1:8" x14ac:dyDescent="0.3">
      <c r="A317" s="27">
        <v>314</v>
      </c>
      <c r="B317" s="28">
        <v>2431.5000000000036</v>
      </c>
      <c r="C317" s="29">
        <v>2431.5000000000036</v>
      </c>
      <c r="D317" s="27">
        <v>88040</v>
      </c>
      <c r="E317" s="27">
        <v>103.9</v>
      </c>
      <c r="F317" s="27">
        <v>103.9</v>
      </c>
      <c r="G317" s="27">
        <f>表1[[#This Row],[m_melee]]</f>
        <v>103.9</v>
      </c>
      <c r="H317" s="27">
        <f>表1[[#This Row],[m_laser]]</f>
        <v>103.9</v>
      </c>
    </row>
    <row r="318" spans="1:8" x14ac:dyDescent="0.3">
      <c r="A318" s="27">
        <v>315</v>
      </c>
      <c r="B318" s="28">
        <v>2439.5000000000036</v>
      </c>
      <c r="C318" s="29">
        <v>2439.5000000000036</v>
      </c>
      <c r="D318" s="27">
        <v>88320</v>
      </c>
      <c r="E318" s="27">
        <v>104.2</v>
      </c>
      <c r="F318" s="27">
        <v>104.2</v>
      </c>
      <c r="G318" s="27">
        <f>表1[[#This Row],[m_melee]]</f>
        <v>104.2</v>
      </c>
      <c r="H318" s="27">
        <f>表1[[#This Row],[m_laser]]</f>
        <v>104.2</v>
      </c>
    </row>
    <row r="319" spans="1:8" x14ac:dyDescent="0.3">
      <c r="A319" s="27">
        <v>316</v>
      </c>
      <c r="B319" s="28">
        <v>2447.5000000000036</v>
      </c>
      <c r="C319" s="29">
        <v>2447.5000000000036</v>
      </c>
      <c r="D319" s="27">
        <v>88600</v>
      </c>
      <c r="E319" s="27">
        <v>104.5</v>
      </c>
      <c r="F319" s="27">
        <v>104.5</v>
      </c>
      <c r="G319" s="27">
        <f>表1[[#This Row],[m_melee]]</f>
        <v>104.5</v>
      </c>
      <c r="H319" s="27">
        <f>表1[[#This Row],[m_laser]]</f>
        <v>104.5</v>
      </c>
    </row>
    <row r="320" spans="1:8" x14ac:dyDescent="0.3">
      <c r="A320" s="27">
        <v>317</v>
      </c>
      <c r="B320" s="28">
        <v>2455.5000000000036</v>
      </c>
      <c r="C320" s="29">
        <v>2455.5000000000036</v>
      </c>
      <c r="D320" s="27">
        <v>88880</v>
      </c>
      <c r="E320" s="27">
        <v>104.8</v>
      </c>
      <c r="F320" s="27">
        <v>104.8</v>
      </c>
      <c r="G320" s="27">
        <f>表1[[#This Row],[m_melee]]</f>
        <v>104.8</v>
      </c>
      <c r="H320" s="27">
        <f>表1[[#This Row],[m_laser]]</f>
        <v>104.8</v>
      </c>
    </row>
    <row r="321" spans="1:8" x14ac:dyDescent="0.3">
      <c r="A321" s="27">
        <v>318</v>
      </c>
      <c r="B321" s="28">
        <v>2463.5000000000036</v>
      </c>
      <c r="C321" s="29">
        <v>2463.5000000000036</v>
      </c>
      <c r="D321" s="27">
        <v>89160</v>
      </c>
      <c r="E321" s="27">
        <v>105.1</v>
      </c>
      <c r="F321" s="27">
        <v>105.1</v>
      </c>
      <c r="G321" s="27">
        <f>表1[[#This Row],[m_melee]]</f>
        <v>105.1</v>
      </c>
      <c r="H321" s="27">
        <f>表1[[#This Row],[m_laser]]</f>
        <v>105.1</v>
      </c>
    </row>
    <row r="322" spans="1:8" x14ac:dyDescent="0.3">
      <c r="A322" s="27">
        <v>319</v>
      </c>
      <c r="B322" s="28">
        <v>2471.5000000000036</v>
      </c>
      <c r="C322" s="29">
        <v>2471.5000000000036</v>
      </c>
      <c r="D322" s="27">
        <v>89440</v>
      </c>
      <c r="E322" s="27">
        <v>105.4</v>
      </c>
      <c r="F322" s="27">
        <v>105.4</v>
      </c>
      <c r="G322" s="27">
        <f>表1[[#This Row],[m_melee]]</f>
        <v>105.4</v>
      </c>
      <c r="H322" s="27">
        <f>表1[[#This Row],[m_laser]]</f>
        <v>105.4</v>
      </c>
    </row>
    <row r="323" spans="1:8" x14ac:dyDescent="0.3">
      <c r="A323" s="24">
        <v>320</v>
      </c>
      <c r="B323" s="28">
        <v>2479.5000000000036</v>
      </c>
      <c r="C323" s="29">
        <v>2479.5000000000036</v>
      </c>
      <c r="D323" s="27">
        <v>89720</v>
      </c>
      <c r="E323" s="27">
        <v>105.7</v>
      </c>
      <c r="F323" s="27">
        <v>105.7</v>
      </c>
      <c r="G323" s="27">
        <f>表1[[#This Row],[m_melee]]</f>
        <v>105.7</v>
      </c>
      <c r="H323" s="27">
        <f>表1[[#This Row],[m_laser]]</f>
        <v>105.7</v>
      </c>
    </row>
  </sheetData>
  <phoneticPr fontId="1" type="noConversion"/>
  <conditionalFormatting sqref="A4:A323">
    <cfRule type="duplicateValues" dxfId="1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"/>
  <sheetViews>
    <sheetView showGridLines="0" workbookViewId="0">
      <selection activeCell="H3" sqref="H3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12" customFormat="1" ht="184.5" customHeight="1" x14ac:dyDescent="0.2">
      <c r="A1" s="7" t="s">
        <v>28</v>
      </c>
      <c r="B1" s="7" t="s">
        <v>80</v>
      </c>
      <c r="C1" s="7" t="s">
        <v>78</v>
      </c>
      <c r="D1" s="7" t="s">
        <v>89</v>
      </c>
      <c r="E1" s="7" t="s">
        <v>83</v>
      </c>
    </row>
    <row r="2" spans="1:5" x14ac:dyDescent="0.3">
      <c r="A2" s="11" t="s">
        <v>29</v>
      </c>
      <c r="B2" s="11" t="s">
        <v>31</v>
      </c>
      <c r="C2" s="11" t="s">
        <v>32</v>
      </c>
      <c r="D2" s="33" t="s">
        <v>79</v>
      </c>
      <c r="E2" s="11" t="s">
        <v>82</v>
      </c>
    </row>
    <row r="3" spans="1:5" x14ac:dyDescent="0.3">
      <c r="A3" s="13" t="s">
        <v>30</v>
      </c>
      <c r="B3" s="13" t="s">
        <v>76</v>
      </c>
      <c r="C3" s="13" t="s">
        <v>77</v>
      </c>
      <c r="D3" s="13" t="s">
        <v>33</v>
      </c>
      <c r="E3" s="13" t="s">
        <v>81</v>
      </c>
    </row>
    <row r="4" spans="1:5" x14ac:dyDescent="0.3">
      <c r="A4" s="12">
        <v>2000001</v>
      </c>
      <c r="B4" s="12">
        <v>0</v>
      </c>
      <c r="C4" s="12" t="s">
        <v>88</v>
      </c>
      <c r="D4" s="12" t="s">
        <v>34</v>
      </c>
      <c r="E4" s="12"/>
    </row>
    <row r="5" spans="1:5" x14ac:dyDescent="0.3">
      <c r="A5" s="12">
        <v>2000002</v>
      </c>
      <c r="B5" s="12">
        <v>0</v>
      </c>
      <c r="C5" s="12" t="s">
        <v>88</v>
      </c>
      <c r="D5" s="12" t="s">
        <v>34</v>
      </c>
      <c r="E5" s="12"/>
    </row>
    <row r="9" spans="1:5" x14ac:dyDescent="0.3">
      <c r="D9" s="15"/>
    </row>
    <row r="13" spans="1:5" x14ac:dyDescent="0.3">
      <c r="B13" s="14"/>
    </row>
  </sheetData>
  <phoneticPr fontId="1" type="noConversion"/>
  <conditionalFormatting sqref="A4:A5">
    <cfRule type="duplicateValues" dxfId="7" priority="1"/>
  </conditionalFormatting>
  <dataValidations count="1">
    <dataValidation type="list" allowBlank="1" showInputMessage="1" showErrorMessage="1" sqref="D4:D5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D32" sqref="D32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84</v>
      </c>
      <c r="F1" s="3" t="s">
        <v>45</v>
      </c>
    </row>
    <row r="2" spans="3:6" x14ac:dyDescent="0.3">
      <c r="C2" s="2" t="s">
        <v>39</v>
      </c>
      <c r="D2" s="1" t="str">
        <f>[1]!获取备注内容(C2)</f>
        <v>友善：受到伤害才会激活远程行为</v>
      </c>
      <c r="F2" s="2" t="s">
        <v>43</v>
      </c>
    </row>
    <row r="3" spans="3:6" x14ac:dyDescent="0.3">
      <c r="C3" s="2" t="s">
        <v>38</v>
      </c>
      <c r="D3" s="1" t="str">
        <f>[1]!获取备注内容(C3)</f>
        <v>中立：受到伤害或玩家邻接会激活远程行为</v>
      </c>
      <c r="F3" s="2" t="s">
        <v>44</v>
      </c>
    </row>
    <row r="4" spans="3:6" x14ac:dyDescent="0.3">
      <c r="C4" s="2" t="s">
        <v>35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怪物个性</vt:lpstr>
      <vt:lpstr>怪物模板属性</vt:lpstr>
      <vt:lpstr>AI</vt:lpstr>
      <vt:lpstr>枚举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2017-09-20T16:19:20Z</dcterms:modified>
</cp:coreProperties>
</file>