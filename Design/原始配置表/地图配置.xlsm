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 codeName="{EAAD5824-E589-9196-6FC8-2F1B51211585}"/>
  <workbookPr filterPrivacy="1" codeName="ThisWorkbook"/>
  <bookViews>
    <workbookView xWindow="0" yWindow="0" windowWidth="22260" windowHeight="12645" activeTab="2"/>
  </bookViews>
  <sheets>
    <sheet name="关卡" sheetId="3" r:id="rId1"/>
    <sheet name="地图模块" sheetId="4" r:id="rId2"/>
    <sheet name="模块制作" sheetId="1" r:id="rId3"/>
  </sheets>
  <functionGroups builtInGroupCount="19"/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1" i="1" l="1"/>
  <c r="W1" i="1"/>
  <c r="V1" i="1"/>
  <c r="R1" i="1"/>
  <c r="Q1" i="1"/>
  <c r="S1" i="1"/>
  <c r="T1" i="1"/>
</calcChain>
</file>

<file path=xl/sharedStrings.xml><?xml version="1.0" encoding="utf-8"?>
<sst xmlns="http://schemas.openxmlformats.org/spreadsheetml/2006/main" count="174" uniqueCount="76">
  <si>
    <t>模块ID</t>
    <phoneticPr fontId="1" type="noConversion"/>
  </si>
  <si>
    <t>2000001</t>
  </si>
  <si>
    <t>2000002</t>
    <phoneticPr fontId="1" type="noConversion"/>
  </si>
  <si>
    <t>ulong</t>
    <phoneticPr fontId="1" type="noConversion"/>
  </si>
  <si>
    <t>地图块ID</t>
    <phoneticPr fontId="1" type="noConversion"/>
  </si>
  <si>
    <t>id</t>
    <phoneticPr fontId="1" type="noConversion"/>
  </si>
  <si>
    <t>ulong</t>
    <phoneticPr fontId="1" type="noConversion"/>
  </si>
  <si>
    <t>2000004</t>
  </si>
  <si>
    <t>2000004</t>
    <phoneticPr fontId="1" type="noConversion"/>
  </si>
  <si>
    <t>2000001</t>
    <phoneticPr fontId="1" type="noConversion"/>
  </si>
  <si>
    <t>2000002</t>
  </si>
  <si>
    <t>2000003</t>
    <phoneticPr fontId="1" type="noConversion"/>
  </si>
  <si>
    <t>int[~]</t>
    <phoneticPr fontId="1" type="noConversion"/>
  </si>
  <si>
    <t>ulong[|]</t>
  </si>
  <si>
    <t>int</t>
    <phoneticPr fontId="1" type="noConversion"/>
  </si>
  <si>
    <t>distance</t>
    <phoneticPr fontId="1" type="noConversion"/>
  </si>
  <si>
    <t>行走距离：玩家行走小于等级该距离时，使用该条数据，除非这是所有配置中，距离最大的数据</t>
    <phoneticPr fontId="1" type="noConversion"/>
  </si>
  <si>
    <t>string[;]</t>
    <phoneticPr fontId="1" type="noConversion"/>
  </si>
  <si>
    <t>EmptyBlock_1</t>
  </si>
  <si>
    <t>ObstructBlock_1</t>
  </si>
  <si>
    <t>地图ID</t>
    <phoneticPr fontId="1" type="noConversion"/>
  </si>
  <si>
    <t>emptyList</t>
    <phoneticPr fontId="1" type="noConversion"/>
  </si>
  <si>
    <t>obstructList</t>
    <phoneticPr fontId="1" type="noConversion"/>
  </si>
  <si>
    <t>map_models</t>
    <phoneticPr fontId="1" type="noConversion"/>
  </si>
  <si>
    <t>enemys</t>
    <phoneticPr fontId="1" type="noConversion"/>
  </si>
  <si>
    <t>items</t>
    <phoneticPr fontId="1" type="noConversion"/>
  </si>
  <si>
    <t>string[|;]</t>
    <phoneticPr fontId="1" type="noConversion"/>
  </si>
  <si>
    <t>contents</t>
    <phoneticPr fontId="1" type="noConversion"/>
  </si>
  <si>
    <t>enemy_level</t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</si>
  <si>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敌人等级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</si>
  <si>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物品列表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</si>
  <si>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空格资源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</si>
  <si>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阻挡资源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</si>
  <si>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地图模块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</si>
  <si>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敌人列表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</si>
  <si>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地图块内容：[o]:阻碍 [x]:维护站 [r_敌人强度_出现概率] [g_补给品等级_出现概率] [b_宝箱品质_出现概率] [y_石碑id_出现概率]</t>
    </r>
    <phoneticPr fontId="1" type="noConversion"/>
  </si>
  <si>
    <t>ulong[;]</t>
    <phoneticPr fontId="1" type="noConversion"/>
  </si>
  <si>
    <t>ulong[;]</t>
    <phoneticPr fontId="1" type="noConversion"/>
  </si>
  <si>
    <t>2000001;2000002;2000003;2000004</t>
    <phoneticPr fontId="1" type="noConversion"/>
  </si>
  <si>
    <t>血瓶</t>
    <phoneticPr fontId="1" type="noConversion"/>
  </si>
  <si>
    <t>宝箱</t>
    <phoneticPr fontId="1" type="noConversion"/>
  </si>
  <si>
    <t>怪物</t>
    <phoneticPr fontId="1" type="noConversion"/>
  </si>
  <si>
    <t>石碑</t>
    <phoneticPr fontId="1" type="noConversion"/>
  </si>
  <si>
    <t>维护站</t>
    <phoneticPr fontId="1" type="noConversion"/>
  </si>
  <si>
    <t>1000003;1000009;1000012;1000016</t>
    <phoneticPr fontId="1" type="noConversion"/>
  </si>
  <si>
    <t>机关</t>
    <phoneticPr fontId="1" type="noConversion"/>
  </si>
  <si>
    <t>1
0.5
0</t>
    <phoneticPr fontId="1" type="noConversion"/>
  </si>
  <si>
    <t>201
0.5
0.3</t>
    <phoneticPr fontId="1" type="noConversion"/>
  </si>
  <si>
    <t>201
0.5
0.5</t>
    <phoneticPr fontId="1" type="noConversion"/>
  </si>
  <si>
    <t>201
0.5
1</t>
    <phoneticPr fontId="1" type="noConversion"/>
  </si>
  <si>
    <t>201
1
1</t>
    <phoneticPr fontId="1" type="noConversion"/>
  </si>
  <si>
    <t>1
1
0</t>
    <phoneticPr fontId="1" type="noConversion"/>
  </si>
  <si>
    <t>阻碍</t>
    <phoneticPr fontId="1" type="noConversion"/>
  </si>
  <si>
    <t>101
0.5
0.7</t>
    <phoneticPr fontId="1" type="noConversion"/>
  </si>
  <si>
    <t>1000006;1000008;1000014;1000020</t>
    <phoneticPr fontId="1" type="noConversion"/>
  </si>
  <si>
    <t>1~1</t>
    <phoneticPr fontId="1" type="noConversion"/>
  </si>
  <si>
    <t>2~2</t>
    <phoneticPr fontId="1" type="noConversion"/>
  </si>
  <si>
    <t>3~3</t>
    <phoneticPr fontId="1" type="noConversion"/>
  </si>
  <si>
    <t>301
0.5
0.3</t>
    <phoneticPr fontId="1" type="noConversion"/>
  </si>
  <si>
    <t>304
0.5
0.3</t>
    <phoneticPr fontId="1" type="noConversion"/>
  </si>
  <si>
    <t>315
0.5
0.3</t>
    <phoneticPr fontId="1" type="noConversion"/>
  </si>
  <si>
    <t>316
0.5
0.3</t>
    <phoneticPr fontId="1" type="noConversion"/>
  </si>
  <si>
    <t>317
0.5
0.3</t>
    <phoneticPr fontId="1" type="noConversion"/>
  </si>
  <si>
    <t>318
0.5
0.3</t>
    <phoneticPr fontId="1" type="noConversion"/>
  </si>
  <si>
    <t>311
0.6
0.3</t>
    <phoneticPr fontId="1" type="noConversion"/>
  </si>
  <si>
    <t>312
0.6
0.3</t>
    <phoneticPr fontId="1" type="noConversion"/>
  </si>
  <si>
    <t>313
0.6
0.3</t>
    <phoneticPr fontId="1" type="noConversion"/>
  </si>
  <si>
    <t>314
0.6
0.3</t>
    <phoneticPr fontId="1" type="noConversion"/>
  </si>
  <si>
    <t>310
0.5
0.3</t>
    <phoneticPr fontId="1" type="noConversion"/>
  </si>
  <si>
    <t>302
0.5
0.3</t>
    <phoneticPr fontId="1" type="noConversion"/>
  </si>
  <si>
    <t>308
0.5
0.3</t>
    <phoneticPr fontId="1" type="noConversion"/>
  </si>
  <si>
    <t>309
0.5
0.3</t>
    <phoneticPr fontId="1" type="noConversion"/>
  </si>
  <si>
    <t>j_309_0.5_0.3;;o;;;j_308_0.5_0.3|b_201_0.5_0.3;o;j_311_0.6_0.3;b_201_0.5_0.3;r_1_1_0;b_201_0.5_1|r_1_0.5_0;;r_1_0.5_0;;;o|b_201_1_1;j_301_0.5_0.3;o;r_1_1_0;b_201_0.5_0.3;x|r_1_0.5_0;r_1_1_0;;o;;j_316_0.5_0.3|o;;b_201_0.5_0.3;j_318_0.5_0.3;r_1_0.5_0;o|g_101_0.5_0.7;;r_1_0.5_0;o;b_201_0.5_1;j_314_0.6_0.3</t>
    <phoneticPr fontId="1" type="noConversion"/>
  </si>
  <si>
    <t>o;r_1_0.5_0;b_201_0.5_1;r_1_1_0;r_1_0.5_0;j_316_0.5_0.3|r_1_0.5_0;;b_201_0.5_0.3;j_312_0.6_0.3;o;g_101_0.5_0.7|;r_1_1_0;o;r_1_0.5_0;;|r_1_0.5_0;g_101_0.5_0.7;j_318_0.5_0.3;b_201_0.5_1;j_302_0.5_0.3;b_201_0.5_0.5</t>
    <phoneticPr fontId="1" type="noConversion"/>
  </si>
  <si>
    <t>b_201_0.5_0.3;o;;;o;j_304_0.5_0.3|r_1_0.5_0;b_201_1_1;;o;b_201_0.5_0.3;r_1_1_0|o;j_315_0.5_0.3;r_1_0.5_0;;r_1_0.5_0;g_101_0.5_0.7|g_101_0.5_0.7;;b_201_1_1;r_1_1_0;b_201_0.5_0.5;j_304_0.5_0.3|b_201_0.5_0.5;r_1_0.5_0;j_317_0.5_0.3;;o;r_1_0.5_0|j_313_0.6_0.3;b_201_0.5_0.3;o;b_201_0.5_0.3;;b_201_0.5_0.3</t>
    <phoneticPr fontId="1" type="noConversion"/>
  </si>
  <si>
    <t>o;b_201_0.5_0.3;;j_304_0.5_0.3;r_1_1_0;b_201_0.5_0.3|j_317_0.5_0.3;r_1_0.5_0;;g_101_0.5_0.7;o;r_1_0.5_0|b_201_0.5_0.3;o;r_1_0.5_0;j_310_0.5_0.3;r_1_0.5_0;b_201_0.5_0.3|r_1_1_0;j_309_0.5_0.3;o;;j_304_0.5_0.3;g_101_0.5_0.7|b_201_1_1;r_1_0.5_0;b_201_0.5_0.3;r_1_1_0;j_312_0.6_0.3;|x;j_311_0.6_0.3;o;g_101_0.5_0.7;r_1_0.5_0;o|r_1_0.5_0;b_201_0.5_0.3;;o;b_201_0.5_0.3;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</si>
</sst>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sz val="10"/>
      <color rgb="FF0DB4EF"/>
      <name val="微软雅黑"/>
      <family val="2"/>
      <charset val="134"/>
    </font>
    <font>
      <b/>
      <sz val="10"/>
      <color rgb="FFFFFFFF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b/>
      <sz val="6"/>
      <name val="微软雅黑"/>
      <family val="2"/>
      <charset val="134"/>
    </font>
    <font>
      <sz val="6"/>
      <color theme="1"/>
      <name val="微软雅黑"/>
      <family val="2"/>
      <charset val="134"/>
    </font>
    <font>
      <b/>
      <sz val="6"/>
      <color theme="0"/>
      <name val="微软雅黑"/>
      <family val="2"/>
      <charset val="134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68146E"/>
        <bgColor indexed="64"/>
      </patternFill>
    </fill>
    <fill>
      <patternFill patternType="solid">
        <fgColor rgb="FF25008E"/>
        <bgColor indexed="64"/>
      </patternFill>
    </fill>
    <fill>
      <patternFill patternType="solid">
        <fgColor rgb="FFB2D68A"/>
        <bgColor indexed="64"/>
      </patternFill>
    </fill>
    <fill>
      <patternFill patternType="solid">
        <fgColor rgb="FFED8D8B"/>
        <bgColor indexed="64"/>
      </patternFill>
    </fill>
    <fill>
      <patternFill patternType="solid">
        <fgColor rgb="FF88BDE8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14999847407452621"/>
        <bgColor theme="0" tint="-0.14999847407452621"/>
      </patternFill>
    </fill>
  </fills>
  <borders count="14">
    <border>
      <left/>
      <right/>
      <top/>
      <bottom/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double">
        <color indexed="64"/>
      </right>
      <top/>
      <bottom style="dashed">
        <color indexed="64"/>
      </bottom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ash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double">
        <color indexed="64"/>
      </left>
      <right style="dotted">
        <color indexed="64"/>
      </right>
      <top style="double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3" fillId="0" borderId="0" xfId="0" applyFont="1"/>
    <xf numFmtId="0" fontId="2" fillId="0" borderId="0" xfId="0" applyFont="1"/>
    <xf numFmtId="49" fontId="4" fillId="0" borderId="1" xfId="0" applyNumberFormat="1" applyFont="1" applyBorder="1" applyAlignment="1" applyProtection="1">
      <alignment horizontal="center" vertical="center" wrapText="1"/>
      <protection locked="0"/>
    </xf>
    <xf numFmtId="49" fontId="3" fillId="0" borderId="2" xfId="0" applyNumberFormat="1" applyFont="1" applyBorder="1" applyAlignment="1" applyProtection="1">
      <alignment horizontal="center" vertical="center" wrapText="1"/>
      <protection locked="0"/>
    </xf>
    <xf numFmtId="49" fontId="3" fillId="0" borderId="3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Alignment="1" applyProtection="1">
      <alignment horizontal="center" vertical="center" wrapText="1"/>
    </xf>
    <xf numFmtId="0" fontId="4" fillId="0" borderId="0" xfId="0" applyNumberFormat="1" applyFont="1" applyAlignment="1" applyProtection="1">
      <alignment horizontal="center" vertical="center" wrapText="1"/>
    </xf>
    <xf numFmtId="49" fontId="3" fillId="0" borderId="0" xfId="0" applyNumberFormat="1" applyFont="1" applyAlignment="1" applyProtection="1">
      <alignment horizontal="center" vertical="center" wrapText="1"/>
    </xf>
    <xf numFmtId="0" fontId="3" fillId="0" borderId="0" xfId="0" applyNumberFormat="1" applyFont="1" applyAlignment="1" applyProtection="1">
      <alignment horizontal="center" vertical="center" wrapText="1"/>
    </xf>
    <xf numFmtId="49" fontId="3" fillId="0" borderId="4" xfId="0" applyNumberFormat="1" applyFont="1" applyBorder="1" applyAlignment="1" applyProtection="1">
      <alignment horizontal="center" vertical="center" wrapText="1"/>
      <protection locked="0"/>
    </xf>
    <xf numFmtId="49" fontId="4" fillId="0" borderId="5" xfId="0" applyNumberFormat="1" applyFont="1" applyBorder="1" applyAlignment="1" applyProtection="1">
      <alignment horizontal="center" vertical="center" wrapText="1"/>
      <protection locked="0"/>
    </xf>
    <xf numFmtId="49" fontId="4" fillId="0" borderId="6" xfId="0" applyNumberFormat="1" applyFont="1" applyBorder="1" applyAlignment="1" applyProtection="1">
      <alignment horizontal="center" vertical="center" wrapText="1"/>
      <protection locked="0"/>
    </xf>
    <xf numFmtId="49" fontId="3" fillId="0" borderId="7" xfId="0" applyNumberFormat="1" applyFont="1" applyBorder="1" applyAlignment="1" applyProtection="1">
      <alignment horizontal="center" vertical="center" wrapText="1"/>
      <protection locked="0"/>
    </xf>
    <xf numFmtId="0" fontId="3" fillId="0" borderId="8" xfId="0" applyFont="1" applyBorder="1" applyAlignment="1">
      <alignment horizontal="left" vertical="center" wrapText="1"/>
    </xf>
    <xf numFmtId="0" fontId="5" fillId="0" borderId="8" xfId="0" applyFont="1" applyBorder="1" applyAlignment="1">
      <alignment horizontal="left" vertical="center" wrapText="1"/>
    </xf>
    <xf numFmtId="0" fontId="3" fillId="0" borderId="8" xfId="0" applyFont="1" applyBorder="1" applyAlignment="1">
      <alignment horizontal="left" vertical="center"/>
    </xf>
    <xf numFmtId="0" fontId="6" fillId="3" borderId="8" xfId="0" applyFont="1" applyFill="1" applyBorder="1" applyAlignment="1">
      <alignment horizontal="left" vertical="center"/>
    </xf>
    <xf numFmtId="0" fontId="2" fillId="0" borderId="8" xfId="0" applyFont="1" applyBorder="1" applyAlignment="1">
      <alignment horizontal="left" vertical="center" wrapText="1"/>
    </xf>
    <xf numFmtId="0" fontId="7" fillId="0" borderId="8" xfId="0" applyFont="1" applyBorder="1" applyAlignment="1">
      <alignment horizontal="left" vertical="center" wrapText="1"/>
    </xf>
    <xf numFmtId="0" fontId="2" fillId="0" borderId="8" xfId="0" applyFont="1" applyBorder="1" applyAlignment="1">
      <alignment horizontal="left" vertical="center"/>
    </xf>
    <xf numFmtId="0" fontId="8" fillId="3" borderId="8" xfId="0" applyFont="1" applyFill="1" applyBorder="1" applyAlignment="1">
      <alignment horizontal="left" vertical="center"/>
    </xf>
    <xf numFmtId="0" fontId="9" fillId="7" borderId="9" xfId="0" applyNumberFormat="1" applyFont="1" applyFill="1" applyBorder="1" applyAlignment="1" applyProtection="1">
      <alignment horizontal="center" vertical="center" wrapText="1"/>
    </xf>
    <xf numFmtId="0" fontId="9" fillId="8" borderId="0" xfId="0" applyNumberFormat="1" applyFont="1" applyFill="1" applyAlignment="1" applyProtection="1">
      <alignment horizontal="center" vertical="center" wrapText="1"/>
    </xf>
    <xf numFmtId="49" fontId="10" fillId="0" borderId="10" xfId="0" applyNumberFormat="1" applyFont="1" applyBorder="1" applyAlignment="1" applyProtection="1">
      <alignment horizontal="center" vertical="center" wrapText="1"/>
      <protection locked="0"/>
    </xf>
    <xf numFmtId="49" fontId="10" fillId="2" borderId="11" xfId="0" applyNumberFormat="1" applyFont="1" applyFill="1" applyBorder="1" applyAlignment="1" applyProtection="1">
      <alignment horizontal="center" vertical="center" wrapText="1"/>
      <protection locked="0"/>
    </xf>
    <xf numFmtId="0" fontId="11" fillId="5" borderId="12" xfId="0" applyNumberFormat="1" applyFont="1" applyFill="1" applyBorder="1" applyAlignment="1" applyProtection="1">
      <alignment horizontal="center" vertical="center" wrapText="1"/>
    </xf>
    <xf numFmtId="49" fontId="10" fillId="0" borderId="4" xfId="0" applyNumberFormat="1" applyFont="1" applyBorder="1" applyAlignment="1" applyProtection="1">
      <alignment horizontal="center" vertical="center" wrapText="1"/>
      <protection locked="0"/>
    </xf>
    <xf numFmtId="49" fontId="10" fillId="2" borderId="4" xfId="0" applyNumberFormat="1" applyFont="1" applyFill="1" applyBorder="1" applyAlignment="1" applyProtection="1">
      <alignment horizontal="center" vertical="center" wrapText="1"/>
      <protection locked="0"/>
    </xf>
    <xf numFmtId="0" fontId="9" fillId="6" borderId="4" xfId="0" applyNumberFormat="1" applyFont="1" applyFill="1" applyBorder="1" applyAlignment="1" applyProtection="1">
      <alignment horizontal="center" vertical="center" wrapText="1"/>
    </xf>
    <xf numFmtId="0" fontId="9" fillId="7" borderId="4" xfId="0" applyNumberFormat="1" applyFont="1" applyFill="1" applyBorder="1" applyAlignment="1" applyProtection="1">
      <alignment horizontal="center" vertical="center" wrapText="1"/>
    </xf>
    <xf numFmtId="0" fontId="9" fillId="8" borderId="4" xfId="0" applyNumberFormat="1" applyFont="1" applyFill="1" applyBorder="1" applyAlignment="1" applyProtection="1">
      <alignment horizontal="center" vertical="center" wrapText="1"/>
    </xf>
    <xf numFmtId="49" fontId="10" fillId="2" borderId="13" xfId="0" applyNumberFormat="1" applyFont="1" applyFill="1" applyBorder="1" applyAlignment="1" applyProtection="1">
      <alignment horizontal="center" vertical="center" wrapText="1"/>
      <protection locked="0"/>
    </xf>
    <xf numFmtId="0" fontId="9" fillId="6" borderId="0" xfId="0" applyNumberFormat="1" applyFont="1" applyFill="1" applyAlignment="1" applyProtection="1">
      <alignment horizontal="center" vertical="center" wrapText="1"/>
    </xf>
    <xf numFmtId="0" fontId="11" fillId="5" borderId="4" xfId="0" applyNumberFormat="1" applyFont="1" applyFill="1" applyBorder="1" applyAlignment="1" applyProtection="1">
      <alignment horizontal="center" vertical="center" wrapText="1"/>
    </xf>
    <xf numFmtId="0" fontId="11" fillId="4" borderId="4" xfId="0" applyNumberFormat="1" applyFont="1" applyFill="1" applyBorder="1" applyAlignment="1" applyProtection="1">
      <alignment horizontal="center" vertical="center" wrapText="1"/>
    </xf>
    <xf numFmtId="49" fontId="10" fillId="0" borderId="4" xfId="0" applyNumberFormat="1" applyFont="1" applyBorder="1" applyAlignment="1" applyProtection="1">
      <alignment horizontal="center" vertical="center" wrapText="1"/>
    </xf>
    <xf numFmtId="0" fontId="10" fillId="0" borderId="4" xfId="0" applyNumberFormat="1" applyFont="1" applyBorder="1" applyAlignment="1" applyProtection="1">
      <alignment horizontal="center" vertical="center" wrapText="1"/>
    </xf>
    <xf numFmtId="0" fontId="11" fillId="2" borderId="4" xfId="0" applyNumberFormat="1" applyFont="1" applyFill="1" applyBorder="1" applyAlignment="1" applyProtection="1">
      <alignment horizontal="center" vertical="center" wrapText="1"/>
    </xf>
    <xf numFmtId="0" fontId="11" fillId="9" borderId="4" xfId="0" applyNumberFormat="1" applyFont="1" applyFill="1" applyBorder="1" applyAlignment="1" applyProtection="1">
      <alignment horizontal="center" vertical="center" wrapText="1"/>
    </xf>
    <xf numFmtId="0" fontId="3" fillId="10" borderId="8" xfId="0" applyFont="1" applyFill="1" applyBorder="1" applyAlignment="1">
      <alignment horizontal="left" vertical="center"/>
    </xf>
    <xf numFmtId="0" fontId="3" fillId="0" borderId="8" xfId="0" applyFont="1" applyFill="1" applyBorder="1" applyAlignment="1">
      <alignment horizontal="left" vertical="center"/>
    </xf>
  </cellXfs>
  <cellStyles count="1">
    <cellStyle name="常规" xfId="0" builtinId="0"/>
  </cellStyles>
  <dxfs count="22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1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A7CF7B"/>
      <color rgb="FF88BDE8"/>
      <color rgb="FFABD0EF"/>
      <color rgb="FFC3DDF3"/>
      <color rgb="FFED8D8B"/>
      <color rgb="FF92C45C"/>
      <color rgb="FFFBE2E1"/>
      <color rgb="FFDCECCA"/>
      <color rgb="FFC5E0A8"/>
      <color rgb="FFB2D68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1</xdr:col>
      <xdr:colOff>2676525</xdr:colOff>
      <xdr:row>23</xdr:row>
      <xdr:rowOff>152401</xdr:rowOff>
    </xdr:to>
    <xdr:sp macro="" textlink="">
      <xdr:nvSpPr>
        <xdr:cNvPr id="4" name="文本框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733425" y="1885950"/>
          <a:ext cx="2676525" cy="3086101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6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参数项</a:t>
          </a: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o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 b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x</a:t>
          </a:r>
          <a:endParaRPr lang="en-US" altLang="zh-CN" sz="1600" b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eaLnBrk="1" fontAlgn="auto" latinLnBrk="0" hangingPunct="1"/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r_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敌人强度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eaLnBrk="1" fontAlgn="auto" latinLnBrk="0" hangingPunct="1"/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g_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b_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y_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石碑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j_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机关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其中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o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代表阻碍，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x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代表维护站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zh-CN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190499</xdr:colOff>
          <xdr:row>0</xdr:row>
          <xdr:rowOff>104775</xdr:rowOff>
        </xdr:from>
        <xdr:to>
          <xdr:col>14</xdr:col>
          <xdr:colOff>381000</xdr:colOff>
          <xdr:row>1</xdr:row>
          <xdr:rowOff>180976</xdr:rowOff>
        </xdr:to>
        <xdr:grpSp>
          <xdr:nvGrpSpPr>
            <xdr:cNvPr id="4" name="组合 3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GrpSpPr/>
          </xdr:nvGrpSpPr>
          <xdr:grpSpPr>
            <a:xfrm>
              <a:off x="3781424" y="104775"/>
              <a:ext cx="3524251" cy="552451"/>
              <a:chOff x="4762499" y="104775"/>
              <a:chExt cx="3524251" cy="552451"/>
            </a:xfrm>
          </xdr:grpSpPr>
          <xdr:sp macro="" textlink="">
            <xdr:nvSpPr>
              <xdr:cNvPr id="1025" name="CommandButton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200-000001040000}"/>
                  </a:ext>
                </a:extLst>
              </xdr:cNvPr>
              <xdr:cNvSpPr/>
            </xdr:nvSpPr>
            <xdr:spPr bwMode="auto">
              <a:xfrm>
                <a:off x="6629400" y="133350"/>
                <a:ext cx="1657350" cy="5143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grpSp>
            <xdr:nvGrpSpPr>
              <xdr:cNvPr id="3" name="组合 2">
                <a:extLst>
                  <a:ext uri="{FF2B5EF4-FFF2-40B4-BE49-F238E27FC236}">
                    <a16:creationId xmlns:a16="http://schemas.microsoft.com/office/drawing/2014/main" id="{00000000-0008-0000-0200-000003000000}"/>
                  </a:ext>
                </a:extLst>
              </xdr:cNvPr>
              <xdr:cNvGrpSpPr/>
            </xdr:nvGrpSpPr>
            <xdr:grpSpPr>
              <a:xfrm>
                <a:off x="4762499" y="104775"/>
                <a:ext cx="1914526" cy="552451"/>
                <a:chOff x="4895849" y="628650"/>
                <a:chExt cx="1914526" cy="552451"/>
              </a:xfrm>
            </xdr:grpSpPr>
            <xdr:sp macro="" textlink="">
              <xdr:nvSpPr>
                <xdr:cNvPr id="1026" name="TextBox1" hidden="1">
                  <a:extLst>
                    <a:ext uri="{63B3BB69-23CF-44E3-9099-C40C66FF867C}">
                      <a14:compatExt spid="_x0000_s1026"/>
                    </a:ext>
                    <a:ext uri="{FF2B5EF4-FFF2-40B4-BE49-F238E27FC236}">
                      <a16:creationId xmlns:a16="http://schemas.microsoft.com/office/drawing/2014/main" id="{00000000-0008-0000-0200-000002040000}"/>
                    </a:ext>
                  </a:extLst>
                </xdr:cNvPr>
                <xdr:cNvSpPr/>
              </xdr:nvSpPr>
              <xdr:spPr bwMode="auto">
                <a:xfrm>
                  <a:off x="4895850" y="914401"/>
                  <a:ext cx="1790700" cy="2667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027" name="Label1" hidden="1">
                  <a:extLst>
                    <a:ext uri="{63B3BB69-23CF-44E3-9099-C40C66FF867C}">
                      <a14:compatExt spid="_x0000_s1027"/>
                    </a:ext>
                    <a:ext uri="{FF2B5EF4-FFF2-40B4-BE49-F238E27FC236}">
                      <a16:creationId xmlns:a16="http://schemas.microsoft.com/office/drawing/2014/main" id="{00000000-0008-0000-0200-000003040000}"/>
                    </a:ext>
                  </a:extLst>
                </xdr:cNvPr>
                <xdr:cNvSpPr/>
              </xdr:nvSpPr>
              <xdr:spPr bwMode="auto">
                <a:xfrm>
                  <a:off x="4895849" y="628650"/>
                  <a:ext cx="1914526" cy="25717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xdr:grpSp>
        <xdr:clientData/>
      </xdr:twoCellAnchor>
    </mc:Choice>
    <mc:Fallback/>
  </mc:AlternateContent>
  <xdr:twoCellAnchor>
    <xdr:from>
      <xdr:col>7</xdr:col>
      <xdr:colOff>198559</xdr:colOff>
      <xdr:row>3</xdr:row>
      <xdr:rowOff>17584</xdr:rowOff>
    </xdr:from>
    <xdr:to>
      <xdr:col>13</xdr:col>
      <xdr:colOff>17584</xdr:colOff>
      <xdr:row>9</xdr:row>
      <xdr:rowOff>246185</xdr:rowOff>
    </xdr:to>
    <xdr:sp macro="" textlink="">
      <xdr:nvSpPr>
        <xdr:cNvPr id="12" name="文本框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3788751" y="1446334"/>
          <a:ext cx="2676525" cy="3086101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6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参数项</a:t>
          </a: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o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 b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x</a:t>
          </a:r>
          <a:endParaRPr lang="en-US" altLang="zh-CN" sz="1600" b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eaLnBrk="1" fontAlgn="auto" latinLnBrk="0" hangingPunct="1"/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r_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敌人强度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eaLnBrk="1" fontAlgn="auto" latinLnBrk="0" hangingPunct="1"/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g_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b_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y_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石碑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j_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机关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其中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o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代表阻碍，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x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代表维护站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zh-CN" altLang="en-US" sz="1100"/>
        </a:p>
      </xdr:txBody>
    </xdr:sp>
    <xdr:clientData/>
  </xdr:twoCellAnchor>
  <xdr:twoCellAnchor editAs="oneCell">
    <xdr:from>
      <xdr:col>15</xdr:col>
      <xdr:colOff>410307</xdr:colOff>
      <xdr:row>3</xdr:row>
      <xdr:rowOff>21981</xdr:rowOff>
    </xdr:from>
    <xdr:to>
      <xdr:col>22</xdr:col>
      <xdr:colOff>19414</xdr:colOff>
      <xdr:row>5</xdr:row>
      <xdr:rowOff>364719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10499" y="1450731"/>
          <a:ext cx="2942857" cy="1295238"/>
        </a:xfrm>
        <a:prstGeom prst="rect">
          <a:avLst/>
        </a:prstGeom>
      </xdr:spPr>
    </xdr:pic>
    <xdr:clientData/>
  </xdr:twoCellAnchor>
  <xdr:twoCellAnchor editAs="oneCell">
    <xdr:from>
      <xdr:col>15</xdr:col>
      <xdr:colOff>402980</xdr:colOff>
      <xdr:row>5</xdr:row>
      <xdr:rowOff>359020</xdr:rowOff>
    </xdr:from>
    <xdr:to>
      <xdr:col>21</xdr:col>
      <xdr:colOff>345480</xdr:colOff>
      <xdr:row>9</xdr:row>
      <xdr:rowOff>168306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803172" y="2740270"/>
          <a:ext cx="2800000" cy="1714286"/>
        </a:xfrm>
        <a:prstGeom prst="rect">
          <a:avLst/>
        </a:prstGeom>
      </xdr:spPr>
    </xdr:pic>
    <xdr:clientData/>
  </xdr:twoCellAnchor>
  <xdr:twoCellAnchor editAs="oneCell">
    <xdr:from>
      <xdr:col>15</xdr:col>
      <xdr:colOff>402980</xdr:colOff>
      <xdr:row>9</xdr:row>
      <xdr:rowOff>153865</xdr:rowOff>
    </xdr:from>
    <xdr:to>
      <xdr:col>25</xdr:col>
      <xdr:colOff>5198</xdr:colOff>
      <xdr:row>12</xdr:row>
      <xdr:rowOff>220353</xdr:rowOff>
    </xdr:to>
    <xdr:pic>
      <xdr:nvPicPr>
        <xdr:cNvPr id="7" name="图片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803172" y="4440115"/>
          <a:ext cx="5295238" cy="149523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表1" displayName="表1" ref="A3:H6" totalsRowShown="0" headerRowDxfId="19" dataDxfId="18">
  <autoFilter ref="A3:H6"/>
  <tableColumns count="8">
    <tableColumn id="1" name="id" dataDxfId="17"/>
    <tableColumn id="10" name="distance" dataDxfId="16"/>
    <tableColumn id="12" name="emptyList" dataDxfId="15"/>
    <tableColumn id="11" name="obstructList" dataDxfId="14"/>
    <tableColumn id="4" name="map_models" dataDxfId="4"/>
    <tableColumn id="6" name="enemys" dataDxfId="2"/>
    <tableColumn id="9" name="enemy_level" dataDxfId="3"/>
    <tableColumn id="13" name="items" dataDxfId="13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2" name="表2" displayName="表2" ref="A3:B7" totalsRowShown="0" headerRowDxfId="10" dataDxfId="9">
  <autoFilter ref="A3:B7"/>
  <tableColumns count="2">
    <tableColumn id="1" name="id" dataDxfId="8"/>
    <tableColumn id="2" name="contents" dataDxfId="7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水汽尾迹">
  <a:themeElements>
    <a:clrScheme name="水汽尾迹">
      <a:dk1>
        <a:sysClr val="windowText" lastClr="000000"/>
      </a:dk1>
      <a:lt1>
        <a:sysClr val="window" lastClr="FFFFFF"/>
      </a:lt1>
      <a:dk2>
        <a:srgbClr val="454545"/>
      </a:dk2>
      <a:lt2>
        <a:srgbClr val="DADADA"/>
      </a:lt2>
      <a:accent1>
        <a:srgbClr val="DF2E28"/>
      </a:accent1>
      <a:accent2>
        <a:srgbClr val="FE801A"/>
      </a:accent2>
      <a:accent3>
        <a:srgbClr val="E9BF35"/>
      </a:accent3>
      <a:accent4>
        <a:srgbClr val="81BB42"/>
      </a:accent4>
      <a:accent5>
        <a:srgbClr val="32C7A9"/>
      </a:accent5>
      <a:accent6>
        <a:srgbClr val="4A9BDC"/>
      </a:accent6>
      <a:hlink>
        <a:srgbClr val="F0532B"/>
      </a:hlink>
      <a:folHlink>
        <a:srgbClr val="F38B53"/>
      </a:folHlink>
    </a:clrScheme>
    <a:fontScheme name="水汽尾迹">
      <a:maj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水汽尾迹">
      <a:fillStyleLst>
        <a:solidFill>
          <a:schemeClr val="phClr"/>
        </a:solidFill>
        <a:gradFill rotWithShape="1">
          <a:gsLst>
            <a:gs pos="0">
              <a:schemeClr val="phClr">
                <a:tint val="69000"/>
                <a:alpha val="100000"/>
                <a:satMod val="109000"/>
                <a:lumMod val="110000"/>
              </a:schemeClr>
            </a:gs>
            <a:gs pos="52000">
              <a:schemeClr val="phClr">
                <a:tint val="74000"/>
                <a:satMod val="100000"/>
                <a:lumMod val="104000"/>
              </a:schemeClr>
            </a:gs>
            <a:gs pos="100000">
              <a:schemeClr val="phClr">
                <a:tint val="78000"/>
                <a:satMod val="10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satMod val="100000"/>
                <a:lumMod val="104000"/>
              </a:schemeClr>
            </a:gs>
            <a:gs pos="78000">
              <a:schemeClr val="phClr">
                <a:shade val="100000"/>
                <a:satMod val="110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  <a:scene3d>
            <a:camera prst="orthographicFront">
              <a:rot lat="0" lon="0" rev="0"/>
            </a:camera>
            <a:lightRig rig="threePt" dir="t"/>
          </a:scene3d>
          <a:sp3d>
            <a:bevelT w="25400" h="12700"/>
          </a:sp3d>
        </a:effectStyle>
        <a:effectStyle>
          <a:effectLst>
            <a:outerShdw blurRad="57150" dist="19050" dir="5400000" algn="ctr" rotWithShape="0">
              <a:srgbClr val="000000">
                <a:alpha val="48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 w="508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apor Trail" id="{4FDF2955-7D9C-493C-B9F9-C205151B46CD}" vid="{8F31A783-2159-4870-BC29-2BA7D038EA44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2"/>
  <sheetViews>
    <sheetView showGridLines="0" workbookViewId="0">
      <selection activeCell="D29" sqref="D29"/>
    </sheetView>
  </sheetViews>
  <sheetFormatPr defaultRowHeight="16.5" x14ac:dyDescent="0.35"/>
  <cols>
    <col min="1" max="1" width="9.625" style="1" bestFit="1" customWidth="1"/>
    <col min="2" max="2" width="23.625" style="1" customWidth="1"/>
    <col min="3" max="4" width="14.75" style="1" customWidth="1"/>
    <col min="5" max="5" width="44.375" style="1" customWidth="1"/>
    <col min="6" max="6" width="58.875" style="1" customWidth="1"/>
    <col min="7" max="7" width="12" style="1" customWidth="1"/>
    <col min="8" max="16384" width="9" style="1"/>
  </cols>
  <sheetData>
    <row r="1" spans="1:8" ht="49.5" x14ac:dyDescent="0.35">
      <c r="A1" s="14" t="s">
        <v>20</v>
      </c>
      <c r="B1" s="14" t="s">
        <v>16</v>
      </c>
      <c r="C1" s="15" t="s">
        <v>31</v>
      </c>
      <c r="D1" s="15" t="s">
        <v>32</v>
      </c>
      <c r="E1" s="15" t="s">
        <v>33</v>
      </c>
      <c r="F1" s="15" t="s">
        <v>34</v>
      </c>
      <c r="G1" s="15" t="s">
        <v>29</v>
      </c>
      <c r="H1" s="15" t="s">
        <v>30</v>
      </c>
    </row>
    <row r="2" spans="1:8" x14ac:dyDescent="0.35">
      <c r="A2" s="16" t="s">
        <v>6</v>
      </c>
      <c r="B2" s="16" t="s">
        <v>14</v>
      </c>
      <c r="C2" s="16" t="s">
        <v>17</v>
      </c>
      <c r="D2" s="16" t="s">
        <v>17</v>
      </c>
      <c r="E2" s="16" t="s">
        <v>37</v>
      </c>
      <c r="F2" s="16" t="s">
        <v>36</v>
      </c>
      <c r="G2" s="16" t="s">
        <v>12</v>
      </c>
      <c r="H2" s="16" t="s">
        <v>13</v>
      </c>
    </row>
    <row r="3" spans="1:8" x14ac:dyDescent="0.35">
      <c r="A3" s="17" t="s">
        <v>5</v>
      </c>
      <c r="B3" s="17" t="s">
        <v>15</v>
      </c>
      <c r="C3" s="17" t="s">
        <v>21</v>
      </c>
      <c r="D3" s="17" t="s">
        <v>22</v>
      </c>
      <c r="E3" s="17" t="s">
        <v>23</v>
      </c>
      <c r="F3" s="17" t="s">
        <v>24</v>
      </c>
      <c r="G3" s="17" t="s">
        <v>28</v>
      </c>
      <c r="H3" s="17" t="s">
        <v>25</v>
      </c>
    </row>
    <row r="4" spans="1:8" x14ac:dyDescent="0.35">
      <c r="A4" s="16">
        <v>1000001</v>
      </c>
      <c r="B4" s="16">
        <v>20</v>
      </c>
      <c r="C4" s="16" t="s">
        <v>18</v>
      </c>
      <c r="D4" s="16" t="s">
        <v>19</v>
      </c>
      <c r="E4" s="16" t="s">
        <v>38</v>
      </c>
      <c r="F4" s="41" t="s">
        <v>54</v>
      </c>
      <c r="G4" s="16" t="s">
        <v>55</v>
      </c>
      <c r="H4" s="16"/>
    </row>
    <row r="5" spans="1:8" x14ac:dyDescent="0.35">
      <c r="A5" s="16">
        <v>1000002</v>
      </c>
      <c r="B5" s="16">
        <v>40</v>
      </c>
      <c r="C5" s="16" t="s">
        <v>18</v>
      </c>
      <c r="D5" s="16" t="s">
        <v>19</v>
      </c>
      <c r="E5" s="16" t="s">
        <v>38</v>
      </c>
      <c r="F5" s="41" t="s">
        <v>54</v>
      </c>
      <c r="G5" s="16" t="s">
        <v>56</v>
      </c>
      <c r="H5" s="16"/>
    </row>
    <row r="6" spans="1:8" x14ac:dyDescent="0.35">
      <c r="A6" s="16">
        <v>1000003</v>
      </c>
      <c r="B6" s="16">
        <v>60</v>
      </c>
      <c r="C6" s="16" t="s">
        <v>18</v>
      </c>
      <c r="D6" s="16" t="s">
        <v>19</v>
      </c>
      <c r="E6" s="16" t="s">
        <v>38</v>
      </c>
      <c r="F6" s="41" t="s">
        <v>54</v>
      </c>
      <c r="G6" s="16" t="s">
        <v>57</v>
      </c>
      <c r="H6" s="16"/>
    </row>
    <row r="11" spans="1:8" x14ac:dyDescent="0.35">
      <c r="F11" s="40" t="s">
        <v>44</v>
      </c>
    </row>
    <row r="12" spans="1:8" x14ac:dyDescent="0.35">
      <c r="F12" s="40" t="s">
        <v>54</v>
      </c>
    </row>
  </sheetData>
  <phoneticPr fontId="1" type="noConversion"/>
  <conditionalFormatting sqref="A3:H3">
    <cfRule type="duplicateValues" dxfId="21" priority="25"/>
  </conditionalFormatting>
  <conditionalFormatting sqref="A4:A6">
    <cfRule type="duplicateValues" dxfId="1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7"/>
  <sheetViews>
    <sheetView showGridLines="0" zoomScaleNormal="100" workbookViewId="0">
      <selection activeCell="C5" sqref="C5"/>
    </sheetView>
  </sheetViews>
  <sheetFormatPr defaultRowHeight="16.5" x14ac:dyDescent="0.3"/>
  <cols>
    <col min="1" max="1" width="9.625" style="2" bestFit="1" customWidth="1"/>
    <col min="2" max="2" width="186.875" style="2" customWidth="1"/>
    <col min="3" max="3" width="11.75" style="2" customWidth="1"/>
    <col min="4" max="16384" width="9" style="2"/>
  </cols>
  <sheetData>
    <row r="1" spans="1:2" x14ac:dyDescent="0.3">
      <c r="A1" s="18" t="s">
        <v>4</v>
      </c>
      <c r="B1" s="19" t="s">
        <v>35</v>
      </c>
    </row>
    <row r="2" spans="1:2" x14ac:dyDescent="0.3">
      <c r="A2" s="20" t="s">
        <v>3</v>
      </c>
      <c r="B2" s="20" t="s">
        <v>26</v>
      </c>
    </row>
    <row r="3" spans="1:2" x14ac:dyDescent="0.3">
      <c r="A3" s="21" t="s">
        <v>5</v>
      </c>
      <c r="B3" s="21" t="s">
        <v>27</v>
      </c>
    </row>
    <row r="4" spans="1:2" ht="45" customHeight="1" x14ac:dyDescent="0.3">
      <c r="A4" s="20">
        <v>2000001</v>
      </c>
      <c r="B4" s="18" t="s">
        <v>75</v>
      </c>
    </row>
    <row r="5" spans="1:2" ht="45" customHeight="1" x14ac:dyDescent="0.3">
      <c r="A5" s="20">
        <v>2000002</v>
      </c>
      <c r="B5" s="18" t="s">
        <v>72</v>
      </c>
    </row>
    <row r="6" spans="1:2" ht="45" customHeight="1" x14ac:dyDescent="0.3">
      <c r="A6" s="20">
        <v>2000003</v>
      </c>
      <c r="B6" s="18" t="s">
        <v>73</v>
      </c>
    </row>
    <row r="7" spans="1:2" ht="45" customHeight="1" x14ac:dyDescent="0.3">
      <c r="A7" s="20">
        <v>2000004</v>
      </c>
      <c r="B7" s="18" t="s">
        <v>74</v>
      </c>
    </row>
  </sheetData>
  <phoneticPr fontId="1" type="noConversion"/>
  <conditionalFormatting sqref="A3:B3">
    <cfRule type="duplicateValues" dxfId="12" priority="16"/>
  </conditionalFormatting>
  <conditionalFormatting sqref="A4:A7">
    <cfRule type="duplicateValues" dxfId="0" priority="1"/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D25"/>
  <sheetViews>
    <sheetView showGridLines="0" tabSelected="1" zoomScaleNormal="100" workbookViewId="0">
      <pane xSplit="15" ySplit="3" topLeftCell="P4" activePane="bottomRight" state="frozen"/>
      <selection pane="topRight" activeCell="P1" sqref="P1"/>
      <selection pane="bottomLeft" activeCell="A4" sqref="A4"/>
      <selection pane="bottomRight" activeCell="G14" sqref="G14"/>
    </sheetView>
  </sheetViews>
  <sheetFormatPr defaultColWidth="6.25" defaultRowHeight="37.5" customHeight="1" x14ac:dyDescent="0.15"/>
  <cols>
    <col min="1" max="1" width="9.625" style="5" customWidth="1"/>
    <col min="2" max="2" width="6.25" style="13"/>
    <col min="3" max="7" width="6.25" style="10"/>
    <col min="8" max="8" width="6.25" style="8" customWidth="1"/>
    <col min="9" max="22" width="6.25" style="8"/>
    <col min="23" max="23" width="6.5" style="8" bestFit="1" customWidth="1"/>
    <col min="24" max="24" width="14.875" style="8" customWidth="1"/>
    <col min="25" max="29" width="9.5" style="8" bestFit="1" customWidth="1"/>
    <col min="30" max="16384" width="6.25" style="8"/>
  </cols>
  <sheetData>
    <row r="1" spans="1:30" s="6" customFormat="1" ht="37.5" customHeight="1" thickBot="1" x14ac:dyDescent="0.2">
      <c r="A1" s="3" t="s">
        <v>0</v>
      </c>
      <c r="B1" s="12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K1" s="7"/>
      <c r="Q1" s="38">
        <f t="shared" ref="Q1:W1" si="0">测试单元格颜色()</f>
        <v>0</v>
      </c>
      <c r="R1" s="34">
        <f t="shared" si="0"/>
        <v>9306149</v>
      </c>
      <c r="S1" s="30">
        <f t="shared" si="0"/>
        <v>9145837</v>
      </c>
      <c r="T1" s="29">
        <f t="shared" si="0"/>
        <v>9098930</v>
      </c>
      <c r="U1" s="31">
        <f t="shared" si="0"/>
        <v>15252872</v>
      </c>
      <c r="V1" s="35">
        <f t="shared" si="0"/>
        <v>7214184</v>
      </c>
      <c r="W1" s="39">
        <f t="shared" si="0"/>
        <v>90065</v>
      </c>
      <c r="X1" s="7"/>
      <c r="Y1" s="8"/>
      <c r="Z1" s="8"/>
      <c r="AA1" s="8"/>
      <c r="AB1" s="8"/>
      <c r="AC1" s="8"/>
      <c r="AD1" s="8"/>
    </row>
    <row r="2" spans="1:30" ht="37.5" customHeight="1" thickTop="1" x14ac:dyDescent="0.15">
      <c r="A2" s="4" t="s">
        <v>1</v>
      </c>
      <c r="B2" s="22" t="s">
        <v>46</v>
      </c>
      <c r="C2" s="23" t="s">
        <v>47</v>
      </c>
      <c r="D2" s="24"/>
      <c r="E2" s="25"/>
      <c r="F2" s="23" t="s">
        <v>47</v>
      </c>
      <c r="G2" s="24"/>
      <c r="Q2" s="36" t="s">
        <v>52</v>
      </c>
      <c r="R2" s="36" t="s">
        <v>43</v>
      </c>
      <c r="S2" s="36" t="s">
        <v>41</v>
      </c>
      <c r="T2" s="36" t="s">
        <v>39</v>
      </c>
      <c r="U2" s="36" t="s">
        <v>40</v>
      </c>
      <c r="V2" s="37" t="s">
        <v>42</v>
      </c>
      <c r="W2" s="37" t="s">
        <v>45</v>
      </c>
      <c r="X2" s="9"/>
    </row>
    <row r="3" spans="1:30" ht="37.5" customHeight="1" x14ac:dyDescent="0.15">
      <c r="A3" s="4" t="s">
        <v>1</v>
      </c>
      <c r="B3" s="26"/>
      <c r="C3" s="39" t="s">
        <v>64</v>
      </c>
      <c r="D3" s="28"/>
      <c r="E3" s="29" t="s">
        <v>53</v>
      </c>
      <c r="F3" s="30" t="s">
        <v>46</v>
      </c>
      <c r="G3" s="28"/>
      <c r="Q3" s="9"/>
      <c r="T3" s="9"/>
      <c r="V3" s="9"/>
    </row>
    <row r="4" spans="1:30" ht="37.5" customHeight="1" x14ac:dyDescent="0.15">
      <c r="A4" s="4" t="s">
        <v>1</v>
      </c>
      <c r="B4" s="31" t="s">
        <v>50</v>
      </c>
      <c r="C4" s="30" t="s">
        <v>46</v>
      </c>
      <c r="D4" s="23" t="s">
        <v>47</v>
      </c>
      <c r="E4" s="30" t="s">
        <v>51</v>
      </c>
      <c r="F4" s="39" t="s">
        <v>65</v>
      </c>
      <c r="G4" s="27"/>
      <c r="X4" s="9"/>
    </row>
    <row r="5" spans="1:30" ht="37.5" customHeight="1" x14ac:dyDescent="0.15">
      <c r="A5" s="4" t="s">
        <v>1</v>
      </c>
      <c r="B5" s="30" t="s">
        <v>51</v>
      </c>
      <c r="C5" s="39" t="s">
        <v>71</v>
      </c>
      <c r="D5" s="28"/>
      <c r="E5" s="27"/>
      <c r="F5" s="39" t="s">
        <v>59</v>
      </c>
      <c r="G5" s="29" t="s">
        <v>53</v>
      </c>
      <c r="X5" s="9"/>
      <c r="Y5" s="9"/>
    </row>
    <row r="6" spans="1:30" ht="37.5" customHeight="1" x14ac:dyDescent="0.15">
      <c r="A6" s="4" t="s">
        <v>1</v>
      </c>
      <c r="B6" s="23" t="s">
        <v>47</v>
      </c>
      <c r="C6" s="28"/>
      <c r="D6" s="30" t="s">
        <v>46</v>
      </c>
      <c r="E6" s="39" t="s">
        <v>68</v>
      </c>
      <c r="F6" s="30" t="s">
        <v>46</v>
      </c>
      <c r="G6" s="31" t="s">
        <v>47</v>
      </c>
    </row>
    <row r="7" spans="1:30" ht="37.5" customHeight="1" x14ac:dyDescent="0.15">
      <c r="A7" s="4" t="s">
        <v>1</v>
      </c>
      <c r="B7" s="39" t="s">
        <v>62</v>
      </c>
      <c r="C7" s="30" t="s">
        <v>46</v>
      </c>
      <c r="D7" s="27"/>
      <c r="E7" s="29" t="s">
        <v>53</v>
      </c>
      <c r="F7" s="28"/>
      <c r="G7" s="30" t="s">
        <v>46</v>
      </c>
    </row>
    <row r="8" spans="1:30" ht="37.5" customHeight="1" x14ac:dyDescent="0.15">
      <c r="A8" s="4" t="s">
        <v>9</v>
      </c>
      <c r="B8" s="32"/>
      <c r="C8" s="31" t="s">
        <v>47</v>
      </c>
      <c r="D8" s="27"/>
      <c r="E8" s="39" t="s">
        <v>59</v>
      </c>
      <c r="F8" s="30" t="s">
        <v>51</v>
      </c>
      <c r="G8" s="31" t="s">
        <v>47</v>
      </c>
    </row>
    <row r="9" spans="1:30" ht="37.5" customHeight="1" x14ac:dyDescent="0.15">
      <c r="A9" s="4" t="s">
        <v>2</v>
      </c>
      <c r="B9" s="33" t="s">
        <v>53</v>
      </c>
      <c r="C9" s="27"/>
      <c r="D9" s="30" t="s">
        <v>46</v>
      </c>
      <c r="E9" s="28"/>
      <c r="F9" s="31" t="s">
        <v>49</v>
      </c>
      <c r="G9" s="39" t="s">
        <v>67</v>
      </c>
    </row>
    <row r="10" spans="1:30" ht="37.5" customHeight="1" x14ac:dyDescent="0.15">
      <c r="A10" s="4" t="s">
        <v>2</v>
      </c>
      <c r="B10" s="32"/>
      <c r="C10" s="27"/>
      <c r="D10" s="31" t="s">
        <v>47</v>
      </c>
      <c r="E10" s="39" t="s">
        <v>63</v>
      </c>
      <c r="F10" s="30" t="s">
        <v>46</v>
      </c>
      <c r="G10" s="28"/>
    </row>
    <row r="11" spans="1:30" ht="37.5" customHeight="1" x14ac:dyDescent="0.15">
      <c r="A11" s="4" t="s">
        <v>2</v>
      </c>
      <c r="B11" s="30" t="s">
        <v>46</v>
      </c>
      <c r="C11" s="30" t="s">
        <v>51</v>
      </c>
      <c r="D11" s="27"/>
      <c r="E11" s="28"/>
      <c r="G11" s="39" t="s">
        <v>61</v>
      </c>
    </row>
    <row r="12" spans="1:30" ht="37.5" customHeight="1" x14ac:dyDescent="0.15">
      <c r="A12" s="4" t="s">
        <v>10</v>
      </c>
      <c r="B12" s="23" t="s">
        <v>50</v>
      </c>
      <c r="C12" s="39" t="s">
        <v>58</v>
      </c>
      <c r="D12" s="28"/>
      <c r="E12" s="30" t="s">
        <v>51</v>
      </c>
      <c r="F12" s="31" t="s">
        <v>47</v>
      </c>
      <c r="G12" s="34"/>
    </row>
    <row r="13" spans="1:30" ht="37.5" customHeight="1" x14ac:dyDescent="0.15">
      <c r="A13" s="4" t="s">
        <v>10</v>
      </c>
      <c r="B13" s="30" t="s">
        <v>46</v>
      </c>
      <c r="C13" s="27"/>
      <c r="D13" s="30" t="s">
        <v>46</v>
      </c>
      <c r="F13" s="27"/>
      <c r="G13" s="28"/>
    </row>
    <row r="14" spans="1:30" ht="37.5" customHeight="1" x14ac:dyDescent="0.15">
      <c r="A14" s="4" t="s">
        <v>10</v>
      </c>
      <c r="B14" s="31" t="s">
        <v>47</v>
      </c>
      <c r="C14" s="28"/>
      <c r="D14" s="39" t="s">
        <v>64</v>
      </c>
      <c r="E14" s="31" t="s">
        <v>47</v>
      </c>
      <c r="F14" s="30" t="s">
        <v>51</v>
      </c>
      <c r="G14" s="31" t="s">
        <v>49</v>
      </c>
    </row>
    <row r="15" spans="1:30" ht="37.5" customHeight="1" x14ac:dyDescent="0.15">
      <c r="A15" s="4" t="s">
        <v>10</v>
      </c>
      <c r="B15" s="39" t="s">
        <v>71</v>
      </c>
      <c r="C15" s="27"/>
      <c r="D15" s="28"/>
      <c r="E15" s="27"/>
      <c r="G15" s="39" t="s">
        <v>70</v>
      </c>
    </row>
    <row r="16" spans="1:30" ht="37.5" customHeight="1" x14ac:dyDescent="0.15">
      <c r="A16" s="4" t="s">
        <v>11</v>
      </c>
      <c r="B16" s="30" t="s">
        <v>46</v>
      </c>
      <c r="C16" s="29" t="s">
        <v>53</v>
      </c>
      <c r="D16" s="39" t="s">
        <v>63</v>
      </c>
      <c r="E16" s="31" t="s">
        <v>49</v>
      </c>
      <c r="F16" s="39" t="s">
        <v>69</v>
      </c>
      <c r="G16" s="31" t="s">
        <v>48</v>
      </c>
    </row>
    <row r="17" spans="1:7" ht="37.5" customHeight="1" x14ac:dyDescent="0.15">
      <c r="A17" s="4" t="s">
        <v>11</v>
      </c>
      <c r="B17" s="10"/>
      <c r="C17" s="30" t="s">
        <v>51</v>
      </c>
      <c r="D17" s="28"/>
      <c r="E17" s="30" t="s">
        <v>46</v>
      </c>
      <c r="F17" s="27"/>
    </row>
    <row r="18" spans="1:7" ht="37.5" customHeight="1" x14ac:dyDescent="0.15">
      <c r="A18" s="4" t="s">
        <v>11</v>
      </c>
      <c r="B18" s="30" t="s">
        <v>46</v>
      </c>
      <c r="C18" s="27"/>
      <c r="D18" s="31" t="s">
        <v>47</v>
      </c>
      <c r="E18" s="39" t="s">
        <v>65</v>
      </c>
      <c r="F18" s="28"/>
      <c r="G18" s="29" t="s">
        <v>53</v>
      </c>
    </row>
    <row r="19" spans="1:7" ht="37.5" customHeight="1" x14ac:dyDescent="0.15">
      <c r="A19" s="4" t="s">
        <v>11</v>
      </c>
      <c r="B19" s="32"/>
      <c r="C19" s="30" t="s">
        <v>46</v>
      </c>
      <c r="D19" s="31" t="s">
        <v>49</v>
      </c>
      <c r="E19" s="30" t="s">
        <v>51</v>
      </c>
      <c r="F19" s="30" t="s">
        <v>46</v>
      </c>
      <c r="G19" s="39" t="s">
        <v>61</v>
      </c>
    </row>
    <row r="20" spans="1:7" ht="37.5" customHeight="1" x14ac:dyDescent="0.15">
      <c r="A20" s="5" t="s">
        <v>8</v>
      </c>
      <c r="B20" s="39" t="s">
        <v>66</v>
      </c>
      <c r="C20" s="31" t="s">
        <v>47</v>
      </c>
      <c r="D20" s="28"/>
      <c r="E20" s="31" t="s">
        <v>47</v>
      </c>
      <c r="F20" s="27"/>
      <c r="G20" s="31" t="s">
        <v>47</v>
      </c>
    </row>
    <row r="21" spans="1:7" ht="37.5" customHeight="1" x14ac:dyDescent="0.15">
      <c r="A21" s="5" t="s">
        <v>8</v>
      </c>
      <c r="B21" s="31" t="s">
        <v>48</v>
      </c>
      <c r="C21" s="30" t="s">
        <v>46</v>
      </c>
      <c r="D21" s="39" t="s">
        <v>62</v>
      </c>
      <c r="E21" s="27"/>
      <c r="F21" s="28"/>
      <c r="G21" s="30" t="s">
        <v>46</v>
      </c>
    </row>
    <row r="22" spans="1:7" ht="37.5" customHeight="1" x14ac:dyDescent="0.15">
      <c r="A22" s="5" t="s">
        <v>8</v>
      </c>
      <c r="B22" s="29" t="s">
        <v>53</v>
      </c>
      <c r="C22" s="27"/>
      <c r="D22" s="31" t="s">
        <v>50</v>
      </c>
      <c r="E22" s="30" t="s">
        <v>51</v>
      </c>
      <c r="F22" s="31" t="s">
        <v>48</v>
      </c>
      <c r="G22" s="39" t="s">
        <v>59</v>
      </c>
    </row>
    <row r="23" spans="1:7" ht="37.5" customHeight="1" x14ac:dyDescent="0.15">
      <c r="A23" s="5" t="s">
        <v>7</v>
      </c>
      <c r="B23" s="32"/>
      <c r="C23" s="39" t="s">
        <v>60</v>
      </c>
      <c r="D23" s="30" t="s">
        <v>46</v>
      </c>
      <c r="F23" s="30" t="s">
        <v>46</v>
      </c>
      <c r="G23" s="29" t="s">
        <v>53</v>
      </c>
    </row>
    <row r="24" spans="1:7" ht="37.5" customHeight="1" x14ac:dyDescent="0.15">
      <c r="A24" s="5" t="s">
        <v>7</v>
      </c>
      <c r="B24" s="30" t="s">
        <v>46</v>
      </c>
      <c r="C24" s="31" t="s">
        <v>50</v>
      </c>
      <c r="D24" s="27"/>
      <c r="E24" s="28"/>
      <c r="F24" s="31" t="s">
        <v>47</v>
      </c>
      <c r="G24" s="30" t="s">
        <v>51</v>
      </c>
    </row>
    <row r="25" spans="1:7" ht="37.5" customHeight="1" x14ac:dyDescent="0.15">
      <c r="A25" s="5" t="s">
        <v>7</v>
      </c>
      <c r="B25" s="31" t="s">
        <v>47</v>
      </c>
      <c r="C25" s="28"/>
      <c r="F25" s="28"/>
      <c r="G25" s="39" t="s">
        <v>59</v>
      </c>
    </row>
  </sheetData>
  <sheetProtection selectLockedCells="1"/>
  <phoneticPr fontId="1" type="noConversion"/>
  <conditionalFormatting sqref="R5">
    <cfRule type="duplicateValues" dxfId="6" priority="117"/>
  </conditionalFormatting>
  <conditionalFormatting sqref="Y5">
    <cfRule type="duplicateValues" dxfId="5" priority="118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11</xdr:col>
                <xdr:colOff>152400</xdr:colOff>
                <xdr:row>0</xdr:row>
                <xdr:rowOff>133350</xdr:rowOff>
              </from>
              <to>
                <xdr:col>14</xdr:col>
                <xdr:colOff>381000</xdr:colOff>
                <xdr:row>1</xdr:row>
                <xdr:rowOff>171450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TextBox1">
          <controlPr defaultSize="0" autoLine="0" r:id="rId7">
            <anchor moveWithCells="1">
              <from>
                <xdr:col>7</xdr:col>
                <xdr:colOff>190500</xdr:colOff>
                <xdr:row>0</xdr:row>
                <xdr:rowOff>390525</xdr:rowOff>
              </from>
              <to>
                <xdr:col>11</xdr:col>
                <xdr:colOff>76200</xdr:colOff>
                <xdr:row>1</xdr:row>
                <xdr:rowOff>180975</xdr:rowOff>
              </to>
            </anchor>
          </controlPr>
        </control>
      </mc:Choice>
      <mc:Fallback>
        <control shapeId="1026" r:id="rId6" name="TextBox1"/>
      </mc:Fallback>
    </mc:AlternateContent>
    <mc:AlternateContent xmlns:mc="http://schemas.openxmlformats.org/markup-compatibility/2006">
      <mc:Choice Requires="x14">
        <control shapeId="1027" r:id="rId8" name="Label1">
          <controlPr defaultSize="0" autoLine="0" r:id="rId9">
            <anchor moveWithCells="1">
              <from>
                <xdr:col>7</xdr:col>
                <xdr:colOff>190500</xdr:colOff>
                <xdr:row>0</xdr:row>
                <xdr:rowOff>104775</xdr:rowOff>
              </from>
              <to>
                <xdr:col>11</xdr:col>
                <xdr:colOff>200025</xdr:colOff>
                <xdr:row>0</xdr:row>
                <xdr:rowOff>361950</xdr:rowOff>
              </to>
            </anchor>
          </controlPr>
        </control>
      </mc:Choice>
      <mc:Fallback>
        <control shapeId="1027" r:id="rId8" name="Label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关卡</vt:lpstr>
      <vt:lpstr>地图模块</vt:lpstr>
      <vt:lpstr>模块制作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2017-12-16T09:17:36Z</dcterms:modified>
</cp:coreProperties>
</file>