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  <sheet name="Sheet1" sheetId="5" r:id="rId4"/>
  </sheets>
  <functionGroups builtInGroupCount="19"/>
  <externalReferences>
    <externalReference r:id="rId5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" i="1" l="1"/>
  <c r="AC1" i="1"/>
  <c r="AB1" i="1"/>
  <c r="AD1" i="1"/>
  <c r="AE1" i="1"/>
  <c r="AF1" i="1"/>
  <c r="Z1" i="1"/>
  <c r="F4" i="3"/>
  <c r="F6" i="3"/>
  <c r="F7" i="3"/>
  <c r="F9" i="3"/>
  <c r="F5" i="3"/>
  <c r="F8" i="3"/>
  <c r="F10" i="3" l="1"/>
  <c r="F11" i="3" s="1"/>
  <c r="F12" i="3" s="1"/>
  <c r="F13" i="3" s="1"/>
  <c r="F14" i="3" s="1"/>
  <c r="F15" i="3" s="1"/>
  <c r="F16" i="3" s="1"/>
  <c r="F17" i="3" s="1"/>
  <c r="F18" i="3" s="1"/>
</calcChain>
</file>

<file path=xl/sharedStrings.xml><?xml version="1.0" encoding="utf-8"?>
<sst xmlns="http://schemas.openxmlformats.org/spreadsheetml/2006/main" count="1023" uniqueCount="104">
  <si>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</si>
  <si>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</si>
  <si>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</si>
  <si>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</si>
  <si>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</si>
  <si>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</si>
  <si>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</si>
  <si>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</si>
  <si>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</si>
  <si>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</si>
  <si>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</si>
  <si>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</si>
  <si>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</si>
  <si>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</si>
  <si>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</si>
  <si>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</si>
  <si>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</si>
  <si>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</si>
  <si>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</si>
  <si>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</si>
  <si>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</si>
  <si>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</si>
  <si>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</si>
  <si>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</si>
  <si>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</si>
  <si>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</si>
  <si>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</si>
  <si>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</si>
  <si>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</si>
  <si>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</si>
  <si>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</si>
  <si>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</si>
  <si>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</si>
  <si>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</si>
  <si>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</si>
  <si>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</si>
  <si>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</si>
  <si>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</si>
  <si>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</si>
  <si>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</si>
  <si>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</si>
  <si>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</si>
  <si>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</si>
  <si>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机关</t>
    <phoneticPr fontId="1" type="noConversion"/>
  </si>
  <si>
    <t>阻碍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</si>
  <si>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</si>
  <si>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</si>
  <si>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</si>
  <si>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</si>
  <si>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</si>
  <si>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</si>
  <si>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</si>
  <si>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</si>
  <si>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</si>
  <si>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</si>
  <si>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</si>
  <si>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</si>
  <si>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</si>
  <si>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</si>
  <si>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</si>
  <si>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</si>
  <si>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</si>
  <si>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</si>
  <si>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</si>
  <si>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</si>
  <si>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</si>
  <si>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</si>
  <si>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</si>
  <si>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</si>
  <si>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</si>
  <si>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</si>
  <si>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</si>
  <si>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</si>
  <si>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</si>
  <si>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</si>
  <si>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</si>
  <si>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</si>
  <si>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</si>
  <si>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</si>
  <si>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</si>
  <si>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</si>
  <si>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</si>
  <si>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</si>
  <si>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</si>
  <si>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</si>
  <si>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</si>
  <si>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</si>
  <si>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</si>
  <si>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</si>
  <si>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</si>
  <si>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</si>
  <si>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</si>
  <si>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</si>
  <si>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</si>
  <si>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</si>
  <si>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</si>
  <si>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</si>
  <si>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1501
0.4
0.5</t>
    <phoneticPr fontId="1" type="noConversion"/>
  </si>
  <si>
    <t>o;;b_202_0.7_0.5;j_1305_0.5_0.5;;r_1_0.7_0;o;|o;;r_1_0.7_0;;o;;;b_202_0.7_0.5|r_1_0.7_0;j_1501_0.4_0.5;;o;j_1303_0.5_0.5;o;;|j_1301_0.5_0.5;j_1401_0.7_0.7;j_1103_0.8_0.5;;b_201_0.7_0.7;j_1306_0.5_0.5;;|o;o;;j_1304_0.5_0.5;r_1_0.7_0;;;o|b_201_0.7_0.7;;j_1102_0.7_0.5;;;j_1301_0.5_0.5;o;r_1_0.7_0|;;r_1_0.7_0;o;j_1401_0.7_0.7;;j_1101_0.7_0.5;|r_1_0.7_0;b_201_0.7_0.7;;;j_1302_0.5_0.5;;o;j_1303_0.5_0.5|;;o;o;j_1001_0.5_0.5;r_1_0.7_0;o;b_202_0.7_0.5|o;;j_1301_0.5_0.5;;;o;;j_1306_0.5_0.5</t>
    <phoneticPr fontId="1" type="noConversion"/>
  </si>
  <si>
    <t>o;;r_1_0.7_0;;;o;;o|r_1_0.7_0;;j_1301_0.5_0.5;b_202_0.7_0.5;o;j_1303_0.5_0.5;;|j_1401_0.7_0.7;j_1305_0.5_0.5;o;;o;o;r_2_0.7_0;|o;;;r_1_0.7_0;j_1301_0.5_0.5;b_201_0.7_0.7;j_1501_0.4_0.5;|j_1306_0.5_0.5;o;r_2_0.7_0;j_1401_0.7_0.7;j_1302_0.5_0.5;x;;j_1001_0.5_0.5|j_1301_0.5_0.5;;;j_1103_0.8_0.5;j_1303_0.5_0.5;o;r_2_0.7_0;|b_201_0.7_0.7;;o;o;r_1_0.7_0;;;|j_1304_0.5_0.5;;o;b_201_0.7_0.7;;o;;r_1_0.7_0|o;r_1_0.7_0;j_1101_0.7_0.5;;;j_1102_0.7_0.5;;|;;o;;r_2_0.7_0;o;b_202_0.7_0.5;</t>
    <phoneticPr fontId="1" type="noConversion"/>
  </si>
  <si>
    <t>o;o;;r_2_0.7_0;;j_1305_0.5_0.5;;|j_1402_0.5_0.5;;b_201_0.7_0.7;j_1001_0.5_0.5;;;r_1_0.7_0;j_1303_0.5_0.5|o;;;r_2_0.7_0;o;j_1402_0.5_0.5;;|b_202_0.7_0.5;;r_1_0.7_0;o;;j_1301_0.5_0.5;;o|j_1303_0.5_0.5;o;j_1306_0.5_0.5;b_202_0.7_0.5;j_1501_0.4_0.5;;;j_1304_0.5_0.5|;o;r_1_0.7_0;;;j_1305_0.5_0.5;o;r_2_0.7_0|j_1301_0.5_0.5;;j_1401_0.5_0.5;;j_1102_0.7_0.5;;b_201_0.7_0.7;o|r_2_0.7_0;o;j_1302_0.5_0.5;j_1101_0.7_0.5;;o;;j_1301_0.5_0.5|b_201_0.7_0.7;;o;r_3_0.7_0;b_202_0.7_0.5;o;;o|o;;;;r_2_0.7_0;;r_2_0.7_0;</t>
    <phoneticPr fontId="1" type="noConversion"/>
  </si>
  <si>
    <t>r_1_0.7_0;;o;o;j_1305_0.5_0.5;;;b_201_0.7_0.7|o;j_1103_0.8_0.5;j_1302_0.5_0.5;b_201_0.7_0.7;;o;r_3_0.8_0;|b_202_0.7_0.5;r_1_0.7_0;o;;r_2_0.7_0;;o;j_1301_0.5_0.5|o;;;;j_1306_0.5_0.5;;b_202_0.7_0.5;o|j_1401_0.7_0.7;j_1001_0.5_0.5;j_1303_0.5_0.5;o;j_1102_0.7_0.5;;;r_2_0.7_0|r_1_0.7_0;o;j_1501_0.4_0.5;o;r_2_0.7_0;o;j_1302_0.5_0.5;j_1401_0.7_0.7|j_1301_0.5_0.5;;b_201_0.7_0.7;;b_202_0.7_0.5;;;j_1303_0.5_0.5|o;r_3_0.8_0;j_1304_0.5_0.5;r_1_0.7_0;;j_1101_0.7_0.5;;j_1501_0.4_0.5|b_201_0.7_0.7;;j_1301_0.5_0.5;;o;;o;|j_1402_0.5_0.5;o;;;r_2_0.7_0;;o;</t>
    <phoneticPr fontId="1" type="noConversion"/>
  </si>
  <si>
    <t>o;b_202_0.7_0.5;;r_2_0.7_0;o;j_1301_0.5_0.5;j_1101_0.7_0.5;|j_1402_0.5_0.5;j_1302_0.5_0.5;;;b_201_0.7_0.7;j_1402_0.5_0.5;o;|o;r_2_0.7_0;j_1301_0.5_0.5;o;;j_1001_0.5_0.5;;r_1_0.7_0|b_201_0.7_0.7;;r_2_0.7_0;x;j_1306_0.5_0.5;r_3_0.8_0;j_1301_0.5_0.5;|o;;j_1501_0.4_0.5;o;b_203_0.7_0.3;j_1303_0.5_0.5;o;|b_203_0.7_0.3;j_1301_0.5_0.5;r_1_0.7_0;j_1305_0.5_0.5;j_1102_0.7_0.5;o;j_1401_0.7_0.7;o|j_1401_0.7_0.7;o;;r_2_0.7_0;;;b_201_0.7_0.7;r_3_0.8_0|o;;;o;r_1_0.7_0;;;j_1304_0.5_0.5|r_2_0.7_0;;;b_202_0.7_0.5;;o;;|j_1402_0.5_0.5;;o;;;;o;</t>
    <phoneticPr fontId="1" type="noConversion"/>
  </si>
  <si>
    <t>j_1302_0.5_0.5;;;j_1302_0.5_0.5;b_201_0.7_0.7;;o;r_2_0.7_0|o;;j_1306_0.5_0.5;r_2_0.7_0;o;;r_2_0.7_0;b_202_0.7_0.5|j_1402_0.5_0.5;r_2_0.7_0;j_1103_0.8_0.5;o;j_1301_0.5_0.5;r_3_0.8_0;o;o|b_202_0.7_0.5;o;b_201_0.7_0.7;;r_2_0.7_0;b_203_0.7_0.3;j_1402_0.5_0.5;|o;j_1303_0.5_0.5;j_1301_0.5_0.5;j_1501_0.4_0.5;;o;o;r_1_0.7_0|b_202_0.7_0.5;x;r_3_0.8_0;;b_201_0.7_0.7;r_3_0.8_0;j_1101_0.7_0.5;|j_1301_0.5_0.5;o;j_1001_0.5_0.5;o;j_1305_0.5_0.5;o;;j_1302_0.5_0.5|b_203_0.7_0.3;r_1_0.7_0;b_201_0.7_0.7;;r_2_0.7_0;;j_1303_0.5_0.5;o|o;;;r_2_0.7_0;o;o;j_1402_0.5_0.5;r_2_0.7_0|j_1402_0.5_0.5;;b_202_0.7_0.5;;b_203_0.7_0.3;o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</si>
</sst>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18" dataDxfId="17">
  <autoFilter ref="A3:H18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>
      <calculatedColumnFormula>[1]!连接单元格(K4:R4,";")</calculatedColumnFormula>
    </tableColumn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6" dataDxfId="5">
  <autoFilter ref="A3:B9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showGridLines="0" topLeftCell="D1" workbookViewId="0">
      <selection activeCell="E15" sqref="E1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75</v>
      </c>
      <c r="L3" s="1" t="s">
        <v>71</v>
      </c>
      <c r="M3" s="1" t="s">
        <v>74</v>
      </c>
      <c r="N3" s="1" t="s">
        <v>73</v>
      </c>
      <c r="O3" s="1" t="s">
        <v>70</v>
      </c>
      <c r="P3" s="1" t="s">
        <v>72</v>
      </c>
      <c r="Q3" s="1" t="s">
        <v>69</v>
      </c>
      <c r="R3" s="1" t="s">
        <v>76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77</v>
      </c>
      <c r="F4" s="32" t="str">
        <f ca="1">[1]!连接单元格(K4:R4,";")</f>
        <v>1000014;1000012;1000013</v>
      </c>
      <c r="G4" s="16" t="s">
        <v>45</v>
      </c>
      <c r="H4" s="16"/>
      <c r="K4" s="1">
        <v>1000014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66</v>
      </c>
      <c r="F5" s="32" t="str">
        <f ca="1">[1]!连接单元格(K5:R5,";")</f>
        <v>1000014;1000012;1000013;1000011</v>
      </c>
      <c r="G5" s="16" t="s">
        <v>46</v>
      </c>
      <c r="H5" s="16"/>
      <c r="K5" s="1">
        <v>1000014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67</v>
      </c>
      <c r="F6" s="32" t="str">
        <f ca="1">[1]!连接单元格(K6:R6,";")</f>
        <v>1000014;1000012;1000013;1000011;1000012</v>
      </c>
      <c r="G6" s="16" t="s">
        <v>47</v>
      </c>
      <c r="H6" s="16"/>
      <c r="K6" s="1">
        <v>1000014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67</v>
      </c>
      <c r="F7" s="32" t="str">
        <f ca="1">[1]!连接单元格(K7:R7,";")</f>
        <v>1000014;1000012;1000013;1000011;1000012;1000002</v>
      </c>
      <c r="G7" s="16" t="s">
        <v>50</v>
      </c>
      <c r="H7" s="33"/>
      <c r="K7" s="1">
        <v>1000014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67</v>
      </c>
      <c r="F8" s="32" t="str">
        <f ca="1">[1]!连接单元格(K8:R8,";")</f>
        <v>1000014;1000012;1000013;1000011;1000012;1000002;1000003</v>
      </c>
      <c r="G8" s="16" t="s">
        <v>51</v>
      </c>
      <c r="H8" s="33"/>
      <c r="K8" s="1">
        <v>1000014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1000003</v>
      </c>
    </row>
    <row r="9" spans="1:18" x14ac:dyDescent="0.35">
      <c r="A9" s="16">
        <v>1000006</v>
      </c>
      <c r="B9" s="16">
        <v>120</v>
      </c>
      <c r="C9" s="34" t="s">
        <v>18</v>
      </c>
      <c r="D9" s="34" t="s">
        <v>19</v>
      </c>
      <c r="E9" s="16" t="s">
        <v>67</v>
      </c>
      <c r="F9" s="32" t="str">
        <f ca="1">[1]!连接单元格(K9:R9,";")</f>
        <v>1000014;1000012;1000013;1000011;1000012;1000002;1000003;1000016</v>
      </c>
      <c r="G9" s="34" t="s">
        <v>52</v>
      </c>
      <c r="H9" s="35"/>
      <c r="K9" s="1">
        <v>1000014</v>
      </c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1000003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67</v>
      </c>
      <c r="F10" s="32" t="str">
        <f t="shared" ref="F10:F18" ca="1" si="0">F9</f>
        <v>1000014;1000012;1000013;1000011;1000012;1000002;1000003;1000016</v>
      </c>
      <c r="G10" s="16" t="s">
        <v>53</v>
      </c>
      <c r="H10" s="33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67</v>
      </c>
      <c r="F11" s="32" t="str">
        <f t="shared" ca="1" si="0"/>
        <v>1000014;1000012;1000013;1000011;1000012;1000002;1000003;1000016</v>
      </c>
      <c r="G11" s="16" t="s">
        <v>54</v>
      </c>
      <c r="H11" s="33"/>
    </row>
    <row r="12" spans="1:18" x14ac:dyDescent="0.35">
      <c r="A12" s="16">
        <v>1000009</v>
      </c>
      <c r="B12" s="16">
        <v>180</v>
      </c>
      <c r="C12" s="34" t="s">
        <v>18</v>
      </c>
      <c r="D12" s="34" t="s">
        <v>19</v>
      </c>
      <c r="E12" s="16" t="s">
        <v>67</v>
      </c>
      <c r="F12" s="32" t="str">
        <f t="shared" ca="1" si="0"/>
        <v>1000014;1000012;1000013;1000011;1000012;1000002;1000003;1000016</v>
      </c>
      <c r="G12" s="34" t="s">
        <v>55</v>
      </c>
      <c r="H12" s="35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67</v>
      </c>
      <c r="F13" s="32" t="str">
        <f t="shared" ca="1" si="0"/>
        <v>1000014;1000012;1000013;1000011;1000012;1000002;1000003;1000016</v>
      </c>
      <c r="G13" s="16" t="s">
        <v>56</v>
      </c>
      <c r="H13" s="33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67</v>
      </c>
      <c r="F14" s="32" t="str">
        <f t="shared" ca="1" si="0"/>
        <v>1000014;1000012;1000013;1000011;1000012;1000002;1000003;1000016</v>
      </c>
      <c r="G14" s="16" t="s">
        <v>57</v>
      </c>
      <c r="H14" s="33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67</v>
      </c>
      <c r="F15" s="32" t="str">
        <f t="shared" ca="1" si="0"/>
        <v>1000014;1000012;1000013;1000011;1000012;1000002;1000003;1000016</v>
      </c>
      <c r="G15" s="16" t="s">
        <v>58</v>
      </c>
      <c r="H15" s="33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67</v>
      </c>
      <c r="F16" s="32" t="str">
        <f t="shared" ca="1" si="0"/>
        <v>1000014;1000012;1000013;1000011;1000012;1000002;1000003;1000016</v>
      </c>
      <c r="G16" s="16" t="s">
        <v>59</v>
      </c>
      <c r="H16" s="33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67</v>
      </c>
      <c r="F17" s="32" t="str">
        <f t="shared" ca="1" si="0"/>
        <v>1000014;1000012;1000013;1000011;1000012;1000002;1000003;1000016</v>
      </c>
      <c r="G17" s="16" t="s">
        <v>60</v>
      </c>
      <c r="H17" s="33"/>
    </row>
    <row r="18" spans="1:8" x14ac:dyDescent="0.35">
      <c r="A18" s="16">
        <v>1000015</v>
      </c>
      <c r="B18" s="16">
        <v>300</v>
      </c>
      <c r="C18" s="34" t="s">
        <v>18</v>
      </c>
      <c r="D18" s="34" t="s">
        <v>19</v>
      </c>
      <c r="E18" s="16" t="s">
        <v>67</v>
      </c>
      <c r="F18" s="32" t="str">
        <f t="shared" ca="1" si="0"/>
        <v>1000014;1000012;1000013;1000011;1000012;1000002;1000003;1000016</v>
      </c>
      <c r="G18" s="34" t="s">
        <v>61</v>
      </c>
      <c r="H18" s="35"/>
    </row>
  </sheetData>
  <phoneticPr fontId="1" type="noConversion"/>
  <conditionalFormatting sqref="A3:H3">
    <cfRule type="duplicateValues" dxfId="20" priority="40"/>
  </conditionalFormatting>
  <conditionalFormatting sqref="A4:A18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5" sqref="B5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98</v>
      </c>
    </row>
    <row r="5" spans="1:2" ht="103.5" customHeight="1" x14ac:dyDescent="0.3">
      <c r="A5" s="20">
        <v>2000002</v>
      </c>
      <c r="B5" s="18" t="s">
        <v>99</v>
      </c>
    </row>
    <row r="6" spans="1:2" ht="103.5" customHeight="1" x14ac:dyDescent="0.3">
      <c r="A6" s="20">
        <v>2000003</v>
      </c>
      <c r="B6" s="18" t="s">
        <v>100</v>
      </c>
    </row>
    <row r="7" spans="1:2" ht="103.5" customHeight="1" x14ac:dyDescent="0.3">
      <c r="A7" s="20">
        <v>2000004</v>
      </c>
      <c r="B7" s="18" t="s">
        <v>101</v>
      </c>
    </row>
    <row r="8" spans="1:2" ht="103.5" customHeight="1" x14ac:dyDescent="0.3">
      <c r="A8" s="36">
        <v>2000005</v>
      </c>
      <c r="B8" s="37" t="s">
        <v>102</v>
      </c>
    </row>
    <row r="9" spans="1:2" ht="103.5" customHeight="1" x14ac:dyDescent="0.3">
      <c r="A9" s="36">
        <v>2000006</v>
      </c>
      <c r="B9" s="37" t="s">
        <v>103</v>
      </c>
    </row>
  </sheetData>
  <phoneticPr fontId="1" type="noConversion"/>
  <conditionalFormatting sqref="A3:B3">
    <cfRule type="duplicateValues" dxfId="8" priority="46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3" sqref="G13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  <c r="Z2" s="28" t="s">
        <v>44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43</v>
      </c>
      <c r="AG2" s="9"/>
    </row>
    <row r="3" spans="1:39" ht="37.5" customHeight="1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  <c r="Z3" s="9"/>
      <c r="AC3" s="9"/>
      <c r="AE3" s="9"/>
    </row>
    <row r="4" spans="1:39" ht="37.5" customHeight="1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  <c r="AG4" s="9"/>
    </row>
    <row r="5" spans="1:39" ht="37.5" customHeight="1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  <c r="AG5" s="9"/>
      <c r="AH5" s="9"/>
    </row>
    <row r="6" spans="1:39" ht="37.5" customHeight="1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39" ht="37.5" customHeight="1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39" ht="37.5" customHeight="1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39" ht="37.5" customHeight="1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39" ht="37.5" customHeight="1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39" ht="37.5" customHeight="1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39" ht="37.5" customHeight="1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39" ht="37.5" customHeight="1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39" ht="37.5" customHeight="1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39" ht="37.5" customHeight="1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37.5" customHeight="1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37.5" customHeight="1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37.5" customHeight="1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37.5" customHeight="1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37.5" customHeight="1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37.5" customHeight="1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37.5" customHeight="1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37.5" customHeight="1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37.5" customHeight="1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37.5" customHeight="1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37.5" customHeight="1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37.5" customHeight="1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37.5" customHeight="1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37.5" customHeight="1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37.5" customHeight="1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37.5" customHeight="1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37.5" customHeight="1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37.5" customHeight="1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37.5" customHeight="1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37.5" customHeight="1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37.5" customHeight="1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37.5" customHeight="1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37.5" customHeight="1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37.5" customHeight="1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37.5" customHeight="1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37.5" customHeight="1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37.5" customHeight="1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37.5" customHeight="1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37.5" customHeight="1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37.5" customHeight="1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37.5" customHeight="1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37.5" customHeight="1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37.5" customHeight="1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37.5" customHeight="1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37.5" customHeight="1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37.5" customHeight="1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37.5" customHeight="1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37.5" customHeight="1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37.5" customHeight="1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37.5" customHeight="1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sheetProtection selectLockedCells="1"/>
  <phoneticPr fontId="1" type="noConversion"/>
  <conditionalFormatting sqref="AA5">
    <cfRule type="duplicateValues" dxfId="2" priority="117"/>
  </conditionalFormatting>
  <conditionalFormatting sqref="AH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1"/>
  <sheetViews>
    <sheetView workbookViewId="0">
      <selection sqref="A1:P1048576"/>
    </sheetView>
  </sheetViews>
  <sheetFormatPr defaultRowHeight="16.5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</cols>
  <sheetData>
    <row r="1" spans="1:16" ht="17.25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</row>
    <row r="2" spans="1:16" ht="30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</row>
    <row r="3" spans="1:16" ht="29.25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</row>
    <row r="4" spans="1:16" ht="29.25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</row>
    <row r="5" spans="1:16" ht="29.25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</row>
    <row r="6" spans="1:16" ht="29.25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16" ht="29.25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16" ht="29.25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16" ht="29.25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16" ht="29.25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16" ht="29.25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16" ht="29.25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16" ht="29.25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16" ht="29.25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16" ht="29.25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16" ht="29.25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29.25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29.25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29.25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29.25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29.25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29.25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29.25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29.25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29.25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29.25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29.25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29.25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29.25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29.25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29.25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29.25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29.25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29.25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29.25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29.25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29.25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29.25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29.25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29.25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29.25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29.25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29.25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29.25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29.25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29.25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29.25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29.25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29.25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29.25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29.25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29.25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29.25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29.25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29.25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29.25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29.25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29.25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29.25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29.25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29.25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</vt:lpstr>
      <vt:lpstr>地图模块</vt:lpstr>
      <vt:lpstr>模块制作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2017-12-28T04:25:25Z</dcterms:modified>
</cp:coreProperties>
</file>