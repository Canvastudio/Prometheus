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  <sheet name="Sheet1" sheetId="5" r:id="rId4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" i="1" l="1"/>
  <c r="AE1" i="1"/>
  <c r="AD1" i="1"/>
  <c r="Z1" i="1"/>
  <c r="AF1" i="1"/>
  <c r="AB1" i="1"/>
  <c r="AA1" i="1"/>
</calcChain>
</file>

<file path=xl/sharedStrings.xml><?xml version="1.0" encoding="utf-8"?>
<sst xmlns="http://schemas.openxmlformats.org/spreadsheetml/2006/main" count="1113" uniqueCount="112">
  <si>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</si>
  <si>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</si>
  <si>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</si>
  <si>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</si>
  <si>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</si>
  <si>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</si>
  <si>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</si>
  <si>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</si>
  <si>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</si>
  <si>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</si>
  <si>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</si>
  <si>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</si>
  <si>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</si>
  <si>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</si>
  <si>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</si>
  <si>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</si>
  <si>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</si>
  <si>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</si>
  <si>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</si>
  <si>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</si>
  <si>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</si>
  <si>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</si>
  <si>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</si>
  <si>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</si>
  <si>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</si>
  <si>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</si>
  <si>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</si>
  <si>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</si>
  <si>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</si>
  <si>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</si>
  <si>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</si>
  <si>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</si>
  <si>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</si>
  <si>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</si>
  <si>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</si>
  <si>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</si>
  <si>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</si>
  <si>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</si>
  <si>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</si>
  <si>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</si>
  <si>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</si>
  <si>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</si>
  <si>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</si>
  <si>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机关</t>
    <phoneticPr fontId="1" type="noConversion"/>
  </si>
  <si>
    <t>阻碍</t>
    <phoneticPr fontId="1" type="noConversion"/>
  </si>
  <si>
    <t>1~1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</si>
  <si>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</si>
  <si>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</si>
  <si>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</si>
  <si>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</si>
  <si>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</si>
  <si>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</si>
  <si>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</si>
  <si>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</si>
  <si>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</si>
  <si>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</si>
  <si>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</si>
  <si>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</si>
  <si>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</si>
  <si>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</si>
  <si>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</si>
  <si>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</si>
  <si>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</si>
  <si>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</si>
  <si>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</si>
  <si>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</si>
  <si>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</si>
  <si>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</si>
  <si>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2000003</t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</si>
  <si>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</si>
  <si>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</si>
  <si>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</si>
  <si>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</si>
  <si>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</si>
  <si>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</si>
  <si>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</si>
  <si>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</si>
  <si>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2000001;2000002</t>
    <phoneticPr fontId="1" type="noConversion"/>
  </si>
  <si>
    <t>201
0.7
0.7</t>
    <phoneticPr fontId="1" type="noConversion"/>
  </si>
  <si>
    <t>202
0.5
0.5</t>
    <phoneticPr fontId="1" type="noConversion"/>
  </si>
  <si>
    <t>1401
0.7
0.7</t>
  </si>
  <si>
    <t>1401
0.5
0.5</t>
  </si>
  <si>
    <t>1402
0.5
0.5</t>
  </si>
  <si>
    <t>1301
0.5
0.5</t>
    <phoneticPr fontId="1" type="noConversion"/>
  </si>
  <si>
    <t>1302
0.5
0.5</t>
    <phoneticPr fontId="1" type="noConversion"/>
  </si>
  <si>
    <t>1303
0.5
0.5</t>
    <phoneticPr fontId="1" type="noConversion"/>
  </si>
  <si>
    <t>1304
0.5
0.5</t>
    <phoneticPr fontId="1" type="noConversion"/>
  </si>
  <si>
    <t>1305
0.5
0.5</t>
    <phoneticPr fontId="1" type="noConversion"/>
  </si>
  <si>
    <t>1306
0.5
0.5</t>
    <phoneticPr fontId="1" type="noConversion"/>
  </si>
  <si>
    <t>1001
0.5
0.5</t>
    <phoneticPr fontId="1" type="noConversion"/>
  </si>
  <si>
    <t>1101
0.7
0.5</t>
    <phoneticPr fontId="1" type="noConversion"/>
  </si>
  <si>
    <t>1102
0.7
0.5</t>
    <phoneticPr fontId="1" type="noConversion"/>
  </si>
  <si>
    <t>1103
0.8
0.5</t>
    <phoneticPr fontId="1" type="noConversion"/>
  </si>
  <si>
    <t>3
0.8
0</t>
    <phoneticPr fontId="1" type="noConversion"/>
  </si>
  <si>
    <t>3
0.7
0</t>
    <phoneticPr fontId="1" type="noConversion"/>
  </si>
  <si>
    <t>202
0.7
0.5</t>
    <phoneticPr fontId="1" type="noConversion"/>
  </si>
  <si>
    <t>203
0.7
0.3</t>
    <phoneticPr fontId="1" type="noConversion"/>
  </si>
  <si>
    <t>1501
0.4
0.5</t>
    <phoneticPr fontId="1" type="noConversion"/>
  </si>
  <si>
    <t>1000014;1000012;1000013</t>
  </si>
  <si>
    <t>1000014;1000012;1000013;1000011</t>
  </si>
  <si>
    <t>1000014;1000012;1000013;1000011;1000012</t>
  </si>
  <si>
    <t>1000014;1000012;1000013;1000011;1000012;1000002</t>
  </si>
  <si>
    <t>1000014;1000012;1000013;1000011;1000012;1000002;1000003</t>
  </si>
  <si>
    <t>1000014;1000012;1000013;1000011;1000012;1000002;1000003;1000016</t>
  </si>
  <si>
    <t>1701</t>
  </si>
  <si>
    <t>1701
1
0.5</t>
    <phoneticPr fontId="1" type="noConversion"/>
  </si>
  <si>
    <t>o;b_202_0.7_0.5;;r_2_0.7_0;o;j_1301_0.5_0.5;j_1101_0.7_0.5;|j_1402_0.5_0.5;j_1302_0.5_0.5;j_1701_1_0.5;j_1701_1_0.5;b_201_0.7_0.7;j_1402_0.5_0.5;o;|o;r_2_0.7_0;j_1301_0.5_0.5;o;;j_1001_0.5_0.5;;r_1_0.7_0|b_201_0.7_0.7;;r_2_0.7_0;x;j_1306_0.5_0.5;r_3_0.8_0;j_1301_0.5_0.5;|o;;j_1501_0.4_0.5;o;b_203_0.7_0.3;j_1303_0.5_0.5;o;j_1701_1_0.5|b_203_0.7_0.3;j_1301_0.5_0.5;r_1_0.7_0;j_1305_0.5_0.5;j_1102_0.7_0.5;o;j_1401_0.7_0.7;o|j_1401_0.7_0.7;o;j_1701_1_0.5;r_2_0.7_0;j_1701_1_0.5;;b_201_0.7_0.7;r_3_0.8_0|o;;;o;r_1_0.7_0;;;j_1304_0.5_0.5|r_2_0.7_0;;;b_202_0.7_0.5;;o;;|j_1402_0.5_0.5;j_1701_1_0.5;o;;j_1701_1_0.5;;o;</t>
    <phoneticPr fontId="1" type="noConversion"/>
  </si>
  <si>
    <t>j_1302_0.5_0.5;;;j_1302_0.5_0.5;b_201_0.7_0.7;;o;r_2_0.7_0|o;j_1701_1_0.5;j_1306_0.5_0.5;r_2_0.7_0;o;;r_2_0.7_0;b_202_0.7_0.5|j_1402_0.5_0.5;r_2_0.7_0;j_1103_0.8_0.5;o;j_1301_0.5_0.5;r_3_0.8_0;o;o|b_202_0.7_0.5;o;b_201_0.7_0.7;;r_2_0.7_0;b_203_0.7_0.3;j_1402_0.5_0.5;|o;j_1303_0.5_0.5;j_1301_0.5_0.5;j_1501_0.4_0.5;;o;o;r_1_0.7_0|b_202_0.7_0.5;x;r_3_0.8_0;j_1701_1_0.5;b_201_0.7_0.7;r_3_0.8_0;j_1101_0.7_0.5;j_1701_1_0.5|j_1301_0.5_0.5;o;j_1001_0.5_0.5;o;j_1305_0.5_0.5;o;;j_1302_0.5_0.5|b_203_0.7_0.3;r_1_0.7_0;b_201_0.7_0.7;;r_2_0.7_0;;j_1303_0.5_0.5;o|o;j_1701_1_0.5;;r_2_0.7_0;o;o;j_1402_0.5_0.5;r_2_0.7_0|j_1402_0.5_0.5;;b_202_0.7_0.5;;b_203_0.7_0.3;o;;</t>
    <phoneticPr fontId="1" type="noConversion"/>
  </si>
  <si>
    <t>o;;b_202_0.7_0.5;j_1305_0.5_0.5;j_1701_1_0.5;r_1_0.7_0;o;|o;j_1701_1_0.5;r_1_0.7_0;j_1701_1_0.5;o;;j_1701_1_0.5;b_202_0.7_0.5|r_1_0.7_0;j_1501_0.4_0.5;j_1701_1_0.5;o;j_1303_0.5_0.5;o;j_1701_1_0.5;|j_1301_0.5_0.5;j_1401_0.7_0.7;j_1103_0.8_0.5;j_1701_1_0.5;b_201_0.7_0.7;j_1306_0.5_0.5;j_1701_1_0.5;|o;o;j_1701_1_0.5;j_1304_0.5_0.5;r_1_0.7_0;;;o|b_201_0.7_0.7;j_1701_1_0.5;j_1102_0.7_0.5;j_1701_1_0.5;j_1701_1_0.5;j_1301_0.5_0.5;o;r_1_0.7_0|j_1701_1_0.5;j_1701_1_0.5;r_1_0.7_0;o;j_1401_0.7_0.7;;j_1101_0.7_0.5;|r_1_0.7_0;b_201_0.7_0.7;;;j_1302_0.5_0.5;;o;j_1303_0.5_0.5|;;o;o;j_1001_0.5_0.5;r_1_0.7_0;o;b_202_0.7_0.5|o;j_1701_1_0.5;j_1301_0.5_0.5;;;o;;j_1306_0.5_0.5</t>
    <phoneticPr fontId="1" type="noConversion"/>
  </si>
  <si>
    <t>o;j_1701_1_0.5;r_1_0.7_0;;j_1701_1_0.5;o;j_1701_1_0.5;o|r_1_0.7_0;;j_1301_0.5_0.5;b_202_0.7_0.5;o;j_1303_0.5_0.5;;|j_1401_0.7_0.7;j_1305_0.5_0.5;o;j_1701_1_0.5;o;o;r_2_0.7_0;j_1701_1_0.5|o;;j_1701_1_0.5;r_1_0.7_0;j_1301_0.5_0.5;b_201_0.7_0.7;j_1501_0.4_0.5;|j_1306_0.5_0.5;o;r_2_0.7_0;j_1401_0.7_0.7;j_1302_0.5_0.5;x;j_1701_1_0.5;j_1001_0.5_0.5|j_1301_0.5_0.5;j_1701_1_0.5;j_1701_1_0.5;j_1103_0.8_0.5;j_1303_0.5_0.5;o;r_2_0.7_0;j_1701_1_0.5|b_201_0.7_0.7;j_1701_1_0.5;o;o;r_1_0.7_0;j_1701_1_0.5;;|j_1304_0.5_0.5;;o;b_201_0.7_0.7;j_1701_1_0.5;o;;r_1_0.7_0|o;r_1_0.7_0;j_1101_0.7_0.5;;;j_1102_0.7_0.5;;|;;o;;r_2_0.7_0;o;b_202_0.7_0.5;</t>
    <phoneticPr fontId="1" type="noConversion"/>
  </si>
  <si>
    <t>o;o;j_1701_1_0.5;r_2_0.7_0;;j_1305_0.5_0.5;;|j_1402_0.5_0.5;j_1701_1_0.5;b_201_0.7_0.7;j_1001_0.5_0.5;j_1701_1_0.5;;r_1_0.7_0;j_1303_0.5_0.5|o;;j_1701_1_0.5;r_2_0.7_0;o;j_1402_0.5_0.5;;|b_202_0.7_0.5;j_1701_1_0.5;r_1_0.7_0;o;;j_1301_0.5_0.5;;o|j_1303_0.5_0.5;o;j_1306_0.5_0.5;b_202_0.7_0.5;j_1501_0.4_0.5;j_1701_1_0.5;j_1701_1_0.5;j_1304_0.5_0.5|j_1701_1_0.5;o;r_1_0.7_0;;j_1701_1_0.5;j_1305_0.5_0.5;o;r_2_0.7_0|j_1301_0.5_0.5;;j_1401_0.5_0.5;j_1701_1_0.5;j_1102_0.7_0.5;j_1701_1_0.5;b_201_0.7_0.7;o|r_2_0.7_0;o;j_1302_0.5_0.5;j_1101_0.7_0.5;;o;j_1701_1_0.5;j_1301_0.5_0.5|b_201_0.7_0.7;;o;r_3_0.7_0;b_202_0.7_0.5;o;;o|o;;;j_1701_1_0.5;r_2_0.7_0;;r_2_0.7_0;</t>
    <phoneticPr fontId="1" type="noConversion"/>
  </si>
  <si>
    <t>r_1_0.7_0;j_1701_1_0.5;o;o;j_1305_0.5_0.5;;j_1701_1_0.5;b_201_0.7_0.7|o;j_1103_0.8_0.5;j_1302_0.5_0.5;b_201_0.7_0.7;;o;r_3_0.8_0;|b_202_0.7_0.5;r_1_0.7_0;o;j_1701_1_0.5;r_2_0.7_0;;o;j_1301_0.5_0.5|o;;j_1701_1_0.5;j_1701_1_0.5;j_1306_0.5_0.5;;b_202_0.7_0.5;o|j_1401_0.7_0.7;j_1001_0.5_0.5;j_1303_0.5_0.5;o;j_1102_0.7_0.5;j_1701_1_0.5;;r_2_0.7_0|r_1_0.7_0;o;j_1501_0.4_0.5;o;r_2_0.7_0;o;j_1302_0.5_0.5;j_1401_0.7_0.7|j_1301_0.5_0.5;j_1701_1_0.5;b_201_0.7_0.7;j_1701_1_0.5;b_202_0.7_0.5;j_1701_1_0.5;j_1701_1_0.5;j_1303_0.5_0.5|o;r_3_0.8_0;j_1304_0.5_0.5;r_1_0.7_0;j_1701_1_0.5;j_1101_0.7_0.5;;j_1501_0.4_0.5|b_201_0.7_0.7;j_1701_1_0.5;j_1301_0.5_0.5;j_1701_1_0.5;o;j_1701_1_0.5;o;|j_1402_0.5_0.5;o;;;r_2_0.7_0;j_1701_1_0.5;o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</si>
</sst>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0" borderId="8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wrapText="1"/>
    </xf>
    <xf numFmtId="49" fontId="3" fillId="10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10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0" applyNumberFormat="1" applyFont="1" applyBorder="1" applyAlignment="1" applyProtection="1">
      <alignment horizontal="center" vertical="center" wrapText="1"/>
      <protection locked="0"/>
    </xf>
    <xf numFmtId="49" fontId="3" fillId="0" borderId="9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12</xdr:row>
      <xdr:rowOff>19050</xdr:rowOff>
    </xdr:from>
    <xdr:to>
      <xdr:col>1</xdr:col>
      <xdr:colOff>6886575</xdr:colOff>
      <xdr:row>26</xdr:row>
      <xdr:rowOff>171451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943475" y="48196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402980</xdr:colOff>
      <xdr:row>4</xdr:row>
      <xdr:rowOff>244720</xdr:rowOff>
    </xdr:from>
    <xdr:to>
      <xdr:col>30</xdr:col>
      <xdr:colOff>345480</xdr:colOff>
      <xdr:row>8</xdr:row>
      <xdr:rowOff>54006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0155" y="214972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393455</xdr:colOff>
      <xdr:row>8</xdr:row>
      <xdr:rowOff>106240</xdr:rowOff>
    </xdr:from>
    <xdr:to>
      <xdr:col>33</xdr:col>
      <xdr:colOff>719573</xdr:colOff>
      <xdr:row>11</xdr:row>
      <xdr:rowOff>172728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0630" y="3916240"/>
          <a:ext cx="5288643" cy="14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285750</xdr:colOff>
      <xdr:row>14</xdr:row>
      <xdr:rowOff>219075</xdr:rowOff>
    </xdr:from>
    <xdr:to>
      <xdr:col>32</xdr:col>
      <xdr:colOff>113843</xdr:colOff>
      <xdr:row>19</xdr:row>
      <xdr:rowOff>228301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72925" y="6886575"/>
          <a:ext cx="3657143" cy="2390476"/>
        </a:xfrm>
        <a:prstGeom prst="rect">
          <a:avLst/>
        </a:prstGeom>
      </xdr:spPr>
    </xdr:pic>
    <xdr:clientData/>
  </xdr:twoCellAnchor>
  <xdr:twoCellAnchor editAs="oneCell">
    <xdr:from>
      <xdr:col>24</xdr:col>
      <xdr:colOff>323850</xdr:colOff>
      <xdr:row>11</xdr:row>
      <xdr:rowOff>209550</xdr:rowOff>
    </xdr:from>
    <xdr:to>
      <xdr:col>32</xdr:col>
      <xdr:colOff>304324</xdr:colOff>
      <xdr:row>14</xdr:row>
      <xdr:rowOff>95086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11025" y="5448300"/>
          <a:ext cx="3809524" cy="13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314325</xdr:colOff>
      <xdr:row>20</xdr:row>
      <xdr:rowOff>123825</xdr:rowOff>
    </xdr:from>
    <xdr:to>
      <xdr:col>32</xdr:col>
      <xdr:colOff>485275</xdr:colOff>
      <xdr:row>23</xdr:row>
      <xdr:rowOff>371265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9648825"/>
          <a:ext cx="4000000" cy="16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304800</xdr:colOff>
      <xdr:row>24</xdr:row>
      <xdr:rowOff>142875</xdr:rowOff>
    </xdr:from>
    <xdr:to>
      <xdr:col>32</xdr:col>
      <xdr:colOff>275750</xdr:colOff>
      <xdr:row>25</xdr:row>
      <xdr:rowOff>161863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91975" y="11572875"/>
          <a:ext cx="3800000" cy="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18" totalsRowShown="0" headerRowDxfId="18" dataDxfId="17">
  <autoFilter ref="A3:H18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6" dataDxfId="5">
  <autoFilter ref="A3:B9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8"/>
  <sheetViews>
    <sheetView showGridLines="0" topLeftCell="D1" workbookViewId="0">
      <selection activeCell="E23" sqref="E23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75</v>
      </c>
      <c r="L3" s="1" t="s">
        <v>71</v>
      </c>
      <c r="M3" s="1" t="s">
        <v>74</v>
      </c>
      <c r="N3" s="1" t="s">
        <v>73</v>
      </c>
      <c r="O3" s="1" t="s">
        <v>70</v>
      </c>
      <c r="P3" s="1" t="s">
        <v>72</v>
      </c>
      <c r="Q3" s="1" t="s">
        <v>69</v>
      </c>
      <c r="R3" s="1" t="s">
        <v>76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77</v>
      </c>
      <c r="F4" s="32" t="s">
        <v>98</v>
      </c>
      <c r="G4" s="16" t="s">
        <v>45</v>
      </c>
      <c r="H4" s="16"/>
      <c r="K4" s="1">
        <v>1000014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66</v>
      </c>
      <c r="F5" s="32" t="s">
        <v>99</v>
      </c>
      <c r="G5" s="16" t="s">
        <v>46</v>
      </c>
      <c r="H5" s="16"/>
      <c r="K5" s="1">
        <v>1000014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67</v>
      </c>
      <c r="F6" s="32" t="s">
        <v>100</v>
      </c>
      <c r="G6" s="16" t="s">
        <v>47</v>
      </c>
      <c r="H6" s="16"/>
      <c r="K6" s="1">
        <v>1000014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67</v>
      </c>
      <c r="F7" s="32" t="s">
        <v>101</v>
      </c>
      <c r="G7" s="16" t="s">
        <v>50</v>
      </c>
      <c r="H7" s="33"/>
      <c r="K7" s="1">
        <v>1000014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67</v>
      </c>
      <c r="F8" s="32" t="s">
        <v>102</v>
      </c>
      <c r="G8" s="16" t="s">
        <v>51</v>
      </c>
      <c r="H8" s="33"/>
      <c r="K8" s="1">
        <v>1000014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1000003</v>
      </c>
    </row>
    <row r="9" spans="1:18" x14ac:dyDescent="0.35">
      <c r="A9" s="16">
        <v>1000006</v>
      </c>
      <c r="B9" s="16">
        <v>120</v>
      </c>
      <c r="C9" s="34" t="s">
        <v>18</v>
      </c>
      <c r="D9" s="34" t="s">
        <v>19</v>
      </c>
      <c r="E9" s="16" t="s">
        <v>67</v>
      </c>
      <c r="F9" s="32" t="s">
        <v>103</v>
      </c>
      <c r="G9" s="34" t="s">
        <v>52</v>
      </c>
      <c r="H9" s="35"/>
      <c r="K9" s="1">
        <v>1000014</v>
      </c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1000003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67</v>
      </c>
      <c r="F10" s="32" t="s">
        <v>103</v>
      </c>
      <c r="G10" s="16" t="s">
        <v>53</v>
      </c>
      <c r="H10" s="33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67</v>
      </c>
      <c r="F11" s="32" t="s">
        <v>103</v>
      </c>
      <c r="G11" s="16" t="s">
        <v>54</v>
      </c>
      <c r="H11" s="33"/>
    </row>
    <row r="12" spans="1:18" x14ac:dyDescent="0.35">
      <c r="A12" s="16">
        <v>1000009</v>
      </c>
      <c r="B12" s="16">
        <v>180</v>
      </c>
      <c r="C12" s="34" t="s">
        <v>18</v>
      </c>
      <c r="D12" s="34" t="s">
        <v>19</v>
      </c>
      <c r="E12" s="16" t="s">
        <v>67</v>
      </c>
      <c r="F12" s="32" t="s">
        <v>103</v>
      </c>
      <c r="G12" s="34" t="s">
        <v>55</v>
      </c>
      <c r="H12" s="35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67</v>
      </c>
      <c r="F13" s="32" t="s">
        <v>103</v>
      </c>
      <c r="G13" s="16" t="s">
        <v>56</v>
      </c>
      <c r="H13" s="33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67</v>
      </c>
      <c r="F14" s="32" t="s">
        <v>103</v>
      </c>
      <c r="G14" s="16" t="s">
        <v>57</v>
      </c>
      <c r="H14" s="33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67</v>
      </c>
      <c r="F15" s="32" t="s">
        <v>103</v>
      </c>
      <c r="G15" s="16" t="s">
        <v>58</v>
      </c>
      <c r="H15" s="33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67</v>
      </c>
      <c r="F16" s="32" t="s">
        <v>103</v>
      </c>
      <c r="G16" s="16" t="s">
        <v>59</v>
      </c>
      <c r="H16" s="33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67</v>
      </c>
      <c r="F17" s="32" t="s">
        <v>103</v>
      </c>
      <c r="G17" s="16" t="s">
        <v>60</v>
      </c>
      <c r="H17" s="33"/>
    </row>
    <row r="18" spans="1:8" x14ac:dyDescent="0.35">
      <c r="A18" s="16">
        <v>1000015</v>
      </c>
      <c r="B18" s="16">
        <v>300</v>
      </c>
      <c r="C18" s="34" t="s">
        <v>18</v>
      </c>
      <c r="D18" s="34" t="s">
        <v>19</v>
      </c>
      <c r="E18" s="16" t="s">
        <v>67</v>
      </c>
      <c r="F18" s="32" t="s">
        <v>103</v>
      </c>
      <c r="G18" s="34" t="s">
        <v>61</v>
      </c>
      <c r="H18" s="35"/>
    </row>
  </sheetData>
  <phoneticPr fontId="1" type="noConversion"/>
  <conditionalFormatting sqref="A3:H3">
    <cfRule type="duplicateValues" dxfId="20" priority="40"/>
  </conditionalFormatting>
  <conditionalFormatting sqref="A4:A18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zoomScaleNormal="100" workbookViewId="0">
      <selection activeCell="B4" sqref="B4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103.5" customHeight="1" x14ac:dyDescent="0.3">
      <c r="A4" s="20">
        <v>2000001</v>
      </c>
      <c r="B4" s="18" t="s">
        <v>108</v>
      </c>
    </row>
    <row r="5" spans="1:2" ht="103.5" customHeight="1" x14ac:dyDescent="0.3">
      <c r="A5" s="20">
        <v>2000002</v>
      </c>
      <c r="B5" s="18" t="s">
        <v>109</v>
      </c>
    </row>
    <row r="6" spans="1:2" ht="103.5" customHeight="1" x14ac:dyDescent="0.3">
      <c r="A6" s="20">
        <v>2000003</v>
      </c>
      <c r="B6" s="18" t="s">
        <v>110</v>
      </c>
    </row>
    <row r="7" spans="1:2" ht="103.5" customHeight="1" x14ac:dyDescent="0.3">
      <c r="A7" s="20">
        <v>2000004</v>
      </c>
      <c r="B7" s="18" t="s">
        <v>111</v>
      </c>
    </row>
    <row r="8" spans="1:2" ht="103.5" customHeight="1" x14ac:dyDescent="0.3">
      <c r="A8" s="36">
        <v>2000005</v>
      </c>
      <c r="B8" s="37" t="s">
        <v>106</v>
      </c>
    </row>
    <row r="9" spans="1:2" ht="103.5" customHeight="1" x14ac:dyDescent="0.3">
      <c r="A9" s="36">
        <v>2000006</v>
      </c>
      <c r="B9" s="37" t="s">
        <v>107</v>
      </c>
    </row>
  </sheetData>
  <phoneticPr fontId="1" type="noConversion"/>
  <conditionalFormatting sqref="A3:B3">
    <cfRule type="duplicateValues" dxfId="8" priority="48"/>
  </conditionalFormatting>
  <conditionalFormatting sqref="A4:A9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zoomScaleNormal="100" workbookViewId="0">
      <pane xSplit="1" ySplit="1" topLeftCell="B38" activePane="bottomRight" state="frozen"/>
      <selection pane="topRight" activeCell="B1" sqref="B1"/>
      <selection pane="bottomLeft" activeCell="A2" sqref="A2"/>
      <selection pane="bottomRight" activeCell="C41" sqref="C41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0">
        <f t="shared" ref="Z1:AF1" si="0">测试单元格颜色()</f>
        <v>0</v>
      </c>
      <c r="AA1" s="26">
        <f t="shared" si="0"/>
        <v>9306149</v>
      </c>
      <c r="AB1" s="24">
        <f t="shared" si="0"/>
        <v>9145837</v>
      </c>
      <c r="AC1" s="23">
        <f t="shared" si="0"/>
        <v>9098930</v>
      </c>
      <c r="AD1" s="25">
        <f t="shared" si="0"/>
        <v>15252872</v>
      </c>
      <c r="AE1" s="27">
        <f t="shared" si="0"/>
        <v>7214184</v>
      </c>
      <c r="AF1" s="31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38" t="s">
        <v>1</v>
      </c>
      <c r="B2" s="30"/>
      <c r="C2" s="31" t="s">
        <v>105</v>
      </c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  <c r="Z2" s="28" t="s">
        <v>44</v>
      </c>
      <c r="AA2" s="28" t="s">
        <v>42</v>
      </c>
      <c r="AB2" s="28" t="s">
        <v>40</v>
      </c>
      <c r="AC2" s="28" t="s">
        <v>38</v>
      </c>
      <c r="AD2" s="28" t="s">
        <v>39</v>
      </c>
      <c r="AE2" s="29" t="s">
        <v>41</v>
      </c>
      <c r="AF2" s="29" t="s">
        <v>43</v>
      </c>
      <c r="AG2" s="9"/>
    </row>
    <row r="3" spans="1:39" ht="37.5" customHeight="1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  <c r="Z3" s="9"/>
      <c r="AC3" s="9"/>
      <c r="AE3" s="9"/>
    </row>
    <row r="4" spans="1:39" ht="37.5" customHeight="1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  <c r="AG4" s="9"/>
    </row>
    <row r="5" spans="1:39" ht="37.5" customHeight="1" x14ac:dyDescent="0.15">
      <c r="A5" s="38" t="s">
        <v>1</v>
      </c>
      <c r="B5" s="31" t="s">
        <v>105</v>
      </c>
      <c r="C5" s="31" t="s">
        <v>105</v>
      </c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  <c r="AG5" s="9"/>
      <c r="AH5" s="9"/>
    </row>
    <row r="6" spans="1:39" ht="37.5" customHeight="1" x14ac:dyDescent="0.15">
      <c r="A6" s="38" t="s">
        <v>1</v>
      </c>
      <c r="B6" s="25" t="s">
        <v>78</v>
      </c>
      <c r="C6" s="31" t="s">
        <v>105</v>
      </c>
      <c r="D6" s="31" t="s">
        <v>91</v>
      </c>
      <c r="E6" s="31" t="s">
        <v>105</v>
      </c>
      <c r="F6" s="31" t="s">
        <v>105</v>
      </c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39" ht="37.5" customHeight="1" x14ac:dyDescent="0.15">
      <c r="A7" s="38" t="s">
        <v>1</v>
      </c>
      <c r="B7" s="30"/>
      <c r="C7" s="30"/>
      <c r="D7" s="31" t="s">
        <v>105</v>
      </c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39" ht="37.5" customHeight="1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31" t="s">
        <v>105</v>
      </c>
      <c r="F8" s="25" t="s">
        <v>78</v>
      </c>
      <c r="G8" s="31" t="s">
        <v>88</v>
      </c>
      <c r="H8" s="31" t="s">
        <v>105</v>
      </c>
      <c r="I8" s="22"/>
      <c r="J8" s="31" t="s">
        <v>105</v>
      </c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39" ht="37.5" customHeight="1" x14ac:dyDescent="0.15">
      <c r="A9" s="38" t="s">
        <v>1</v>
      </c>
      <c r="B9" s="24" t="s">
        <v>48</v>
      </c>
      <c r="C9" s="31" t="s">
        <v>97</v>
      </c>
      <c r="D9" s="31" t="s">
        <v>105</v>
      </c>
      <c r="E9" s="30"/>
      <c r="F9" s="31" t="s">
        <v>85</v>
      </c>
      <c r="G9" s="30"/>
      <c r="H9" s="31" t="s">
        <v>105</v>
      </c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39" ht="37.5" customHeight="1" x14ac:dyDescent="0.15">
      <c r="A10" s="38" t="s">
        <v>1</v>
      </c>
      <c r="B10" s="30"/>
      <c r="C10" s="31" t="s">
        <v>105</v>
      </c>
      <c r="D10" s="24" t="s">
        <v>48</v>
      </c>
      <c r="E10" s="31" t="s">
        <v>105</v>
      </c>
      <c r="F10" s="30"/>
      <c r="G10" s="22"/>
      <c r="H10" s="31" t="s">
        <v>105</v>
      </c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39" ht="37.5" customHeight="1" x14ac:dyDescent="0.15">
      <c r="A11" s="38" t="s">
        <v>1</v>
      </c>
      <c r="B11" s="30"/>
      <c r="C11" s="22"/>
      <c r="D11" s="25" t="s">
        <v>95</v>
      </c>
      <c r="E11" s="31" t="s">
        <v>87</v>
      </c>
      <c r="F11" s="31" t="s">
        <v>105</v>
      </c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39" ht="37.5" customHeight="1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39" ht="37.5" customHeight="1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39" ht="37.5" customHeight="1" x14ac:dyDescent="0.15">
      <c r="A14" s="4" t="s">
        <v>2</v>
      </c>
      <c r="B14" s="31" t="s">
        <v>86</v>
      </c>
      <c r="C14" s="22"/>
      <c r="D14" s="30"/>
      <c r="E14" s="25" t="s">
        <v>78</v>
      </c>
      <c r="F14" s="31" t="s">
        <v>105</v>
      </c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39" ht="37.5" customHeight="1" x14ac:dyDescent="0.15">
      <c r="A15" s="4" t="s">
        <v>10</v>
      </c>
      <c r="B15" s="25" t="s">
        <v>78</v>
      </c>
      <c r="C15" s="31" t="s">
        <v>105</v>
      </c>
      <c r="D15" s="30"/>
      <c r="E15" s="30"/>
      <c r="F15" s="24" t="s">
        <v>48</v>
      </c>
      <c r="G15" s="31" t="s">
        <v>105</v>
      </c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39" ht="37.5" customHeight="1" x14ac:dyDescent="0.15">
      <c r="A16" s="4" t="s">
        <v>10</v>
      </c>
      <c r="B16" s="31" t="s">
        <v>83</v>
      </c>
      <c r="C16" s="31" t="s">
        <v>105</v>
      </c>
      <c r="D16" s="31" t="s">
        <v>105</v>
      </c>
      <c r="E16" s="31" t="s">
        <v>92</v>
      </c>
      <c r="F16" s="31" t="s">
        <v>85</v>
      </c>
      <c r="G16" s="30"/>
      <c r="H16" s="24" t="s">
        <v>49</v>
      </c>
      <c r="I16" s="31" t="s">
        <v>105</v>
      </c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37.5" customHeight="1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31" t="s">
        <v>105</v>
      </c>
      <c r="I17" s="31" t="s">
        <v>89</v>
      </c>
      <c r="J17" s="31" t="s">
        <v>105</v>
      </c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37.5" customHeight="1" x14ac:dyDescent="0.15">
      <c r="A18" s="4" t="s">
        <v>10</v>
      </c>
      <c r="B18" s="30"/>
      <c r="C18" s="22"/>
      <c r="D18" s="31" t="s">
        <v>105</v>
      </c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37.5" customHeight="1" x14ac:dyDescent="0.15">
      <c r="A19" s="4" t="s">
        <v>10</v>
      </c>
      <c r="B19" s="23" t="s">
        <v>80</v>
      </c>
      <c r="C19" s="31" t="s">
        <v>87</v>
      </c>
      <c r="D19" s="30"/>
      <c r="E19" s="31" t="s">
        <v>105</v>
      </c>
      <c r="F19" s="30"/>
      <c r="G19" s="30"/>
      <c r="H19" s="24" t="s">
        <v>49</v>
      </c>
      <c r="I19" s="31" t="s">
        <v>105</v>
      </c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37.5" customHeight="1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37.5" customHeight="1" x14ac:dyDescent="0.15">
      <c r="A21" s="4" t="s">
        <v>10</v>
      </c>
      <c r="B21" s="30"/>
      <c r="C21" s="31" t="s">
        <v>105</v>
      </c>
      <c r="D21" s="24" t="s">
        <v>48</v>
      </c>
      <c r="E21" s="22"/>
      <c r="F21" s="31" t="s">
        <v>105</v>
      </c>
      <c r="G21" s="30"/>
      <c r="H21" s="31" t="s">
        <v>105</v>
      </c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37.5" customHeight="1" x14ac:dyDescent="0.15">
      <c r="A22" s="38" t="s">
        <v>11</v>
      </c>
      <c r="B22" s="30"/>
      <c r="C22" s="22"/>
      <c r="D22" s="22"/>
      <c r="E22" s="31" t="s">
        <v>105</v>
      </c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37.5" customHeight="1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37.5" customHeight="1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31" t="s">
        <v>105</v>
      </c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37.5" customHeight="1" x14ac:dyDescent="0.15">
      <c r="A25" s="38" t="s">
        <v>11</v>
      </c>
      <c r="B25" s="31" t="s">
        <v>83</v>
      </c>
      <c r="C25" s="22"/>
      <c r="D25" s="23" t="s">
        <v>81</v>
      </c>
      <c r="E25" s="31" t="s">
        <v>105</v>
      </c>
      <c r="F25" s="31" t="s">
        <v>91</v>
      </c>
      <c r="G25" s="31" t="s">
        <v>105</v>
      </c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37.5" customHeight="1" x14ac:dyDescent="0.15">
      <c r="A26" s="38" t="s">
        <v>68</v>
      </c>
      <c r="B26" s="31" t="s">
        <v>105</v>
      </c>
      <c r="C26" s="30"/>
      <c r="D26" s="24" t="s">
        <v>48</v>
      </c>
      <c r="E26" s="22"/>
      <c r="F26" s="31" t="s">
        <v>105</v>
      </c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37.5" customHeight="1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31" t="s">
        <v>105</v>
      </c>
      <c r="H27" s="31" t="s">
        <v>105</v>
      </c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37.5" customHeight="1" x14ac:dyDescent="0.15">
      <c r="A28" s="38" t="s">
        <v>68</v>
      </c>
      <c r="B28" s="25" t="s">
        <v>95</v>
      </c>
      <c r="C28" s="31" t="s">
        <v>105</v>
      </c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37.5" customHeight="1" x14ac:dyDescent="0.15">
      <c r="A29" s="38" t="s">
        <v>68</v>
      </c>
      <c r="B29" s="30"/>
      <c r="C29" s="22"/>
      <c r="D29" s="31" t="s">
        <v>105</v>
      </c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37.5" customHeight="1" x14ac:dyDescent="0.15">
      <c r="A30" s="38" t="s">
        <v>68</v>
      </c>
      <c r="B30" s="23" t="s">
        <v>82</v>
      </c>
      <c r="C30" s="31" t="s">
        <v>105</v>
      </c>
      <c r="D30" s="25" t="s">
        <v>78</v>
      </c>
      <c r="E30" s="31" t="s">
        <v>89</v>
      </c>
      <c r="F30" s="31" t="s">
        <v>105</v>
      </c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37.5" customHeight="1" x14ac:dyDescent="0.15">
      <c r="A31" s="38" t="s">
        <v>68</v>
      </c>
      <c r="B31" s="30"/>
      <c r="C31" s="30"/>
      <c r="D31" s="31" t="s">
        <v>105</v>
      </c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37.5" customHeight="1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31" t="s">
        <v>105</v>
      </c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37.5" customHeight="1" x14ac:dyDescent="0.15">
      <c r="A33" s="5" t="s">
        <v>8</v>
      </c>
      <c r="B33" s="25" t="s">
        <v>78</v>
      </c>
      <c r="C33" s="31" t="s">
        <v>105</v>
      </c>
      <c r="D33" s="31" t="s">
        <v>83</v>
      </c>
      <c r="E33" s="31" t="s">
        <v>105</v>
      </c>
      <c r="F33" s="30"/>
      <c r="G33" s="31" t="s">
        <v>105</v>
      </c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37.5" customHeight="1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31" t="s">
        <v>105</v>
      </c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37.5" customHeight="1" x14ac:dyDescent="0.15">
      <c r="A35" s="5" t="s">
        <v>7</v>
      </c>
      <c r="B35" s="31" t="s">
        <v>83</v>
      </c>
      <c r="C35" s="31" t="s">
        <v>105</v>
      </c>
      <c r="D35" s="25" t="s">
        <v>78</v>
      </c>
      <c r="E35" s="31" t="s">
        <v>105</v>
      </c>
      <c r="F35" s="25" t="s">
        <v>95</v>
      </c>
      <c r="G35" s="31" t="s">
        <v>105</v>
      </c>
      <c r="H35" s="31" t="s">
        <v>105</v>
      </c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37.5" customHeight="1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37.5" customHeight="1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31" t="s">
        <v>105</v>
      </c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37.5" customHeight="1" x14ac:dyDescent="0.15">
      <c r="A38" s="5" t="s">
        <v>7</v>
      </c>
      <c r="B38" s="30"/>
      <c r="C38" s="22"/>
      <c r="D38" s="31" t="s">
        <v>105</v>
      </c>
      <c r="E38" s="31" t="s">
        <v>105</v>
      </c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37.5" customHeight="1" x14ac:dyDescent="0.15">
      <c r="A39" s="5" t="s">
        <v>7</v>
      </c>
      <c r="B39" s="25" t="s">
        <v>95</v>
      </c>
      <c r="C39" s="24" t="s">
        <v>48</v>
      </c>
      <c r="D39" s="30"/>
      <c r="E39" s="31" t="s">
        <v>105</v>
      </c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37.5" customHeight="1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31" t="s">
        <v>105</v>
      </c>
      <c r="M40" s="30"/>
      <c r="N40" s="22"/>
      <c r="O40" s="22"/>
      <c r="P40" s="22"/>
    </row>
    <row r="41" spans="1:16" ht="37.5" customHeight="1" x14ac:dyDescent="0.15">
      <c r="A41" s="5" t="s">
        <v>7</v>
      </c>
      <c r="B41" s="24" t="s">
        <v>48</v>
      </c>
      <c r="C41" s="31" t="s">
        <v>105</v>
      </c>
      <c r="D41" s="30"/>
      <c r="E41" s="30"/>
      <c r="F41" s="31" t="s">
        <v>87</v>
      </c>
      <c r="G41" s="22"/>
      <c r="H41" s="31" t="s">
        <v>105</v>
      </c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37.5" customHeight="1" x14ac:dyDescent="0.15">
      <c r="A42" s="38" t="s">
        <v>63</v>
      </c>
      <c r="B42" s="23" t="s">
        <v>82</v>
      </c>
      <c r="C42" s="31" t="s">
        <v>105</v>
      </c>
      <c r="D42" s="30"/>
      <c r="E42" s="22"/>
      <c r="F42" s="31" t="s">
        <v>105</v>
      </c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37.5" customHeight="1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37.5" customHeight="1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37.5" customHeight="1" x14ac:dyDescent="0.15">
      <c r="A45" s="38" t="s">
        <v>63</v>
      </c>
      <c r="B45" s="23" t="s">
        <v>80</v>
      </c>
      <c r="C45" s="30"/>
      <c r="D45" s="31" t="s">
        <v>105</v>
      </c>
      <c r="E45" s="24" t="s">
        <v>49</v>
      </c>
      <c r="F45" s="31" t="s">
        <v>105</v>
      </c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37.5" customHeight="1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37.5" customHeight="1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31" t="s">
        <v>105</v>
      </c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37.5" customHeight="1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31" t="s">
        <v>105</v>
      </c>
      <c r="N48" s="24" t="s">
        <v>49</v>
      </c>
      <c r="O48" s="31" t="s">
        <v>87</v>
      </c>
      <c r="P48" s="30"/>
    </row>
    <row r="49" spans="1:20" ht="37.5" customHeight="1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20" ht="37.5" customHeight="1" x14ac:dyDescent="0.15">
      <c r="A50" s="38" t="s">
        <v>62</v>
      </c>
      <c r="B50" s="23" t="s">
        <v>82</v>
      </c>
      <c r="C50" s="31" t="s">
        <v>84</v>
      </c>
      <c r="D50" s="31" t="s">
        <v>105</v>
      </c>
      <c r="E50" s="31" t="s">
        <v>105</v>
      </c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20" ht="37.5" customHeight="1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20" ht="37.5" customHeight="1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20" ht="37.5" customHeight="1" x14ac:dyDescent="0.15">
      <c r="A53" s="4" t="s">
        <v>65</v>
      </c>
      <c r="B53" s="30"/>
      <c r="C53" s="31" t="s">
        <v>105</v>
      </c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31" t="s">
        <v>105</v>
      </c>
      <c r="L53" s="30"/>
      <c r="M53" s="30"/>
      <c r="N53" s="23" t="s">
        <v>80</v>
      </c>
      <c r="O53" s="30"/>
      <c r="P53" s="25" t="s">
        <v>95</v>
      </c>
    </row>
    <row r="54" spans="1:20" ht="37.5" customHeight="1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20" ht="37.5" customHeight="1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20" ht="37.5" customHeight="1" x14ac:dyDescent="0.15">
      <c r="A56" s="4" t="s">
        <v>65</v>
      </c>
      <c r="B56" s="25" t="s">
        <v>95</v>
      </c>
      <c r="C56" s="26"/>
      <c r="D56" s="24" t="s">
        <v>93</v>
      </c>
      <c r="E56" s="31" t="s">
        <v>105</v>
      </c>
      <c r="F56" s="25" t="s">
        <v>78</v>
      </c>
      <c r="G56" s="24" t="s">
        <v>93</v>
      </c>
      <c r="H56" s="31" t="s">
        <v>90</v>
      </c>
      <c r="I56" s="31" t="s">
        <v>105</v>
      </c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20" ht="37.5" customHeight="1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20" ht="37.5" customHeight="1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20" ht="37.5" customHeight="1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20" ht="37.5" customHeight="1" x14ac:dyDescent="0.15">
      <c r="A60" s="4" t="s">
        <v>64</v>
      </c>
      <c r="B60" s="30"/>
      <c r="C60" s="31" t="s">
        <v>105</v>
      </c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31" t="s">
        <v>105</v>
      </c>
      <c r="K60" s="24" t="s">
        <v>49</v>
      </c>
      <c r="M60" s="24" t="s">
        <v>48</v>
      </c>
      <c r="N60" s="31" t="s">
        <v>83</v>
      </c>
      <c r="O60" s="30"/>
      <c r="P60" s="25" t="s">
        <v>78</v>
      </c>
      <c r="T60" s="8" t="s">
        <v>104</v>
      </c>
    </row>
    <row r="61" spans="1:20" ht="37.5" customHeight="1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K61" s="31" t="s">
        <v>105</v>
      </c>
      <c r="L61" s="31" t="s">
        <v>83</v>
      </c>
      <c r="M61" s="30"/>
      <c r="P61" s="22"/>
    </row>
  </sheetData>
  <sheetProtection selectLockedCells="1"/>
  <phoneticPr fontId="1" type="noConversion"/>
  <conditionalFormatting sqref="AA5">
    <cfRule type="duplicateValues" dxfId="2" priority="117"/>
  </conditionalFormatting>
  <conditionalFormatting sqref="AH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1"/>
  <sheetViews>
    <sheetView workbookViewId="0">
      <selection sqref="A1:P1048576"/>
    </sheetView>
  </sheetViews>
  <sheetFormatPr defaultRowHeight="16.5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</cols>
  <sheetData>
    <row r="1" spans="1:16" ht="17.25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</row>
    <row r="2" spans="1:16" ht="30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</row>
    <row r="3" spans="1:16" ht="29.25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</row>
    <row r="4" spans="1:16" ht="29.25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</row>
    <row r="5" spans="1:16" ht="29.25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</row>
    <row r="6" spans="1:16" ht="29.25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16" ht="29.25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16" ht="29.25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16" ht="29.25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16" ht="29.25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16" ht="29.25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16" ht="29.25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16" ht="29.25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16" ht="29.25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16" ht="29.25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16" ht="29.25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29.25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29.25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29.25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29.25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29.25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29.25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29.25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29.25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29.25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29.25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29.25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29.25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29.25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29.25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29.25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29.25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29.25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29.25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29.25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29.25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29.25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29.25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29.25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29.25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29.25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29.25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29.25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29.25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29.25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29.25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29.25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29.25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29.25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29.25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29.25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29.25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29.25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29.25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29.25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29.25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29.25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29.25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29.25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29.25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29.25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关卡</vt:lpstr>
      <vt:lpstr>地图模块</vt:lpstr>
      <vt:lpstr>模块制作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2018-01-03T07:58:33Z</dcterms:modified>
</cp:coreProperties>
</file>