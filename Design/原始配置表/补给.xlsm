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2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24" i="10"/>
  <c r="B28" i="10"/>
  <c r="B25" i="10"/>
  <c r="B29" i="10"/>
  <c r="B22" i="10"/>
  <c r="B26" i="10"/>
  <c r="B30" i="10"/>
  <c r="B23" i="10"/>
  <c r="B27" i="10"/>
  <c r="B21" i="10"/>
  <c r="B17" i="10"/>
  <c r="B20" i="10"/>
  <c r="B18" i="10"/>
  <c r="B19" i="10"/>
  <c r="B16" i="10"/>
  <c r="D5" i="3"/>
  <c r="B10" i="3"/>
  <c r="B18" i="3"/>
  <c r="C16" i="3"/>
  <c r="C5" i="3"/>
  <c r="C18" i="3"/>
  <c r="E16" i="3"/>
  <c r="B13" i="3"/>
  <c r="E6" i="3"/>
  <c r="D4" i="3"/>
  <c r="E9" i="3"/>
  <c r="E18" i="3"/>
  <c r="E13" i="3"/>
  <c r="B6" i="3"/>
  <c r="E17" i="3"/>
  <c r="C10" i="3"/>
  <c r="D6" i="3"/>
  <c r="B11" i="3"/>
  <c r="D16" i="3"/>
  <c r="E12" i="3"/>
  <c r="D17" i="3"/>
  <c r="B7" i="3"/>
  <c r="D9" i="3"/>
  <c r="B15" i="3"/>
  <c r="E14" i="3"/>
  <c r="E4" i="3"/>
  <c r="D14" i="3"/>
  <c r="B8" i="3"/>
  <c r="D18" i="3"/>
  <c r="D8" i="3"/>
  <c r="B9" i="3"/>
  <c r="C11" i="3"/>
  <c r="C13" i="3"/>
  <c r="C9" i="3"/>
  <c r="C4" i="3"/>
  <c r="D11" i="3"/>
  <c r="C6" i="3"/>
  <c r="C12" i="3"/>
  <c r="C17" i="3"/>
  <c r="B5" i="3"/>
  <c r="B16" i="3"/>
  <c r="C15" i="3"/>
  <c r="D7" i="3"/>
  <c r="D13" i="3"/>
  <c r="B4" i="3"/>
  <c r="C7" i="3"/>
  <c r="B14" i="3"/>
  <c r="E7" i="3"/>
  <c r="D10" i="3"/>
  <c r="B17" i="3"/>
  <c r="E10" i="3"/>
  <c r="B12" i="3"/>
  <c r="C8" i="3"/>
  <c r="D12" i="3"/>
  <c r="E5" i="3"/>
  <c r="D15" i="3"/>
  <c r="C14" i="3"/>
  <c r="E8" i="3"/>
  <c r="E11" i="3"/>
  <c r="E15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<sst xmlns="http://schemas.openxmlformats.org/spreadsheetml/2006/main" count="438" uniqueCount="224">
  <si>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</si>
  <si>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</si>
  <si>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</si>
  <si>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</si>
  <si>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</si>
  <si>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</si>
  <si>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</si>
  <si>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</si>
  <si>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</si>
  <si>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</si>
  <si>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</si>
  <si>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</si>
  <si>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</si>
  <si>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</si>
  <si>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</si>
  <si>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</si>
  <si>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</si>
  <si>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</si>
  <si>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</si>
  <si>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</si>
  <si>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</si>
  <si>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</si>
  <si>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</si>
  <si>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</si>
  <si>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</si>
  <si>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</si>
  <si>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</si>
  <si>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</si>
  <si>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</si>
  <si>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</si>
  <si>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</si>
  <si>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</si>
  <si>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</si>
  <si>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</si>
  <si>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</si>
  <si>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</si>
  <si>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</si>
  <si>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</si>
  <si>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</si>
  <si>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</si>
  <si>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</si>
  <si>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</si>
  <si>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</si>
  <si>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</si>
  <si>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</si>
  <si>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</si>
  <si>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</si>
  <si>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</si>
  <si>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</si>
  <si>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</si>
  <si>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</si>
  <si>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</si>
  <si>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</si>
  <si>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</si>
  <si>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</si>
  <si>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</si>
  <si>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</si>
  <si>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</si>
  <si>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</si>
  <si>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</si>
  <si>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</si>
  <si>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</si>
  <si>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</si>
  <si>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</si>
  <si>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</si>
  <si>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</si>
  <si>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</si>
  <si>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</si>
  <si>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</si>
  <si>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</si>
  <si>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</si>
  <si>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</si>
  <si>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</si>
  <si>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</si>
  <si>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</si>
  <si>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</si>
  <si>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</si>
  <si>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</si>
  <si>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</si>
  <si>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</si>
  <si>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</si>
  <si>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</si>
  <si>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</si>
  <si>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</si>
  <si>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</si>
  <si>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</si>
  <si>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</si>
  <si>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</si>
  <si>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</si>
  <si>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</si>
  <si>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</si>
  <si>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</si>
  <si>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</si>
  <si>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</si>
  <si>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</si>
  <si>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</si>
  <si>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</si>
  <si>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</si>
  <si>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</si>
  <si>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</si>
  <si>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</si>
  <si>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</si>
  <si>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</si>
  <si>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</si>
  <si>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</si>
  <si>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</si>
  <si>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</si>
  <si>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</si>
  <si>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</si>
  <si>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</si>
  <si>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</si>
  <si>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</si>
  <si>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</si>
  <si>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</si>
  <si>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</si>
  <si>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</si>
  <si>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</si>
  <si>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</si>
  <si>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</si>
  <si>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</si>
  <si>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</si>
  <si>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</si>
  <si>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</si>
  <si>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</si>
  <si>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</si>
  <si>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</si>
  <si>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</si>
  <si>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</si>
  <si>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</si>
  <si>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</si>
  <si>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</si>
  <si>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</si>
  <si>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</si>
  <si>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</si>
  <si>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</si>
  <si>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</si>
  <si>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</si>
  <si>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</si>
  <si>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</si>
  <si>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</si>
  <si>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</si>
  <si>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</si>
  <si>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</si>
  <si>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</si>
  <si>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</si>
  <si>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</si>
  <si>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</si>
  <si>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</si>
  <si>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</si>
  <si>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机动+2</t>
    <phoneticPr fontId="1" type="noConversion"/>
  </si>
  <si>
    <t>※rpn[s_capacity=s_capacity+2]</t>
    <phoneticPr fontId="1" type="noConversion"/>
  </si>
  <si>
    <t>功率+2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</si>
  <si>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</si>
  <si>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</si>
  <si>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</si>
  <si>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</si>
  <si>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</si>
  <si>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</si>
  <si>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</si>
  <si>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</si>
  <si>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</si>
  <si>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</si>
  <si>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</si>
  <si>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</si>
  <si>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</si>
  <si>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</si>
  <si>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</si>
  <si>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</si>
  <si>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</si>
  <si>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</si>
  <si>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</si>
  <si>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</si>
  <si>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</si>
  <si>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</si>
  <si>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</si>
  <si>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</si>
  <si>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</si>
  <si>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</si>
  <si>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</si>
  <si>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</si>
  <si>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</si>
  <si>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※rpn[s_speed=s_speed+1]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</si>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</sst>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158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158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4" priority="11"/>
  </conditionalFormatting>
  <conditionalFormatting sqref="A3:D3 F3:G3">
    <cfRule type="duplicateValues" dxfId="13" priority="10"/>
  </conditionalFormatting>
  <conditionalFormatting sqref="E3">
    <cfRule type="duplicateValues" dxfId="12" priority="2"/>
  </conditionalFormatting>
  <conditionalFormatting sqref="A4:A6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0" priority="9"/>
  </conditionalFormatting>
  <conditionalFormatting sqref="D3">
    <cfRule type="duplicateValues" dxfId="9" priority="5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abSelected="1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162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5" t="s">
        <v>168</v>
      </c>
      <c r="B1" s="34">
        <v>1001</v>
      </c>
      <c r="C1" s="34"/>
      <c r="D1" s="34">
        <v>1002</v>
      </c>
      <c r="E1" s="34"/>
      <c r="F1" s="34">
        <v>1003</v>
      </c>
      <c r="G1" s="34"/>
      <c r="L1" s="1" t="s">
        <v>175</v>
      </c>
      <c r="P1" s="30" t="s">
        <v>173</v>
      </c>
      <c r="Q1" s="30"/>
      <c r="R1" s="30"/>
      <c r="S1" s="30"/>
      <c r="T1" s="30"/>
    </row>
    <row r="2" spans="1:20" x14ac:dyDescent="0.3">
      <c r="A2" s="35"/>
      <c r="B2" s="27" t="s">
        <v>165</v>
      </c>
      <c r="C2" s="27" t="s">
        <v>166</v>
      </c>
      <c r="D2" s="27" t="s">
        <v>165</v>
      </c>
      <c r="E2" s="27" t="s">
        <v>166</v>
      </c>
      <c r="F2" s="27" t="s">
        <v>165</v>
      </c>
      <c r="G2" s="27" t="s">
        <v>166</v>
      </c>
      <c r="L2" s="1">
        <v>100001</v>
      </c>
      <c r="P2" s="26" t="s">
        <v>168</v>
      </c>
      <c r="Q2" s="26" t="s">
        <v>165</v>
      </c>
      <c r="R2" s="26" t="s">
        <v>167</v>
      </c>
      <c r="S2" s="26" t="s">
        <v>165</v>
      </c>
      <c r="T2" s="26" t="s">
        <v>174</v>
      </c>
    </row>
    <row r="3" spans="1:20" x14ac:dyDescent="0.3">
      <c r="A3" s="25" t="s">
        <v>169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169</v>
      </c>
      <c r="Q3" s="25">
        <v>6</v>
      </c>
      <c r="R3" s="25" t="s">
        <v>190</v>
      </c>
      <c r="S3" s="25">
        <v>2</v>
      </c>
      <c r="T3" s="25" t="s">
        <v>212</v>
      </c>
    </row>
    <row r="4" spans="1:20" x14ac:dyDescent="0.3">
      <c r="A4" s="24" t="s">
        <v>170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170</v>
      </c>
      <c r="Q4" s="24">
        <v>5</v>
      </c>
      <c r="R4" s="25" t="s">
        <v>190</v>
      </c>
      <c r="S4" s="24">
        <v>2</v>
      </c>
      <c r="T4" s="24" t="s">
        <v>213</v>
      </c>
    </row>
    <row r="5" spans="1:20" x14ac:dyDescent="0.3">
      <c r="A5" s="24" t="s">
        <v>171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171</v>
      </c>
      <c r="Q5" s="24">
        <v>5</v>
      </c>
      <c r="R5" s="25" t="s">
        <v>190</v>
      </c>
      <c r="S5" s="24">
        <v>5</v>
      </c>
      <c r="T5" s="24" t="s">
        <v>214</v>
      </c>
    </row>
    <row r="6" spans="1:20" x14ac:dyDescent="0.3">
      <c r="A6" s="24" t="s">
        <v>176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189</v>
      </c>
      <c r="Q6" s="24">
        <v>0</v>
      </c>
      <c r="R6" s="25" t="s">
        <v>190</v>
      </c>
      <c r="S6" s="24">
        <v>4</v>
      </c>
      <c r="T6" s="24" t="s">
        <v>215</v>
      </c>
    </row>
    <row r="7" spans="1:20" x14ac:dyDescent="0.3">
      <c r="L7" s="1">
        <v>100006</v>
      </c>
      <c r="P7" s="25" t="s">
        <v>169</v>
      </c>
      <c r="Q7" s="25">
        <f>Q3</f>
        <v>6</v>
      </c>
      <c r="R7" s="24" t="s">
        <v>192</v>
      </c>
      <c r="S7" s="25">
        <f>S3</f>
        <v>2</v>
      </c>
      <c r="T7" s="24" t="s">
        <v>216</v>
      </c>
    </row>
    <row r="8" spans="1:20" x14ac:dyDescent="0.3">
      <c r="L8" s="1">
        <v>100007</v>
      </c>
      <c r="P8" s="25" t="s">
        <v>170</v>
      </c>
      <c r="Q8" s="25">
        <f t="shared" ref="Q8:Q62" si="0">Q4</f>
        <v>5</v>
      </c>
      <c r="R8" s="24" t="s">
        <v>192</v>
      </c>
      <c r="S8" s="25">
        <f t="shared" ref="S8:S62" si="1">S4</f>
        <v>2</v>
      </c>
      <c r="T8" s="24" t="s">
        <v>217</v>
      </c>
    </row>
    <row r="9" spans="1:20" x14ac:dyDescent="0.3">
      <c r="L9" s="1">
        <v>100008</v>
      </c>
      <c r="P9" s="25" t="s">
        <v>171</v>
      </c>
      <c r="Q9" s="25">
        <f t="shared" si="0"/>
        <v>5</v>
      </c>
      <c r="R9" s="24" t="s">
        <v>192</v>
      </c>
      <c r="S9" s="25">
        <f t="shared" si="1"/>
        <v>5</v>
      </c>
      <c r="T9" s="24" t="s">
        <v>218</v>
      </c>
    </row>
    <row r="10" spans="1:20" x14ac:dyDescent="0.3">
      <c r="L10" s="1">
        <v>100009</v>
      </c>
      <c r="P10" s="25" t="s">
        <v>189</v>
      </c>
      <c r="Q10" s="25">
        <f t="shared" si="0"/>
        <v>0</v>
      </c>
      <c r="R10" s="24" t="s">
        <v>192</v>
      </c>
      <c r="S10" s="25">
        <f t="shared" si="1"/>
        <v>4</v>
      </c>
      <c r="T10" s="24" t="s">
        <v>219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208</v>
      </c>
      <c r="S11" s="25">
        <f t="shared" si="1"/>
        <v>2</v>
      </c>
      <c r="T11" s="24" t="s">
        <v>216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208</v>
      </c>
      <c r="S12" s="25">
        <f t="shared" si="1"/>
        <v>2</v>
      </c>
      <c r="T12" s="24" t="s">
        <v>217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208</v>
      </c>
      <c r="S13" s="25">
        <f t="shared" si="1"/>
        <v>5</v>
      </c>
      <c r="T13" s="24" t="s">
        <v>218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208</v>
      </c>
      <c r="S14" s="25">
        <f t="shared" si="1"/>
        <v>4</v>
      </c>
      <c r="T14" s="24" t="s">
        <v>219</v>
      </c>
    </row>
    <row r="15" spans="1:20" x14ac:dyDescent="0.3">
      <c r="A15" s="31" t="s">
        <v>172</v>
      </c>
      <c r="B15" s="32"/>
      <c r="C15" s="32"/>
      <c r="D15" s="32"/>
      <c r="E15" s="32"/>
      <c r="F15" s="32"/>
      <c r="G15" s="32"/>
      <c r="H15" s="32"/>
      <c r="I15" s="32"/>
      <c r="J15" s="32"/>
      <c r="K15" s="33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195</v>
      </c>
      <c r="S15" s="25">
        <f t="shared" si="1"/>
        <v>2</v>
      </c>
      <c r="T15" s="24" t="s">
        <v>216</v>
      </c>
    </row>
    <row r="16" spans="1:20" x14ac:dyDescent="0.3">
      <c r="A16" s="24" t="s">
        <v>191</v>
      </c>
      <c r="B16" s="29" t="str">
        <f ca="1">[1]!连接单元格($L$2:$L$12,";")</f>
        <v>100001;100002;100003;100004;100005;100006;100007;100008;100009;100010;100011</v>
      </c>
      <c r="C16" s="29"/>
      <c r="D16" s="29"/>
      <c r="E16" s="29"/>
      <c r="F16" s="29"/>
      <c r="G16" s="29"/>
      <c r="H16" s="29"/>
      <c r="I16" s="29"/>
      <c r="J16" s="29"/>
      <c r="K16" s="29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195</v>
      </c>
      <c r="S16" s="25">
        <f t="shared" si="1"/>
        <v>2</v>
      </c>
      <c r="T16" s="24" t="s">
        <v>217</v>
      </c>
    </row>
    <row r="17" spans="1:20" x14ac:dyDescent="0.3">
      <c r="A17" s="24" t="s">
        <v>193</v>
      </c>
      <c r="B17" s="29" t="str">
        <f ca="1">[1]!连接单元格($L$2:$L$12,";")</f>
        <v>100001;100002;100003;100004;100005;100006;100007;100008;100009;100010;100011</v>
      </c>
      <c r="C17" s="29"/>
      <c r="D17" s="29"/>
      <c r="E17" s="29"/>
      <c r="F17" s="29"/>
      <c r="G17" s="29"/>
      <c r="H17" s="29"/>
      <c r="I17" s="29"/>
      <c r="J17" s="29"/>
      <c r="K17" s="29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195</v>
      </c>
      <c r="S17" s="25">
        <f t="shared" si="1"/>
        <v>5</v>
      </c>
      <c r="T17" s="24" t="s">
        <v>218</v>
      </c>
    </row>
    <row r="18" spans="1:20" x14ac:dyDescent="0.3">
      <c r="A18" s="24" t="s">
        <v>194</v>
      </c>
      <c r="B18" s="29" t="str">
        <f ca="1">[1]!连接单元格($L$2:$L$12,";")</f>
        <v>100001;100002;100003;100004;100005;100006;100007;100008;100009;100010;100011</v>
      </c>
      <c r="C18" s="29"/>
      <c r="D18" s="29"/>
      <c r="E18" s="29"/>
      <c r="F18" s="29"/>
      <c r="G18" s="29"/>
      <c r="H18" s="29"/>
      <c r="I18" s="29"/>
      <c r="J18" s="29"/>
      <c r="K18" s="29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195</v>
      </c>
      <c r="S18" s="25">
        <f t="shared" si="1"/>
        <v>4</v>
      </c>
      <c r="T18" s="24" t="s">
        <v>219</v>
      </c>
    </row>
    <row r="19" spans="1:20" x14ac:dyDescent="0.3">
      <c r="A19" s="24" t="s">
        <v>195</v>
      </c>
      <c r="B19" s="29" t="str">
        <f ca="1">[1]!连接单元格($L$2:$L$12,";")</f>
        <v>100001;100002;100003;100004;100005;100006;100007;100008;100009;100010;100011</v>
      </c>
      <c r="C19" s="29"/>
      <c r="D19" s="29"/>
      <c r="E19" s="29"/>
      <c r="F19" s="29"/>
      <c r="G19" s="29"/>
      <c r="H19" s="29"/>
      <c r="I19" s="29"/>
      <c r="J19" s="29"/>
      <c r="K19" s="29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209</v>
      </c>
      <c r="S19" s="25">
        <f t="shared" si="1"/>
        <v>2</v>
      </c>
      <c r="T19" s="24" t="s">
        <v>216</v>
      </c>
    </row>
    <row r="20" spans="1:20" x14ac:dyDescent="0.3">
      <c r="A20" s="24" t="s">
        <v>196</v>
      </c>
      <c r="B20" s="29" t="str">
        <f ca="1">[1]!连接单元格($L$2:$L$12,";")</f>
        <v>100001;100002;100003;100004;100005;100006;100007;100008;100009;100010;100011</v>
      </c>
      <c r="C20" s="29"/>
      <c r="D20" s="29"/>
      <c r="E20" s="29"/>
      <c r="F20" s="29"/>
      <c r="G20" s="29"/>
      <c r="H20" s="29"/>
      <c r="I20" s="29"/>
      <c r="J20" s="29"/>
      <c r="K20" s="29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209</v>
      </c>
      <c r="S20" s="25">
        <f t="shared" si="1"/>
        <v>2</v>
      </c>
      <c r="T20" s="1" t="s">
        <v>217</v>
      </c>
    </row>
    <row r="21" spans="1:20" x14ac:dyDescent="0.3">
      <c r="A21" s="24" t="s">
        <v>197</v>
      </c>
      <c r="B21" s="29" t="str">
        <f ca="1">[1]!连接单元格($L$13:$L$23,";")</f>
        <v>100101;100102;100103;100104;100105;100106;100107;100108;100109;100110;100111</v>
      </c>
      <c r="C21" s="29"/>
      <c r="D21" s="29"/>
      <c r="E21" s="29"/>
      <c r="F21" s="29"/>
      <c r="G21" s="29"/>
      <c r="H21" s="29"/>
      <c r="I21" s="29"/>
      <c r="J21" s="29"/>
      <c r="K21" s="29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209</v>
      </c>
      <c r="S21" s="25">
        <f t="shared" si="1"/>
        <v>5</v>
      </c>
      <c r="T21" s="1" t="s">
        <v>218</v>
      </c>
    </row>
    <row r="22" spans="1:20" x14ac:dyDescent="0.3">
      <c r="A22" s="24" t="s">
        <v>198</v>
      </c>
      <c r="B22" s="29" t="str">
        <f ca="1">[1]!连接单元格($L$13:$L$23,";")</f>
        <v>100101;100102;100103;100104;100105;100106;100107;100108;100109;100110;100111</v>
      </c>
      <c r="C22" s="29"/>
      <c r="D22" s="29"/>
      <c r="E22" s="29"/>
      <c r="F22" s="29"/>
      <c r="G22" s="29"/>
      <c r="H22" s="29"/>
      <c r="I22" s="29"/>
      <c r="J22" s="29"/>
      <c r="K22" s="29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209</v>
      </c>
      <c r="S22" s="25">
        <f t="shared" si="1"/>
        <v>4</v>
      </c>
      <c r="T22" s="1" t="s">
        <v>219</v>
      </c>
    </row>
    <row r="23" spans="1:20" x14ac:dyDescent="0.3">
      <c r="A23" s="24" t="s">
        <v>199</v>
      </c>
      <c r="B23" s="29" t="str">
        <f ca="1">[1]!连接单元格($L$13:$L$23,";")</f>
        <v>100101;100102;100103;100104;100105;100106;100107;100108;100109;100110;100111</v>
      </c>
      <c r="C23" s="29"/>
      <c r="D23" s="29"/>
      <c r="E23" s="29"/>
      <c r="F23" s="29"/>
      <c r="G23" s="29"/>
      <c r="H23" s="29"/>
      <c r="I23" s="29"/>
      <c r="J23" s="29"/>
      <c r="K23" s="29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210</v>
      </c>
      <c r="S23" s="25">
        <f t="shared" si="1"/>
        <v>2</v>
      </c>
      <c r="T23" s="1" t="s">
        <v>220</v>
      </c>
    </row>
    <row r="24" spans="1:20" x14ac:dyDescent="0.3">
      <c r="A24" s="24" t="s">
        <v>200</v>
      </c>
      <c r="B24" s="29" t="str">
        <f ca="1">[1]!连接单元格($L$13:$L$23,";")</f>
        <v>100101;100102;100103;100104;100105;100106;100107;100108;100109;100110;100111</v>
      </c>
      <c r="C24" s="29"/>
      <c r="D24" s="29"/>
      <c r="E24" s="29"/>
      <c r="F24" s="29"/>
      <c r="G24" s="29"/>
      <c r="H24" s="29"/>
      <c r="I24" s="29"/>
      <c r="J24" s="29"/>
      <c r="K24" s="29"/>
      <c r="P24" s="24" t="str">
        <f t="shared" si="2"/>
        <v>组合2</v>
      </c>
      <c r="Q24" s="25">
        <f t="shared" si="0"/>
        <v>5</v>
      </c>
      <c r="R24" s="1" t="s">
        <v>210</v>
      </c>
      <c r="S24" s="25">
        <f t="shared" si="1"/>
        <v>2</v>
      </c>
      <c r="T24" s="1" t="s">
        <v>221</v>
      </c>
    </row>
    <row r="25" spans="1:20" x14ac:dyDescent="0.3">
      <c r="A25" s="24" t="s">
        <v>201</v>
      </c>
      <c r="B25" s="29" t="str">
        <f ca="1">[1]!连接单元格($L$13:$L$23,";")</f>
        <v>100101;100102;100103;100104;100105;100106;100107;100108;100109;100110;100111</v>
      </c>
      <c r="C25" s="29"/>
      <c r="D25" s="29"/>
      <c r="E25" s="29"/>
      <c r="F25" s="29"/>
      <c r="G25" s="29"/>
      <c r="H25" s="29"/>
      <c r="I25" s="29"/>
      <c r="J25" s="29"/>
      <c r="K25" s="29"/>
      <c r="P25" s="24" t="str">
        <f t="shared" si="2"/>
        <v>组合3</v>
      </c>
      <c r="Q25" s="25">
        <f t="shared" si="0"/>
        <v>5</v>
      </c>
      <c r="R25" s="1" t="s">
        <v>210</v>
      </c>
      <c r="S25" s="25">
        <f t="shared" si="1"/>
        <v>5</v>
      </c>
      <c r="T25" s="1" t="s">
        <v>222</v>
      </c>
    </row>
    <row r="26" spans="1:20" x14ac:dyDescent="0.3">
      <c r="A26" s="24" t="s">
        <v>202</v>
      </c>
      <c r="B26" s="29" t="str">
        <f ca="1">[1]!连接单元格($L$13:$L$23,";")</f>
        <v>100101;100102;100103;100104;100105;100106;100107;100108;100109;100110;100111</v>
      </c>
      <c r="C26" s="29"/>
      <c r="D26" s="29"/>
      <c r="E26" s="29"/>
      <c r="F26" s="29"/>
      <c r="G26" s="29"/>
      <c r="H26" s="29"/>
      <c r="I26" s="29"/>
      <c r="J26" s="29"/>
      <c r="K26" s="29"/>
      <c r="P26" s="24" t="str">
        <f t="shared" si="2"/>
        <v>组合4</v>
      </c>
      <c r="Q26" s="25">
        <f t="shared" si="0"/>
        <v>0</v>
      </c>
      <c r="R26" s="1" t="s">
        <v>210</v>
      </c>
      <c r="S26" s="25">
        <f t="shared" si="1"/>
        <v>4</v>
      </c>
      <c r="T26" s="1" t="s">
        <v>223</v>
      </c>
    </row>
    <row r="27" spans="1:20" x14ac:dyDescent="0.3">
      <c r="A27" s="24" t="s">
        <v>203</v>
      </c>
      <c r="B27" s="29" t="str">
        <f ca="1">[1]!连接单元格($L$13:$L$23,";")</f>
        <v>100101;100102;100103;100104;100105;100106;100107;100108;100109;100110;100111</v>
      </c>
      <c r="C27" s="29"/>
      <c r="D27" s="29"/>
      <c r="E27" s="29"/>
      <c r="F27" s="29"/>
      <c r="G27" s="29"/>
      <c r="H27" s="29"/>
      <c r="I27" s="29"/>
      <c r="J27" s="29"/>
      <c r="K27" s="29"/>
      <c r="P27" s="24" t="str">
        <f t="shared" si="2"/>
        <v>组合1</v>
      </c>
      <c r="Q27" s="25">
        <f t="shared" si="0"/>
        <v>6</v>
      </c>
      <c r="R27" s="1" t="s">
        <v>198</v>
      </c>
      <c r="S27" s="25">
        <f t="shared" si="1"/>
        <v>2</v>
      </c>
      <c r="T27" s="1" t="s">
        <v>220</v>
      </c>
    </row>
    <row r="28" spans="1:20" x14ac:dyDescent="0.3">
      <c r="A28" s="24" t="s">
        <v>211</v>
      </c>
      <c r="B28" s="29" t="str">
        <f ca="1">[1]!连接单元格($L$13:$L$23,";")</f>
        <v>100101;100102;100103;100104;100105;100106;100107;100108;100109;100110;100111</v>
      </c>
      <c r="C28" s="29"/>
      <c r="D28" s="29"/>
      <c r="E28" s="29"/>
      <c r="F28" s="29"/>
      <c r="G28" s="29"/>
      <c r="H28" s="29"/>
      <c r="I28" s="29"/>
      <c r="J28" s="29"/>
      <c r="K28" s="29"/>
      <c r="P28" s="24" t="str">
        <f t="shared" si="2"/>
        <v>组合2</v>
      </c>
      <c r="Q28" s="25">
        <f t="shared" si="0"/>
        <v>5</v>
      </c>
      <c r="R28" s="1" t="s">
        <v>198</v>
      </c>
      <c r="S28" s="25">
        <f t="shared" si="1"/>
        <v>2</v>
      </c>
      <c r="T28" s="1" t="s">
        <v>221</v>
      </c>
    </row>
    <row r="29" spans="1:20" x14ac:dyDescent="0.3">
      <c r="A29" s="24" t="s">
        <v>205</v>
      </c>
      <c r="B29" s="29" t="str">
        <f ca="1">[1]!连接单元格($L$13:$L$23,";")</f>
        <v>100101;100102;100103;100104;100105;100106;100107;100108;100109;100110;100111</v>
      </c>
      <c r="C29" s="29"/>
      <c r="D29" s="29"/>
      <c r="E29" s="29"/>
      <c r="F29" s="29"/>
      <c r="G29" s="29"/>
      <c r="H29" s="29"/>
      <c r="I29" s="29"/>
      <c r="J29" s="29"/>
      <c r="K29" s="29"/>
      <c r="P29" s="24" t="str">
        <f t="shared" si="2"/>
        <v>组合3</v>
      </c>
      <c r="Q29" s="25">
        <f t="shared" si="0"/>
        <v>5</v>
      </c>
      <c r="R29" s="1" t="s">
        <v>198</v>
      </c>
      <c r="S29" s="25">
        <f t="shared" si="1"/>
        <v>5</v>
      </c>
      <c r="T29" s="1" t="s">
        <v>222</v>
      </c>
    </row>
    <row r="30" spans="1:20" x14ac:dyDescent="0.3">
      <c r="A30" s="24" t="s">
        <v>207</v>
      </c>
      <c r="B30" s="29" t="str">
        <f ca="1">[1]!连接单元格($L$13:$L$23,";")</f>
        <v>100101;100102;100103;100104;100105;100106;100107;100108;100109;100110;100111</v>
      </c>
      <c r="C30" s="29"/>
      <c r="D30" s="29"/>
      <c r="E30" s="29"/>
      <c r="F30" s="29"/>
      <c r="G30" s="29"/>
      <c r="H30" s="29"/>
      <c r="I30" s="29"/>
      <c r="J30" s="29"/>
      <c r="K30" s="29"/>
      <c r="P30" s="24" t="str">
        <f t="shared" si="2"/>
        <v>组合4</v>
      </c>
      <c r="Q30" s="25">
        <f t="shared" si="0"/>
        <v>0</v>
      </c>
      <c r="R30" s="1" t="s">
        <v>198</v>
      </c>
      <c r="S30" s="25">
        <f t="shared" si="1"/>
        <v>4</v>
      </c>
      <c r="T30" s="1" t="s">
        <v>223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199</v>
      </c>
      <c r="S31" s="25">
        <f t="shared" si="1"/>
        <v>2</v>
      </c>
      <c r="T31" s="1" t="s">
        <v>220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199</v>
      </c>
      <c r="S32" s="25">
        <f t="shared" si="1"/>
        <v>2</v>
      </c>
      <c r="T32" s="1" t="s">
        <v>221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199</v>
      </c>
      <c r="S33" s="25">
        <f t="shared" si="1"/>
        <v>5</v>
      </c>
      <c r="T33" s="1" t="s">
        <v>222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199</v>
      </c>
      <c r="S34" s="25">
        <f t="shared" si="1"/>
        <v>4</v>
      </c>
      <c r="T34" s="1" t="s">
        <v>223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200</v>
      </c>
      <c r="S35" s="25">
        <f t="shared" si="1"/>
        <v>2</v>
      </c>
      <c r="T35" s="1" t="s">
        <v>220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200</v>
      </c>
      <c r="S36" s="25">
        <f t="shared" si="1"/>
        <v>2</v>
      </c>
      <c r="T36" s="1" t="s">
        <v>221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200</v>
      </c>
      <c r="S37" s="25">
        <f t="shared" si="1"/>
        <v>5</v>
      </c>
      <c r="T37" s="1" t="s">
        <v>222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200</v>
      </c>
      <c r="S38" s="25">
        <f t="shared" si="1"/>
        <v>4</v>
      </c>
      <c r="T38" s="1" t="s">
        <v>223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201</v>
      </c>
      <c r="S39" s="25">
        <f t="shared" si="1"/>
        <v>2</v>
      </c>
      <c r="T39" s="1" t="s">
        <v>220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201</v>
      </c>
      <c r="S40" s="25">
        <f t="shared" si="1"/>
        <v>2</v>
      </c>
      <c r="T40" s="1" t="s">
        <v>221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201</v>
      </c>
      <c r="S41" s="25">
        <f t="shared" si="1"/>
        <v>5</v>
      </c>
      <c r="T41" s="1" t="s">
        <v>222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201</v>
      </c>
      <c r="S42" s="25">
        <f t="shared" si="1"/>
        <v>4</v>
      </c>
      <c r="T42" s="1" t="s">
        <v>223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202</v>
      </c>
      <c r="S43" s="25">
        <f t="shared" si="1"/>
        <v>2</v>
      </c>
      <c r="T43" s="1" t="s">
        <v>220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202</v>
      </c>
      <c r="S44" s="25">
        <f t="shared" si="1"/>
        <v>2</v>
      </c>
      <c r="T44" s="1" t="s">
        <v>221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202</v>
      </c>
      <c r="S45" s="25">
        <f t="shared" si="1"/>
        <v>5</v>
      </c>
      <c r="T45" s="1" t="s">
        <v>222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202</v>
      </c>
      <c r="S46" s="25">
        <f t="shared" si="1"/>
        <v>4</v>
      </c>
      <c r="T46" s="1" t="s">
        <v>223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203</v>
      </c>
      <c r="S47" s="25">
        <f t="shared" si="1"/>
        <v>2</v>
      </c>
      <c r="T47" s="1" t="s">
        <v>220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203</v>
      </c>
      <c r="S48" s="25">
        <f t="shared" si="1"/>
        <v>2</v>
      </c>
      <c r="T48" s="1" t="s">
        <v>221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203</v>
      </c>
      <c r="S49" s="25">
        <f t="shared" si="1"/>
        <v>5</v>
      </c>
      <c r="T49" s="1" t="s">
        <v>222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203</v>
      </c>
      <c r="S50" s="25">
        <f t="shared" si="1"/>
        <v>4</v>
      </c>
      <c r="T50" s="1" t="s">
        <v>223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204</v>
      </c>
      <c r="S51" s="25">
        <f t="shared" si="1"/>
        <v>2</v>
      </c>
      <c r="T51" s="1" t="s">
        <v>220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204</v>
      </c>
      <c r="S52" s="25">
        <f t="shared" si="1"/>
        <v>2</v>
      </c>
      <c r="T52" s="1" t="s">
        <v>221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204</v>
      </c>
      <c r="S53" s="25">
        <f t="shared" si="1"/>
        <v>5</v>
      </c>
      <c r="T53" s="1" t="s">
        <v>222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204</v>
      </c>
      <c r="S54" s="25">
        <f t="shared" si="1"/>
        <v>4</v>
      </c>
      <c r="T54" s="1" t="s">
        <v>223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205</v>
      </c>
      <c r="S55" s="25">
        <f t="shared" si="1"/>
        <v>2</v>
      </c>
      <c r="T55" s="1" t="s">
        <v>220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205</v>
      </c>
      <c r="S56" s="25">
        <f t="shared" si="1"/>
        <v>2</v>
      </c>
      <c r="T56" s="1" t="s">
        <v>221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205</v>
      </c>
      <c r="S57" s="25">
        <f t="shared" si="1"/>
        <v>5</v>
      </c>
      <c r="T57" s="1" t="s">
        <v>222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205</v>
      </c>
      <c r="S58" s="25">
        <f t="shared" si="1"/>
        <v>4</v>
      </c>
      <c r="T58" s="1" t="s">
        <v>223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206</v>
      </c>
      <c r="S59" s="25">
        <f t="shared" si="1"/>
        <v>2</v>
      </c>
      <c r="T59" s="1" t="s">
        <v>220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206</v>
      </c>
      <c r="S60" s="25">
        <f t="shared" si="1"/>
        <v>2</v>
      </c>
      <c r="T60" s="1" t="s">
        <v>221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206</v>
      </c>
      <c r="S61" s="25">
        <f t="shared" si="1"/>
        <v>5</v>
      </c>
      <c r="T61" s="1" t="s">
        <v>222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206</v>
      </c>
      <c r="S62" s="25">
        <f t="shared" si="1"/>
        <v>4</v>
      </c>
      <c r="T62" s="1" t="s">
        <v>223</v>
      </c>
    </row>
  </sheetData>
  <mergeCells count="21">
    <mergeCell ref="P1:T1"/>
    <mergeCell ref="A15:K15"/>
    <mergeCell ref="B1:C1"/>
    <mergeCell ref="D1:E1"/>
    <mergeCell ref="F1:G1"/>
    <mergeCell ref="A1:A2"/>
    <mergeCell ref="B16:K16"/>
    <mergeCell ref="B17:K17"/>
    <mergeCell ref="B18:K18"/>
    <mergeCell ref="B19:K19"/>
    <mergeCell ref="B20:K20"/>
    <mergeCell ref="B21:K21"/>
    <mergeCell ref="B22:K22"/>
    <mergeCell ref="B23:K23"/>
    <mergeCell ref="B24:K24"/>
    <mergeCell ref="B25:K25"/>
    <mergeCell ref="B26:K26"/>
    <mergeCell ref="B27:K27"/>
    <mergeCell ref="B28:K28"/>
    <mergeCell ref="B29:K29"/>
    <mergeCell ref="B30:K3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7" priority="2"/>
  </conditionalFormatting>
  <conditionalFormatting sqref="A4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7" sqref="C2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161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159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160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5" priority="7"/>
  </conditionalFormatting>
  <conditionalFormatting sqref="E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0" sqref="C30:C31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183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182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184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154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155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154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156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178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179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180</v>
      </c>
      <c r="D15" s="4"/>
      <c r="E15" s="19" t="s">
        <v>128</v>
      </c>
      <c r="F15" s="4" t="s">
        <v>82</v>
      </c>
      <c r="G15" s="4"/>
      <c r="H15" s="4"/>
      <c r="I15" s="4"/>
      <c r="J15" s="20" t="s">
        <v>181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163</v>
      </c>
      <c r="D16" s="4"/>
      <c r="E16" s="19" t="s">
        <v>128</v>
      </c>
      <c r="F16" s="4" t="s">
        <v>82</v>
      </c>
      <c r="G16" s="4"/>
      <c r="H16" s="4"/>
      <c r="I16" s="4"/>
      <c r="J16" s="20" t="s">
        <v>164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149</v>
      </c>
      <c r="D17" s="4"/>
      <c r="E17" s="19" t="s">
        <v>128</v>
      </c>
      <c r="F17" s="4" t="s">
        <v>82</v>
      </c>
      <c r="G17" s="4"/>
      <c r="H17" s="4"/>
      <c r="I17" s="4"/>
      <c r="J17" s="20" t="s">
        <v>157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151</v>
      </c>
      <c r="D18" s="4"/>
      <c r="E18" s="19" t="s">
        <v>128</v>
      </c>
      <c r="F18" s="4" t="s">
        <v>82</v>
      </c>
      <c r="G18" s="4"/>
      <c r="H18" s="4"/>
      <c r="I18" s="4"/>
      <c r="J18" s="20" t="s">
        <v>150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152</v>
      </c>
      <c r="D19" s="4"/>
      <c r="E19" s="19" t="s">
        <v>128</v>
      </c>
      <c r="F19" s="4" t="s">
        <v>82</v>
      </c>
      <c r="G19" s="4"/>
      <c r="H19" s="4"/>
      <c r="I19" s="4"/>
      <c r="J19" s="20" t="s">
        <v>153</v>
      </c>
      <c r="K19" s="4"/>
      <c r="L19" s="4"/>
    </row>
    <row r="20" spans="1:12" ht="31.5" customHeight="1" x14ac:dyDescent="0.2">
      <c r="A20" s="19">
        <v>1401</v>
      </c>
      <c r="B20" s="19" t="s">
        <v>177</v>
      </c>
      <c r="C20" s="4" t="s">
        <v>102</v>
      </c>
      <c r="D20" s="4" t="s">
        <v>188</v>
      </c>
      <c r="E20" s="4" t="s">
        <v>53</v>
      </c>
      <c r="F20" s="4" t="s">
        <v>82</v>
      </c>
      <c r="G20" s="4"/>
      <c r="H20" s="4"/>
      <c r="I20" s="4"/>
      <c r="J20" s="28" t="s">
        <v>185</v>
      </c>
      <c r="K20" s="4"/>
      <c r="L20" s="4"/>
    </row>
    <row r="21" spans="1:12" ht="31.5" customHeight="1" x14ac:dyDescent="0.2">
      <c r="A21" s="19">
        <v>1402</v>
      </c>
      <c r="B21" s="19" t="s">
        <v>177</v>
      </c>
      <c r="C21" s="4" t="s">
        <v>103</v>
      </c>
      <c r="D21" s="4" t="s">
        <v>188</v>
      </c>
      <c r="E21" s="4" t="s">
        <v>54</v>
      </c>
      <c r="F21" s="4" t="s">
        <v>82</v>
      </c>
      <c r="G21" s="4"/>
      <c r="H21" s="4"/>
      <c r="I21" s="4"/>
      <c r="J21" s="28" t="s">
        <v>186</v>
      </c>
      <c r="K21" s="4"/>
      <c r="L21" s="4"/>
    </row>
    <row r="22" spans="1:12" ht="31.5" customHeight="1" x14ac:dyDescent="0.2">
      <c r="A22" s="19">
        <v>1403</v>
      </c>
      <c r="B22" s="19" t="s">
        <v>177</v>
      </c>
      <c r="C22" s="4" t="s">
        <v>104</v>
      </c>
      <c r="D22" s="4" t="s">
        <v>188</v>
      </c>
      <c r="E22" s="4" t="s">
        <v>55</v>
      </c>
      <c r="F22" s="4" t="s">
        <v>82</v>
      </c>
      <c r="G22" s="4"/>
      <c r="H22" s="4"/>
      <c r="I22" s="4"/>
      <c r="J22" s="28" t="s">
        <v>187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3:L3">
    <cfRule type="duplicateValues" dxfId="2" priority="3"/>
  </conditionalFormatting>
  <conditionalFormatting sqref="A4:A24">
    <cfRule type="duplicateValues" dxfId="1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2017-12-23T05:31:37Z</dcterms:modified>
</cp:coreProperties>
</file>