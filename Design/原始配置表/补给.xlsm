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 autoCompressPictures="0"/>
  <bookViews>
    <workbookView xWindow="4215" yWindow="3945" windowWidth="27600" windowHeight="19155" activeTab="6"/>
  </bookViews>
  <sheets>
    <sheet name="补给品" sheetId="1" r:id="rId1"/>
    <sheet name="宝箱" sheetId="5" r:id="rId2"/>
    <sheet name="掉落矩阵" sheetId="3" r:id="rId3"/>
    <sheet name="掉落生成器" sheetId="10" r:id="rId4"/>
    <sheet name="大宝箱" sheetId="9" r:id="rId5"/>
    <sheet name="材料" sheetId="4" r:id="rId6"/>
    <sheet name="机关" sheetId="8" r:id="rId7"/>
    <sheet name="枚举" sheetId="2" r:id="rId8"/>
  </sheets>
  <externalReferences>
    <externalReference r:id="rId9"/>
  </externalReferences>
  <definedNames>
    <definedName name="_xlnm._FilterDatabase" localSheetId="1" hidden="1">宝箱!$A$3:$F$7</definedName>
    <definedName name="_xlnm._FilterDatabase" localSheetId="0" hidden="1">补给品!$A$3:$G$6</definedName>
    <definedName name="_xlnm._FilterDatabase" localSheetId="5" hidden="1">材料!$A$3:$G$7</definedName>
    <definedName name="_xlnm._FilterDatabase" localSheetId="4" hidden="1">大宝箱!$A$3:$C$4</definedName>
    <definedName name="_xlnm._FilterDatabase" localSheetId="2" hidden="1">掉落矩阵!$A$3:$E$20</definedName>
    <definedName name="_xlnm._FilterDatabase" localSheetId="6" hidden="1">机关!$A$3:$L$25</definedName>
    <definedName name="Operate" comment="机关作用类型">枚举!$D$1:$D$9</definedName>
    <definedName name="Stuff" comment="材料类型">枚举!$B$1:$B$6</definedName>
    <definedName name="材料区">掉落生成器!$A$3:$G$12</definedName>
    <definedName name="生成区">掉落生成器!$P$3:$T$62</definedName>
    <definedName name="芯片区">掉落生成器!$A$16:$K$30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22" i="3" l="1"/>
  <c r="S8" i="10"/>
  <c r="S12" i="10" s="1"/>
  <c r="S16" i="10" s="1"/>
  <c r="S20" i="10" s="1"/>
  <c r="S24" i="10" s="1"/>
  <c r="S28" i="10" s="1"/>
  <c r="S32" i="10" s="1"/>
  <c r="S36" i="10" s="1"/>
  <c r="S40" i="10" s="1"/>
  <c r="S44" i="10" s="1"/>
  <c r="S48" i="10" s="1"/>
  <c r="S52" i="10" s="1"/>
  <c r="S56" i="10" s="1"/>
  <c r="S60" i="10" s="1"/>
  <c r="S9" i="10"/>
  <c r="S13" i="10" s="1"/>
  <c r="S17" i="10" s="1"/>
  <c r="S21" i="10" s="1"/>
  <c r="S25" i="10" s="1"/>
  <c r="S29" i="10" s="1"/>
  <c r="S33" i="10" s="1"/>
  <c r="S37" i="10" s="1"/>
  <c r="S41" i="10" s="1"/>
  <c r="S45" i="10" s="1"/>
  <c r="S49" i="10" s="1"/>
  <c r="S53" i="10" s="1"/>
  <c r="S57" i="10" s="1"/>
  <c r="S61" i="10" s="1"/>
  <c r="S10" i="10"/>
  <c r="S14" i="10" s="1"/>
  <c r="S18" i="10" s="1"/>
  <c r="S22" i="10" s="1"/>
  <c r="S26" i="10" s="1"/>
  <c r="S30" i="10" s="1"/>
  <c r="S34" i="10" s="1"/>
  <c r="S38" i="10" s="1"/>
  <c r="S42" i="10" s="1"/>
  <c r="S46" i="10" s="1"/>
  <c r="S50" i="10" s="1"/>
  <c r="S54" i="10" s="1"/>
  <c r="S58" i="10" s="1"/>
  <c r="S62" i="10" s="1"/>
  <c r="S7" i="10"/>
  <c r="S11" i="10" s="1"/>
  <c r="S15" i="10" s="1"/>
  <c r="S19" i="10" s="1"/>
  <c r="S23" i="10" s="1"/>
  <c r="S27" i="10" s="1"/>
  <c r="S31" i="10" s="1"/>
  <c r="S35" i="10" s="1"/>
  <c r="S39" i="10" s="1"/>
  <c r="S43" i="10" s="1"/>
  <c r="S47" i="10" s="1"/>
  <c r="S51" i="10" s="1"/>
  <c r="S55" i="10" s="1"/>
  <c r="S59" i="10" s="1"/>
  <c r="Q8" i="10"/>
  <c r="Q12" i="10" s="1"/>
  <c r="Q16" i="10" s="1"/>
  <c r="Q20" i="10" s="1"/>
  <c r="Q24" i="10" s="1"/>
  <c r="Q28" i="10" s="1"/>
  <c r="Q32" i="10" s="1"/>
  <c r="Q36" i="10" s="1"/>
  <c r="Q40" i="10" s="1"/>
  <c r="Q44" i="10" s="1"/>
  <c r="Q48" i="10" s="1"/>
  <c r="Q52" i="10" s="1"/>
  <c r="Q56" i="10" s="1"/>
  <c r="Q60" i="10" s="1"/>
  <c r="Q9" i="10"/>
  <c r="Q13" i="10" s="1"/>
  <c r="Q17" i="10" s="1"/>
  <c r="Q21" i="10" s="1"/>
  <c r="Q25" i="10" s="1"/>
  <c r="Q29" i="10" s="1"/>
  <c r="Q33" i="10" s="1"/>
  <c r="Q37" i="10" s="1"/>
  <c r="Q41" i="10" s="1"/>
  <c r="Q45" i="10" s="1"/>
  <c r="Q49" i="10" s="1"/>
  <c r="Q53" i="10" s="1"/>
  <c r="Q57" i="10" s="1"/>
  <c r="Q61" i="10" s="1"/>
  <c r="Q10" i="10"/>
  <c r="Q14" i="10" s="1"/>
  <c r="Q18" i="10" s="1"/>
  <c r="Q22" i="10" s="1"/>
  <c r="Q26" i="10" s="1"/>
  <c r="Q30" i="10" s="1"/>
  <c r="Q34" i="10" s="1"/>
  <c r="Q38" i="10" s="1"/>
  <c r="Q42" i="10" s="1"/>
  <c r="Q46" i="10" s="1"/>
  <c r="Q50" i="10" s="1"/>
  <c r="Q54" i="10" s="1"/>
  <c r="Q58" i="10" s="1"/>
  <c r="Q62" i="10" s="1"/>
  <c r="Q7" i="10"/>
  <c r="Q11" i="10" s="1"/>
  <c r="Q15" i="10" s="1"/>
  <c r="Q19" i="10" s="1"/>
  <c r="Q23" i="10" s="1"/>
  <c r="Q27" i="10" s="1"/>
  <c r="Q31" i="10" s="1"/>
  <c r="Q35" i="10" s="1"/>
  <c r="Q39" i="10" s="1"/>
  <c r="Q43" i="10" s="1"/>
  <c r="Q47" i="10" s="1"/>
  <c r="Q51" i="10" s="1"/>
  <c r="Q55" i="10" s="1"/>
  <c r="Q59" i="10" s="1"/>
  <c r="P12" i="10"/>
  <c r="P16" i="10" s="1"/>
  <c r="P20" i="10" s="1"/>
  <c r="P24" i="10" s="1"/>
  <c r="P28" i="10" s="1"/>
  <c r="P32" i="10" s="1"/>
  <c r="P36" i="10" s="1"/>
  <c r="P40" i="10" s="1"/>
  <c r="P44" i="10" s="1"/>
  <c r="P48" i="10" s="1"/>
  <c r="P52" i="10" s="1"/>
  <c r="P56" i="10" s="1"/>
  <c r="P60" i="10" s="1"/>
  <c r="P13" i="10"/>
  <c r="P17" i="10" s="1"/>
  <c r="P21" i="10" s="1"/>
  <c r="P25" i="10" s="1"/>
  <c r="P29" i="10" s="1"/>
  <c r="P33" i="10" s="1"/>
  <c r="P37" i="10" s="1"/>
  <c r="P41" i="10" s="1"/>
  <c r="P45" i="10" s="1"/>
  <c r="P49" i="10" s="1"/>
  <c r="P53" i="10" s="1"/>
  <c r="P57" i="10" s="1"/>
  <c r="P61" i="10" s="1"/>
  <c r="P14" i="10"/>
  <c r="P18" i="10" s="1"/>
  <c r="P22" i="10" s="1"/>
  <c r="P26" i="10" s="1"/>
  <c r="P30" i="10" s="1"/>
  <c r="P34" i="10" s="1"/>
  <c r="P38" i="10" s="1"/>
  <c r="P42" i="10" s="1"/>
  <c r="P46" i="10" s="1"/>
  <c r="P50" i="10" s="1"/>
  <c r="P54" i="10" s="1"/>
  <c r="P58" i="10" s="1"/>
  <c r="P62" i="10" s="1"/>
  <c r="P11" i="10"/>
  <c r="P15" i="10" s="1"/>
  <c r="P19" i="10" s="1"/>
  <c r="P23" i="10" s="1"/>
  <c r="P27" i="10" s="1"/>
  <c r="P31" i="10" s="1"/>
  <c r="P35" i="10" s="1"/>
  <c r="P39" i="10" s="1"/>
  <c r="P43" i="10" s="1"/>
  <c r="P47" i="10" s="1"/>
  <c r="P51" i="10" s="1"/>
  <c r="P55" i="10" s="1"/>
  <c r="P59" i="10" s="1"/>
  <c r="D17" i="3"/>
  <c r="B22" i="10"/>
  <c r="D12" i="3"/>
  <c r="E12" i="3"/>
  <c r="E6" i="3"/>
  <c r="B14" i="3"/>
  <c r="C15" i="3"/>
  <c r="B30" i="10"/>
  <c r="E13" i="3"/>
  <c r="E11" i="3"/>
  <c r="C7" i="3"/>
  <c r="B17" i="10"/>
  <c r="E15" i="3"/>
  <c r="D10" i="3"/>
  <c r="B11" i="3"/>
  <c r="B28" i="10"/>
  <c r="C11" i="3"/>
  <c r="D11" i="3"/>
  <c r="B5" i="3"/>
  <c r="E5" i="3"/>
  <c r="B24" i="10"/>
  <c r="B16" i="10"/>
  <c r="B15" i="3"/>
  <c r="C4" i="3"/>
  <c r="B23" i="10"/>
  <c r="B21" i="10"/>
  <c r="E9" i="3"/>
  <c r="C13" i="3"/>
  <c r="C10" i="3"/>
  <c r="D5" i="3"/>
  <c r="C6" i="3"/>
  <c r="C18" i="3"/>
  <c r="B9" i="3"/>
  <c r="B12" i="3"/>
  <c r="E14" i="3"/>
  <c r="B27" i="10"/>
  <c r="E8" i="3"/>
  <c r="B13" i="3"/>
  <c r="D18" i="3"/>
  <c r="B18" i="10"/>
  <c r="E16" i="3"/>
  <c r="E18" i="3"/>
  <c r="E10" i="3"/>
  <c r="D9" i="3"/>
  <c r="C9" i="3"/>
  <c r="B18" i="3"/>
  <c r="E7" i="3"/>
  <c r="D14" i="3"/>
  <c r="D4" i="3"/>
  <c r="B6" i="3"/>
  <c r="B8" i="3"/>
  <c r="B17" i="3"/>
  <c r="C5" i="3"/>
  <c r="B25" i="10"/>
  <c r="E4" i="3"/>
  <c r="D8" i="3"/>
  <c r="B10" i="3"/>
  <c r="C16" i="3"/>
  <c r="B29" i="10"/>
  <c r="C8" i="3"/>
  <c r="B7" i="3"/>
  <c r="B26" i="10"/>
  <c r="D15" i="3"/>
  <c r="B16" i="3"/>
  <c r="D7" i="3"/>
  <c r="B4" i="3"/>
  <c r="D6" i="3"/>
  <c r="E17" i="3"/>
  <c r="C12" i="3"/>
  <c r="C14" i="3"/>
  <c r="B20" i="10"/>
  <c r="B19" i="10"/>
  <c r="D13" i="3"/>
  <c r="D16" i="3"/>
  <c r="C17" i="3"/>
  <c r="B20" i="3" l="1"/>
  <c r="E20" i="3" s="1"/>
  <c r="B19" i="3"/>
  <c r="E19" i="3" s="1"/>
  <c r="D19" i="3" l="1"/>
  <c r="C19" i="3"/>
  <c r="D20" i="3"/>
  <c r="C20" i="3"/>
</calcChain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在参数6的范围内容，随机标志出几个未翻开怪物位置。参数5表示怪物数量,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使用召唤技能，参数2为召唤技能。如果召唤方式为炮台（可以根据targetType进行判断），在参数6的范围内，随机一个可见的（阻碍）位置作为炮台的放置点。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<sst xmlns="http://schemas.openxmlformats.org/spreadsheetml/2006/main" count="442" uniqueCount="228">
  <si>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</si>
  <si>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</si>
  <si>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</si>
  <si>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</si>
  <si>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</si>
  <si>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</si>
  <si>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</si>
  <si>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</si>
  <si>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</si>
  <si>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</si>
  <si>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</si>
  <si>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</si>
  <si>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</si>
  <si>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</si>
  <si>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</si>
  <si>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</si>
  <si>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</si>
  <si>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</si>
  <si>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</si>
  <si>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</si>
  <si>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</si>
  <si>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</si>
  <si>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</si>
  <si>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</si>
  <si>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</si>
  <si>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</si>
  <si>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</si>
  <si>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</si>
  <si>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</si>
  <si>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</si>
  <si>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</si>
  <si>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</si>
  <si>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</si>
  <si>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</si>
  <si>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</si>
  <si>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</si>
  <si>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</si>
  <si>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</si>
  <si>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</si>
  <si>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</si>
  <si>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</si>
  <si>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</si>
  <si>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</si>
  <si>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</si>
  <si>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</si>
  <si>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</si>
  <si>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</si>
  <si>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</si>
  <si>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</si>
  <si>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</si>
  <si>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</si>
  <si>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</si>
  <si>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</si>
  <si>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</si>
  <si>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</si>
  <si>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</si>
  <si>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</si>
  <si>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</si>
  <si>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</si>
  <si>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</si>
  <si>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</si>
  <si>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</si>
  <si>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</si>
  <si>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</si>
  <si>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</si>
  <si>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</si>
  <si>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</si>
  <si>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</si>
  <si>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</si>
  <si>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</si>
  <si>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</si>
  <si>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</si>
  <si>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</si>
  <si>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</si>
  <si>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</si>
  <si>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</si>
  <si>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</si>
  <si>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</si>
  <si>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</si>
  <si>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</si>
  <si>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</si>
  <si>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</si>
  <si>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</si>
  <si>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</si>
  <si>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</si>
  <si>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</si>
  <si>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</si>
  <si>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</si>
  <si>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</si>
  <si>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</si>
  <si>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</si>
  <si>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</si>
  <si>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</si>
  <si>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</si>
  <si>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</si>
  <si>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</si>
  <si>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</si>
  <si>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</si>
  <si>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</si>
  <si>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</si>
  <si>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</si>
  <si>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</si>
  <si>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</si>
  <si>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</si>
  <si>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</si>
  <si>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</si>
  <si>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</si>
  <si>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</si>
  <si>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</si>
  <si>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</si>
  <si>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</si>
  <si>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</si>
  <si>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</si>
  <si>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</si>
  <si>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</si>
  <si>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</si>
  <si>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</si>
  <si>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</si>
  <si>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</si>
  <si>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</si>
  <si>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</si>
  <si>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</si>
  <si>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</si>
  <si>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</si>
  <si>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</si>
  <si>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</si>
  <si>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</si>
  <si>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</si>
  <si>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</si>
  <si>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</si>
  <si>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</si>
  <si>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</si>
  <si>
    <t>加速力场</t>
  </si>
  <si>
    <t>空间力场</t>
  </si>
  <si>
    <t>虚弱领域</t>
  </si>
  <si>
    <t>15回合内先攻值提高100%</t>
  </si>
  <si>
    <t>10回合内免疫物理伤害</t>
  </si>
  <si>
    <t>所有敌人生命值减半</t>
  </si>
  <si>
    <t>虚空雷达</t>
  </si>
  <si>
    <t>翻开一个格子以及它周围的格子</t>
  </si>
  <si>
    <t>吸虹导弹</t>
  </si>
  <si>
    <t>造成100%的实弹伤害，并恢复等量生命值</t>
  </si>
  <si>
    <t>时空转移</t>
  </si>
  <si>
    <t>翻开一个格子并传送到此，如果该格子非空，会传送失败</t>
  </si>
  <si>
    <t>干扰射线</t>
  </si>
  <si>
    <t>造成150%光线伤害，并使目标昏迷3回合</t>
  </si>
  <si>
    <t>ActiveSkills</t>
    <phoneticPr fontId="1" type="noConversion"/>
  </si>
  <si>
    <t>AddSkill</t>
    <phoneticPr fontId="1" type="noConversion"/>
  </si>
  <si>
    <t>残破零件</t>
    <phoneticPr fontId="1" type="noConversion"/>
  </si>
  <si>
    <t>1~2</t>
    <phoneticPr fontId="1" type="noConversion"/>
  </si>
  <si>
    <t>2~4</t>
    <phoneticPr fontId="1" type="noConversion"/>
  </si>
  <si>
    <t>2~3</t>
    <phoneticPr fontId="1" type="noConversion"/>
  </si>
  <si>
    <t>fx_pickup_heart</t>
    <phoneticPr fontId="1" type="noConversion"/>
  </si>
  <si>
    <t>pick_money_1</t>
  </si>
  <si>
    <t>pick_money_2</t>
  </si>
  <si>
    <t>pick_money_0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</si>
  <si>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</si>
  <si>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※rpn[s_attack=s_attack+2]</t>
    <phoneticPr fontId="1" type="noConversion"/>
  </si>
  <si>
    <t>权重</t>
    <phoneticPr fontId="1" type="noConversion"/>
  </si>
  <si>
    <t>数量</t>
    <phoneticPr fontId="1" type="noConversion"/>
  </si>
  <si>
    <t>芯片</t>
    <phoneticPr fontId="1" type="noConversion"/>
  </si>
  <si>
    <t>材料</t>
    <phoneticPr fontId="1" type="noConversion"/>
  </si>
  <si>
    <t>组合1</t>
    <phoneticPr fontId="1" type="noConversion"/>
  </si>
  <si>
    <t>组合2</t>
  </si>
  <si>
    <t>组合3</t>
  </si>
  <si>
    <t>芯片区</t>
    <phoneticPr fontId="1" type="noConversion"/>
  </si>
  <si>
    <t>生成</t>
    <phoneticPr fontId="1" type="noConversion"/>
  </si>
  <si>
    <t>结果</t>
    <phoneticPr fontId="1" type="noConversion"/>
  </si>
  <si>
    <t>全芯片</t>
    <phoneticPr fontId="1" type="noConversion"/>
  </si>
  <si>
    <t>组合4</t>
  </si>
  <si>
    <t>战场补给</t>
    <phoneticPr fontId="1" type="noConversion"/>
  </si>
  <si>
    <t>生命值+5</t>
    <phoneticPr fontId="1" type="noConversion"/>
  </si>
  <si>
    <r>
      <t>※rpn[s_mhp=s_mhp+5]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※rpn[s_nhp=s_nhp+5]</t>
    </r>
    <phoneticPr fontId="1" type="noConversion"/>
  </si>
  <si>
    <t>先攻+1</t>
    <phoneticPr fontId="1" type="noConversion"/>
  </si>
  <si>
    <t>int</t>
    <phoneticPr fontId="1" type="noConversion"/>
  </si>
  <si>
    <t>参数6：范围/射程</t>
    <phoneticPr fontId="1" type="noConversion"/>
  </si>
  <si>
    <t>arg6</t>
    <phoneticPr fontId="1" type="noConversion"/>
  </si>
  <si>
    <t>※rpn[s_nhp=0.2*s_mhp+s_nhp]</t>
    <phoneticPr fontId="1" type="noConversion"/>
  </si>
  <si>
    <t>※rpn[s_nhp=0.3*s_mhp+s_nhp]</t>
  </si>
  <si>
    <t>※rpn[s_nhp=0.4*s_mhp+s_nhp]</t>
  </si>
  <si>
    <t>fx_pickup_heart</t>
  </si>
  <si>
    <t>组合4</t>
    <phoneticPr fontId="1" type="noConversion"/>
  </si>
  <si>
    <t>距离30</t>
  </si>
  <si>
    <t>距离30</t>
    <phoneticPr fontId="1" type="noConversion"/>
  </si>
  <si>
    <t>距离60</t>
  </si>
  <si>
    <t>距离60</t>
    <phoneticPr fontId="1" type="noConversion"/>
  </si>
  <si>
    <t>距离90</t>
  </si>
  <si>
    <t>距离120</t>
  </si>
  <si>
    <t>距离150</t>
  </si>
  <si>
    <t>距离180</t>
  </si>
  <si>
    <t>距离210</t>
  </si>
  <si>
    <t>距离240</t>
  </si>
  <si>
    <t>距离270</t>
  </si>
  <si>
    <t>距离300</t>
  </si>
  <si>
    <t>距离330</t>
  </si>
  <si>
    <t>距离360</t>
  </si>
  <si>
    <t>距离390</t>
  </si>
  <si>
    <t>距离420</t>
  </si>
  <si>
    <t>距离∞</t>
  </si>
  <si>
    <t>距离∞</t>
    <phoneticPr fontId="1" type="noConversion"/>
  </si>
  <si>
    <t>距离90</t>
    <phoneticPr fontId="1" type="noConversion"/>
  </si>
  <si>
    <t>距离150</t>
    <phoneticPr fontId="1" type="noConversion"/>
  </si>
  <si>
    <t>距离180</t>
    <phoneticPr fontId="1" type="noConversion"/>
  </si>
  <si>
    <t>距离390</t>
    <phoneticPr fontId="1" type="noConversion"/>
  </si>
  <si>
    <t>10;10;10;1;1;1;1;1;1;1;1;1;1;1|23;23;18;2;2;2;2;2;2;2;2;2;2;2|1001;1002;1003;100001;100002;100003;100004;100005;100006;100007;100008;100009;100010;100011|Stuff;Stuff;Stuff;Chip;Chip;Chip;Chip;Chip;Chip;Chip;Chip;Chip;Chip;Chip</t>
    <phoneticPr fontId="1" type="noConversion"/>
  </si>
  <si>
    <t>15;15;15;1;1;1;1;1;1;1;1;1;1;1|19;19;15;2;2;2;2;2;2;2;2;2;2;2|1001;1002;1003;100001;100002;100003;100004;100005;100006;100007;100008;100009;100010;100011|Stuff;Stuff;Stuff;Chip;Chip;Chip;Chip;Chip;Chip;Chip;Chip;Chip;Chip;Chip</t>
    <phoneticPr fontId="1" type="noConversion"/>
  </si>
  <si>
    <t>20;20;20;1;1;1;1;1;1;1;1;1;1;1|19;19;15;5;5;5;5;5;5;5;5;5;5;5|1001;1002;1003;100001;100002;100003;100004;100005;100006;100007;100008;100009;100010;100011|Stuff;Stuff;Stuff;Chip;Chip;Chip;Chip;Chip;Chip;Chip;Chip;Chip;Chip;Chip</t>
    <phoneticPr fontId="1" type="noConversion"/>
  </si>
  <si>
    <t>30;30;30;1;1;1;1;1;1;1;1;1;1;1|0;0;0;4;4;4;4;4;4;4;4;4;4;4|1001;1002;1003;100001;100002;100003;100004;100005;100006;100007;100008;100009;100010;100011|Stuff;Stuff;Stuff;Chip;Chip;Chip;Chip;Chip;Chip;Chip;Chip;Chip;Chip;Chip</t>
    <phoneticPr fontId="1" type="noConversion"/>
  </si>
  <si>
    <t>10;10;10;1;1;1;1;1;1;1;1;1;1;1|23;23;18;2;2;2;2;2;2;2;2;2;2;2|1001;1002;1003;100001;100002;100003;100004;100005;100006;100007;100008;100009;100010;100011|Stuff;Stuff;Stuff;Chip;Chip;Chip;Chip;Chip;Chip;Chip;Chip;Chip;Chip;Chip</t>
    <phoneticPr fontId="1" type="noConversion"/>
  </si>
  <si>
    <t>15;15;15;1;1;1;1;1;1;1;1;1;1;1|19;19;15;2;2;2;2;2;2;2;2;2;2;2|1001;1002;1003;100001;100002;100003;100004;100005;100006;100007;100008;100009;100010;100011|Stuff;Stuff;Stuff;Chip;Chip;Chip;Chip;Chip;Chip;Chip;Chip;Chip;Chip;Chip</t>
    <phoneticPr fontId="1" type="noConversion"/>
  </si>
  <si>
    <t>20;20;20;1;1;1;1;1;1;1;1;1;1;1|19;19;15;5;5;5;5;5;5;5;5;5;5;5|1001;1002;1003;100001;100002;100003;100004;100005;100006;100007;100008;100009;100010;100011|Stuff;Stuff;Stuff;Chip;Chip;Chip;Chip;Chip;Chip;Chip;Chip;Chip;Chip;Chip</t>
    <phoneticPr fontId="1" type="noConversion"/>
  </si>
  <si>
    <t>30;30;30;1;1;1;1;1;1;1;1;1;1;1|0;0;0;4;4;4;4;4;4;4;4;4;4;4|1001;1002;1003;100001;100002;100003;100004;100005;100006;100007;100008;100009;100010;100011|Stuff;Stuff;Stuff;Chip;Chip;Chip;Chip;Chip;Chip;Chip;Chip;Chip;Chip;Chip</t>
    <phoneticPr fontId="1" type="noConversion"/>
  </si>
  <si>
    <t>10;10;10;1;1;1;1;1;1;1;1;1;1;1|23;23;18;2;2;2;2;2;2;2;2;2;2;2|1001;1002;1003;100101;100102;100103;100104;100105;100106;100107;100108;100109;100110;100111|Stuff;Stuff;Stuff;Chip;Chip;Chip;Chip;Chip;Chip;Chip;Chip;Chip;Chip;Chip</t>
    <phoneticPr fontId="1" type="noConversion"/>
  </si>
  <si>
    <t>15;15;15;1;1;1;1;1;1;1;1;1;1;1|19;19;15;2;2;2;2;2;2;2;2;2;2;2|1001;1002;1003;100101;100102;100103;100104;100105;100106;100107;100108;100109;100110;100111|Stuff;Stuff;Stuff;Chip;Chip;Chip;Chip;Chip;Chip;Chip;Chip;Chip;Chip;Chip</t>
    <phoneticPr fontId="1" type="noConversion"/>
  </si>
  <si>
    <t>20;20;20;1;1;1;1;1;1;1;1;1;1;1|19;19;15;5;5;5;5;5;5;5;5;5;5;5|1001;1002;1003;100101;100102;100103;100104;100105;100106;100107;100108;100109;100110;100111|Stuff;Stuff;Stuff;Chip;Chip;Chip;Chip;Chip;Chip;Chip;Chip;Chip;Chip;Chip</t>
    <phoneticPr fontId="1" type="noConversion"/>
  </si>
  <si>
    <t>30;30;30;1;1;1;1;1;1;1;1;1;1;1|0;0;0;4;4;4;4;4;4;4;4;4;4;4|1001;1002;1003;100101;100102;100103;100104;100105;100106;100107;100108;100109;100110;100111|Stuff;Stuff;Stuff;Chip;Chip;Chip;Chip;Chip;Chip;Chip;Chip;Chip;Chip;Chip</t>
    <phoneticPr fontId="1" type="noConversion"/>
  </si>
  <si>
    <t>※rpn[s_firstAtt=s_firstAtt+1]</t>
    <phoneticPr fontId="1" type="noConversion"/>
  </si>
  <si>
    <t>物理攻击+2</t>
    <phoneticPr fontId="1" type="noConversion"/>
  </si>
  <si>
    <t>光线攻击+3</t>
    <phoneticPr fontId="1" type="noConversion"/>
  </si>
  <si>
    <t>※rpn[s_laser=s_laser+2]</t>
    <phoneticPr fontId="1" type="noConversion"/>
  </si>
  <si>
    <t>护盾+5</t>
    <phoneticPr fontId="1" type="noConversion"/>
  </si>
  <si>
    <r>
      <t>※rpn[s_shield=s_shield+5]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※rpn[s_nshield=s_nshield+5]</t>
    </r>
    <phoneticPr fontId="1" type="noConversion"/>
  </si>
  <si>
    <t>护甲+1</t>
    <phoneticPr fontId="1" type="noConversion"/>
  </si>
  <si>
    <t>※rpn[s_guard=s_guard+2]</t>
    <phoneticPr fontId="1" type="noConversion"/>
  </si>
  <si>
    <t>WorldPiece</t>
  </si>
  <si>
    <t>WorldPiece</t>
    <phoneticPr fontId="1" type="noConversion"/>
  </si>
  <si>
    <t>世界碎片</t>
    <phoneticPr fontId="1" type="noConversion"/>
  </si>
  <si>
    <t>让世界得到恢复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</si>
</sst>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sz val="11"/>
      <color theme="0" tint="-0.249977111117893"/>
      <name val="等线"/>
      <family val="2"/>
      <scheme val="minor"/>
    </font>
    <font>
      <b/>
      <sz val="11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6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4" fillId="0" borderId="0" xfId="0" applyFont="1"/>
    <xf numFmtId="0" fontId="2" fillId="0" borderId="3" xfId="0" applyFont="1" applyBorder="1"/>
    <xf numFmtId="0" fontId="2" fillId="0" borderId="7" xfId="0" applyFont="1" applyBorder="1"/>
    <xf numFmtId="0" fontId="15" fillId="3" borderId="8" xfId="0" applyFont="1" applyFill="1" applyBorder="1"/>
    <xf numFmtId="0" fontId="16" fillId="3" borderId="8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left" vertical="center"/>
    </xf>
    <xf numFmtId="0" fontId="15" fillId="3" borderId="8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/>
    </xf>
  </cellXfs>
  <cellStyles count="2">
    <cellStyle name="常规" xfId="0" builtinId="0"/>
    <cellStyle name="超链接" xfId="1" builtinId="8"/>
  </cellStyles>
  <dxfs count="15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676274</xdr:colOff>
      <xdr:row>0</xdr:row>
      <xdr:rowOff>171449</xdr:rowOff>
    </xdr:from>
    <xdr:to>
      <xdr:col>13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0</xdr:row>
          <xdr:rowOff>95250</xdr:rowOff>
        </xdr:from>
        <xdr:to>
          <xdr:col>14</xdr:col>
          <xdr:colOff>123825</xdr:colOff>
          <xdr:row>2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628650</xdr:colOff>
      <xdr:row>31</xdr:row>
      <xdr:rowOff>28574</xdr:rowOff>
    </xdr:from>
    <xdr:to>
      <xdr:col>8</xdr:col>
      <xdr:colOff>361950</xdr:colOff>
      <xdr:row>42</xdr:row>
      <xdr:rowOff>47624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5648325" y="10991849"/>
          <a:ext cx="3543300" cy="20097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4</xdr:col>
      <xdr:colOff>847725</xdr:colOff>
      <xdr:row>3</xdr:row>
      <xdr:rowOff>66674</xdr:rowOff>
    </xdr:from>
    <xdr:to>
      <xdr:col>4</xdr:col>
      <xdr:colOff>1082993</xdr:colOff>
      <xdr:row>3</xdr:row>
      <xdr:rowOff>314325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8582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4</xdr:row>
      <xdr:rowOff>85726</xdr:rowOff>
    </xdr:from>
    <xdr:to>
      <xdr:col>4</xdr:col>
      <xdr:colOff>1063511</xdr:colOff>
      <xdr:row>4</xdr:row>
      <xdr:rowOff>361950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13049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828675</xdr:colOff>
      <xdr:row>22</xdr:row>
      <xdr:rowOff>91570</xdr:rowOff>
    </xdr:from>
    <xdr:to>
      <xdr:col>4</xdr:col>
      <xdr:colOff>1085850</xdr:colOff>
      <xdr:row>22</xdr:row>
      <xdr:rowOff>342900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48350" y="1710820"/>
          <a:ext cx="257175" cy="2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13</xdr:row>
      <xdr:rowOff>42504</xdr:rowOff>
    </xdr:from>
    <xdr:to>
      <xdr:col>4</xdr:col>
      <xdr:colOff>1152526</xdr:colOff>
      <xdr:row>13</xdr:row>
      <xdr:rowOff>352425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12</xdr:row>
      <xdr:rowOff>85726</xdr:rowOff>
    </xdr:from>
    <xdr:to>
      <xdr:col>4</xdr:col>
      <xdr:colOff>1095647</xdr:colOff>
      <xdr:row>12</xdr:row>
      <xdr:rowOff>333376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5" y="3305176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23</xdr:row>
      <xdr:rowOff>92406</xdr:rowOff>
    </xdr:from>
    <xdr:to>
      <xdr:col>4</xdr:col>
      <xdr:colOff>1114425</xdr:colOff>
      <xdr:row>23</xdr:row>
      <xdr:rowOff>358363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95975" y="2911806"/>
          <a:ext cx="238125" cy="265957"/>
        </a:xfrm>
        <a:prstGeom prst="rect">
          <a:avLst/>
        </a:prstGeom>
      </xdr:spPr>
    </xdr:pic>
    <xdr:clientData/>
  </xdr:twoCellAnchor>
  <xdr:twoCellAnchor editAs="oneCell">
    <xdr:from>
      <xdr:col>4</xdr:col>
      <xdr:colOff>838200</xdr:colOff>
      <xdr:row>5</xdr:row>
      <xdr:rowOff>76199</xdr:rowOff>
    </xdr:from>
    <xdr:to>
      <xdr:col>4</xdr:col>
      <xdr:colOff>1073468</xdr:colOff>
      <xdr:row>5</xdr:row>
      <xdr:rowOff>323850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57875" y="1695449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904875</xdr:colOff>
      <xdr:row>6</xdr:row>
      <xdr:rowOff>123824</xdr:rowOff>
    </xdr:from>
    <xdr:to>
      <xdr:col>4</xdr:col>
      <xdr:colOff>1140143</xdr:colOff>
      <xdr:row>6</xdr:row>
      <xdr:rowOff>371475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414337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866775</xdr:colOff>
      <xdr:row>7</xdr:row>
      <xdr:rowOff>85726</xdr:rowOff>
    </xdr:from>
    <xdr:to>
      <xdr:col>4</xdr:col>
      <xdr:colOff>1139711</xdr:colOff>
      <xdr:row>7</xdr:row>
      <xdr:rowOff>361950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053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857251</xdr:colOff>
      <xdr:row>8</xdr:row>
      <xdr:rowOff>57150</xdr:rowOff>
    </xdr:from>
    <xdr:to>
      <xdr:col>4</xdr:col>
      <xdr:colOff>1162611</xdr:colOff>
      <xdr:row>8</xdr:row>
      <xdr:rowOff>342900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9</xdr:row>
      <xdr:rowOff>76200</xdr:rowOff>
    </xdr:from>
    <xdr:to>
      <xdr:col>4</xdr:col>
      <xdr:colOff>1134036</xdr:colOff>
      <xdr:row>9</xdr:row>
      <xdr:rowOff>361950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48351" y="52959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10</xdr:row>
      <xdr:rowOff>76200</xdr:rowOff>
    </xdr:from>
    <xdr:to>
      <xdr:col>4</xdr:col>
      <xdr:colOff>1181661</xdr:colOff>
      <xdr:row>10</xdr:row>
      <xdr:rowOff>361950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56959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11</xdr:row>
      <xdr:rowOff>38100</xdr:rowOff>
    </xdr:from>
    <xdr:to>
      <xdr:col>4</xdr:col>
      <xdr:colOff>1181661</xdr:colOff>
      <xdr:row>11</xdr:row>
      <xdr:rowOff>323850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6057900"/>
          <a:ext cx="305360" cy="285750"/>
        </a:xfrm>
        <a:prstGeom prst="rect">
          <a:avLst/>
        </a:prstGeom>
      </xdr:spPr>
    </xdr:pic>
    <xdr:clientData/>
  </xdr:twoCellAnchor>
  <xdr:oneCellAnchor>
    <xdr:from>
      <xdr:col>4</xdr:col>
      <xdr:colOff>828676</xdr:colOff>
      <xdr:row>14</xdr:row>
      <xdr:rowOff>42504</xdr:rowOff>
    </xdr:from>
    <xdr:ext cx="323850" cy="309921"/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15</xdr:row>
      <xdr:rowOff>42504</xdr:rowOff>
    </xdr:from>
    <xdr:ext cx="323850" cy="309921"/>
    <xdr:pic>
      <xdr:nvPicPr>
        <xdr:cNvPr id="25" name="图片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838201</xdr:colOff>
      <xdr:row>16</xdr:row>
      <xdr:rowOff>47625</xdr:rowOff>
    </xdr:from>
    <xdr:ext cx="323850" cy="309921"/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57876" y="726757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17</xdr:row>
      <xdr:rowOff>71079</xdr:rowOff>
    </xdr:from>
    <xdr:ext cx="323850" cy="309921"/>
    <xdr:pic>
      <xdr:nvPicPr>
        <xdr:cNvPr id="29" name="图片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76926" y="7691079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876301</xdr:colOff>
      <xdr:row>18</xdr:row>
      <xdr:rowOff>66675</xdr:rowOff>
    </xdr:from>
    <xdr:ext cx="323850" cy="309921"/>
    <xdr:pic>
      <xdr:nvPicPr>
        <xdr:cNvPr id="30" name="图片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95976" y="808672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9</xdr:row>
      <xdr:rowOff>57150</xdr:rowOff>
    </xdr:from>
    <xdr:ext cx="305360" cy="285750"/>
    <xdr:pic>
      <xdr:nvPicPr>
        <xdr:cNvPr id="41" name="图片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10</xdr:row>
      <xdr:rowOff>57150</xdr:rowOff>
    </xdr:from>
    <xdr:ext cx="305360" cy="285750"/>
    <xdr:pic>
      <xdr:nvPicPr>
        <xdr:cNvPr id="42" name="图片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11</xdr:row>
      <xdr:rowOff>57150</xdr:rowOff>
    </xdr:from>
    <xdr:ext cx="305360" cy="285750"/>
    <xdr:pic>
      <xdr:nvPicPr>
        <xdr:cNvPr id="43" name="图片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6"/>
  <sheetViews>
    <sheetView showGridLines="0" workbookViewId="0">
      <selection activeCell="E4" sqref="E4:E6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8.375" customWidth="1"/>
    <col min="6" max="6" width="13.125" customWidth="1"/>
    <col min="7" max="7" width="12.75" customWidth="1"/>
  </cols>
  <sheetData>
    <row r="1" spans="1:7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61</v>
      </c>
      <c r="G1" s="3" t="s">
        <v>5</v>
      </c>
    </row>
    <row r="2" spans="1:7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16" t="s">
        <v>98</v>
      </c>
      <c r="F2" s="4" t="s">
        <v>16</v>
      </c>
      <c r="G2" s="4" t="s">
        <v>1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6" t="s">
        <v>15</v>
      </c>
      <c r="G3" s="6" t="s">
        <v>6</v>
      </c>
    </row>
    <row r="4" spans="1:7" ht="16.5" x14ac:dyDescent="0.2">
      <c r="A4" s="4">
        <v>101</v>
      </c>
      <c r="B4" s="4" t="s">
        <v>8</v>
      </c>
      <c r="C4" s="4" t="s">
        <v>102</v>
      </c>
      <c r="D4" s="4" t="s">
        <v>53</v>
      </c>
      <c r="E4" s="4" t="s">
        <v>152</v>
      </c>
      <c r="F4" s="4">
        <v>1</v>
      </c>
      <c r="G4" s="4">
        <v>0.2</v>
      </c>
    </row>
    <row r="5" spans="1:7" ht="16.5" x14ac:dyDescent="0.2">
      <c r="A5" s="4">
        <v>102</v>
      </c>
      <c r="B5" s="4" t="s">
        <v>8</v>
      </c>
      <c r="C5" s="4" t="s">
        <v>103</v>
      </c>
      <c r="D5" s="4" t="s">
        <v>54</v>
      </c>
      <c r="E5" s="4" t="s">
        <v>152</v>
      </c>
      <c r="F5" s="4">
        <v>2</v>
      </c>
      <c r="G5" s="4">
        <v>0.3</v>
      </c>
    </row>
    <row r="6" spans="1:7" ht="16.5" x14ac:dyDescent="0.2">
      <c r="A6" s="4">
        <v>103</v>
      </c>
      <c r="B6" s="4" t="s">
        <v>8</v>
      </c>
      <c r="C6" s="4" t="s">
        <v>104</v>
      </c>
      <c r="D6" s="4" t="s">
        <v>55</v>
      </c>
      <c r="E6" s="4" t="s">
        <v>152</v>
      </c>
      <c r="F6" s="4">
        <v>3</v>
      </c>
      <c r="G6" s="4">
        <v>0.4</v>
      </c>
    </row>
  </sheetData>
  <autoFilter ref="A3:G6"/>
  <phoneticPr fontId="1" type="noConversion"/>
  <conditionalFormatting sqref="A7:A10">
    <cfRule type="duplicateValues" dxfId="14" priority="11"/>
  </conditionalFormatting>
  <conditionalFormatting sqref="A3:D3 F3:G3">
    <cfRule type="duplicateValues" dxfId="13" priority="10"/>
  </conditionalFormatting>
  <conditionalFormatting sqref="E3">
    <cfRule type="duplicateValues" dxfId="12" priority="2"/>
  </conditionalFormatting>
  <conditionalFormatting sqref="A4:A6">
    <cfRule type="duplicateValues" dxfId="11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E24" sqref="E24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97</v>
      </c>
      <c r="E1" s="3" t="s">
        <v>12</v>
      </c>
      <c r="F1" s="3" t="s">
        <v>51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98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99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56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57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58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59</v>
      </c>
      <c r="F7" s="4">
        <v>4</v>
      </c>
    </row>
  </sheetData>
  <autoFilter ref="A3:F7"/>
  <phoneticPr fontId="1" type="noConversion"/>
  <conditionalFormatting sqref="A3:C3 E3:F3">
    <cfRule type="duplicateValues" dxfId="10" priority="9"/>
  </conditionalFormatting>
  <conditionalFormatting sqref="D3">
    <cfRule type="duplicateValues" dxfId="9" priority="5"/>
  </conditionalFormatting>
  <conditionalFormatting sqref="A4:A7">
    <cfRule type="duplicateValues" dxfId="8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2"/>
  <sheetViews>
    <sheetView showGridLines="0" topLeftCell="B1" workbookViewId="0">
      <selection activeCell="B11" sqref="B11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156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3">
      <c r="A4" s="4">
        <v>30</v>
      </c>
      <c r="B4" s="25" t="str">
        <f ca="1">INDIRECT("掉落生成器!T" &amp; COLUMN()+1 + (ROW()-4)*4)</f>
        <v>10;10;10;1;1;1;1;1;1;1;1;1;1;1|23;23;18;2;2;2;2;2;2;2;2;2;2;2|1001;1002;1003;100001;100002;100003;100004;100005;100006;100007;100008;100009;100010;100011|Stuff;Stuff;Stuff;Chip;Chip;Chip;Chip;Chip;Chip;Chip;Chip;Chip;Chip;Chip</v>
      </c>
      <c r="C4" s="25" t="str">
        <f t="shared" ref="C4:E18" ca="1" si="0">INDIRECT("掉落生成器!T" &amp; COLUMN()+1 + (ROW()-4)*4)</f>
        <v>15;15;15;1;1;1;1;1;1;1;1;1;1;1|19;19;15;2;2;2;2;2;2;2;2;2;2;2|1001;1002;1003;100001;100002;100003;100004;100005;100006;100007;100008;100009;100010;100011|Stuff;Stuff;Stuff;Chip;Chip;Chip;Chip;Chip;Chip;Chip;Chip;Chip;Chip;Chip</v>
      </c>
      <c r="D4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4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5" spans="1:5" ht="16.5" x14ac:dyDescent="0.3">
      <c r="A5" s="4">
        <v>60</v>
      </c>
      <c r="B5" s="25" t="str">
        <f t="shared" ref="B5:B18" ca="1" si="1">INDIRECT("掉落生成器!T" &amp; COLUMN()+1 + (ROW()-4)*4)</f>
        <v>10;10;10;1;1;1;1;1;1;1;1;1;1;1|23;23;18;2;2;2;2;2;2;2;2;2;2;2|1001;1002;1003;100001;100002;100003;100004;100005;100006;100007;100008;100009;100010;100011|Stuff;Stuff;Stuff;Chip;Chip;Chip;Chip;Chip;Chip;Chip;Chip;Chip;Chip;Chip</v>
      </c>
      <c r="C5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5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5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6" spans="1:5" ht="16.5" x14ac:dyDescent="0.3">
      <c r="A6" s="4">
        <v>90</v>
      </c>
      <c r="B6" s="25" t="str">
        <f t="shared" ca="1" si="1"/>
        <v>10;10;10;1;1;1;1;1;1;1;1;1;1;1|23;23;18;2;2;2;2;2;2;2;2;2;2;2|1001;1002;1003;100001;100002;100003;100004;100005;100006;100007;100008;100009;100010;100011|Stuff;Stuff;Stuff;Chip;Chip;Chip;Chip;Chip;Chip;Chip;Chip;Chip;Chip;Chip</v>
      </c>
      <c r="C6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6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6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7" spans="1:5" ht="16.5" x14ac:dyDescent="0.3">
      <c r="A7" s="4">
        <v>120</v>
      </c>
      <c r="B7" s="25" t="str">
        <f t="shared" ca="1" si="1"/>
        <v>10;10;10;1;1;1;1;1;1;1;1;1;1;1|23;23;18;2;2;2;2;2;2;2;2;2;2;2|1001;1002;1003;100001;100002;100003;100004;100005;100006;100007;100008;100009;100010;100011|Stuff;Stuff;Stuff;Chip;Chip;Chip;Chip;Chip;Chip;Chip;Chip;Chip;Chip;Chip</v>
      </c>
      <c r="C7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7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7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8" spans="1:5" ht="16.5" x14ac:dyDescent="0.3">
      <c r="A8" s="4">
        <v>150</v>
      </c>
      <c r="B8" s="25" t="str">
        <f t="shared" ca="1" si="1"/>
        <v>10;10;10;1;1;1;1;1;1;1;1;1;1;1|23;23;18;2;2;2;2;2;2;2;2;2;2;2|1001;1002;1003;100001;100002;100003;100004;100005;100006;100007;100008;100009;100010;100011|Stuff;Stuff;Stuff;Chip;Chip;Chip;Chip;Chip;Chip;Chip;Chip;Chip;Chip;Chip</v>
      </c>
      <c r="C8" s="25" t="str">
        <f t="shared" ca="1" si="0"/>
        <v>15;15;15;1;1;1;1;1;1;1;1;1;1;1|19;19;15;2;2;2;2;2;2;2;2;2;2;2|1001;1002;1003;100001;100002;100003;100004;100005;100006;100007;100008;100009;100010;100011|Stuff;Stuff;Stuff;Chip;Chip;Chip;Chip;Chip;Chip;Chip;Chip;Chip;Chip;Chip</v>
      </c>
      <c r="D8" s="25" t="str">
        <f t="shared" ca="1" si="0"/>
        <v>20;20;20;1;1;1;1;1;1;1;1;1;1;1|19;19;15;5;5;5;5;5;5;5;5;5;5;5|1001;1002;1003;100001;100002;100003;100004;100005;100006;100007;100008;100009;100010;100011|Stuff;Stuff;Stuff;Chip;Chip;Chip;Chip;Chip;Chip;Chip;Chip;Chip;Chip;Chip</v>
      </c>
      <c r="E8" s="25" t="str">
        <f t="shared" ca="1" si="0"/>
        <v>30;30;30;1;1;1;1;1;1;1;1;1;1;1|0;0;0;4;4;4;4;4;4;4;4;4;4;4|1001;1002;1003;100001;100002;100003;100004;100005;100006;100007;100008;100009;100010;100011|Stuff;Stuff;Stuff;Chip;Chip;Chip;Chip;Chip;Chip;Chip;Chip;Chip;Chip;Chip</v>
      </c>
    </row>
    <row r="9" spans="1:5" ht="16.5" x14ac:dyDescent="0.3">
      <c r="A9" s="4">
        <v>180</v>
      </c>
      <c r="B9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9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9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9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0" spans="1:5" ht="16.5" x14ac:dyDescent="0.3">
      <c r="A10" s="4">
        <v>210</v>
      </c>
      <c r="B10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0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0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0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1" spans="1:5" ht="16.5" x14ac:dyDescent="0.3">
      <c r="A11" s="4">
        <v>240</v>
      </c>
      <c r="B11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1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1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1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2" spans="1:5" ht="16.5" x14ac:dyDescent="0.3">
      <c r="A12" s="4">
        <v>270</v>
      </c>
      <c r="B12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2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2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2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3" spans="1:5" ht="16.5" x14ac:dyDescent="0.3">
      <c r="A13" s="4">
        <v>300</v>
      </c>
      <c r="B13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3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3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3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4" spans="1:5" ht="16.5" x14ac:dyDescent="0.3">
      <c r="A14" s="4">
        <v>330</v>
      </c>
      <c r="B14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4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4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4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5" spans="1:5" ht="16.5" x14ac:dyDescent="0.3">
      <c r="A15" s="4">
        <v>360</v>
      </c>
      <c r="B15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5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5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5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6" spans="1:5" ht="16.5" x14ac:dyDescent="0.3">
      <c r="A16" s="4">
        <v>390</v>
      </c>
      <c r="B16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6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6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6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7" spans="1:5" ht="16.5" x14ac:dyDescent="0.3">
      <c r="A17" s="4">
        <v>420</v>
      </c>
      <c r="B17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7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7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7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8" spans="1:5" ht="16.5" x14ac:dyDescent="0.3">
      <c r="A18" s="4">
        <v>450</v>
      </c>
      <c r="B18" s="25" t="str">
        <f t="shared" ca="1" si="1"/>
        <v>10;10;10;1;1;1;1;1;1;1;1;1;1;1|23;23;18;2;2;2;2;2;2;2;2;2;2;2|1001;1002;1003;100101;100102;100103;100104;100105;100106;100107;100108;100109;100110;100111|Stuff;Stuff;Stuff;Chip;Chip;Chip;Chip;Chip;Chip;Chip;Chip;Chip;Chip;Chip</v>
      </c>
      <c r="C18" s="25" t="str">
        <f t="shared" ca="1" si="0"/>
        <v>15;15;15;1;1;1;1;1;1;1;1;1;1;1|19;19;15;2;2;2;2;2;2;2;2;2;2;2|1001;1002;1003;100101;100102;100103;100104;100105;100106;100107;100108;100109;100110;100111|Stuff;Stuff;Stuff;Chip;Chip;Chip;Chip;Chip;Chip;Chip;Chip;Chip;Chip;Chip</v>
      </c>
      <c r="D18" s="25" t="str">
        <f t="shared" ca="1" si="0"/>
        <v>20;20;20;1;1;1;1;1;1;1;1;1;1;1|19;19;15;5;5;5;5;5;5;5;5;5;5;5|1001;1002;1003;100101;100102;100103;100104;100105;100106;100107;100108;100109;100110;100111|Stuff;Stuff;Stuff;Chip;Chip;Chip;Chip;Chip;Chip;Chip;Chip;Chip;Chip;Chip</v>
      </c>
      <c r="E18" s="25" t="str">
        <f t="shared" ca="1" si="0"/>
        <v>30;30;30;1;1;1;1;1;1;1;1;1;1;1|0;0;0;4;4;4;4;4;4;4;4;4;4;4|1001;1002;1003;100101;100102;100103;100104;100105;100106;100107;100108;100109;100110;100111|Stuff;Stuff;Stuff;Chip;Chip;Chip;Chip;Chip;Chip;Chip;Chip;Chip;Chip;Chip</v>
      </c>
    </row>
    <row r="19" spans="1:5" ht="16.5" x14ac:dyDescent="0.3">
      <c r="A19" s="4">
        <v>480</v>
      </c>
      <c r="B19" s="25" t="str">
        <f ca="1">E18</f>
        <v>30;30;30;1;1;1;1;1;1;1;1;1;1;1|0;0;0;4;4;4;4;4;4;4;4;4;4;4|1001;1002;1003;100101;100102;100103;100104;100105;100106;100107;100108;100109;100110;100111|Stuff;Stuff;Stuff;Chip;Chip;Chip;Chip;Chip;Chip;Chip;Chip;Chip;Chip;Chip</v>
      </c>
      <c r="C19" s="25" t="str">
        <f ca="1">B19</f>
        <v>30;30;30;1;1;1;1;1;1;1;1;1;1;1|0;0;0;4;4;4;4;4;4;4;4;4;4;4|1001;1002;1003;100101;100102;100103;100104;100105;100106;100107;100108;100109;100110;100111|Stuff;Stuff;Stuff;Chip;Chip;Chip;Chip;Chip;Chip;Chip;Chip;Chip;Chip;Chip</v>
      </c>
      <c r="D19" s="25" t="str">
        <f ca="1">B19</f>
        <v>30;30;30;1;1;1;1;1;1;1;1;1;1;1|0;0;0;4;4;4;4;4;4;4;4;4;4;4|1001;1002;1003;100101;100102;100103;100104;100105;100106;100107;100108;100109;100110;100111|Stuff;Stuff;Stuff;Chip;Chip;Chip;Chip;Chip;Chip;Chip;Chip;Chip;Chip;Chip</v>
      </c>
      <c r="E19" s="25" t="str">
        <f ca="1">B19</f>
        <v>30;30;30;1;1;1;1;1;1;1;1;1;1;1|0;0;0;4;4;4;4;4;4;4;4;4;4;4|1001;1002;1003;100101;100102;100103;100104;100105;100106;100107;100108;100109;100110;100111|Stuff;Stuff;Stuff;Chip;Chip;Chip;Chip;Chip;Chip;Chip;Chip;Chip;Chip;Chip</v>
      </c>
    </row>
    <row r="20" spans="1:5" ht="16.5" x14ac:dyDescent="0.3">
      <c r="A20" s="4">
        <v>510</v>
      </c>
      <c r="B20" s="25" t="str">
        <f ca="1">E18</f>
        <v>30;30;30;1;1;1;1;1;1;1;1;1;1;1|0;0;0;4;4;4;4;4;4;4;4;4;4;4|1001;1002;1003;100101;100102;100103;100104;100105;100106;100107;100108;100109;100110;100111|Stuff;Stuff;Stuff;Chip;Chip;Chip;Chip;Chip;Chip;Chip;Chip;Chip;Chip;Chip</v>
      </c>
      <c r="C20" s="25" t="str">
        <f ca="1">B20</f>
        <v>30;30;30;1;1;1;1;1;1;1;1;1;1;1|0;0;0;4;4;4;4;4;4;4;4;4;4;4|1001;1002;1003;100101;100102;100103;100104;100105;100106;100107;100108;100109;100110;100111|Stuff;Stuff;Stuff;Chip;Chip;Chip;Chip;Chip;Chip;Chip;Chip;Chip;Chip;Chip</v>
      </c>
      <c r="D20" s="25" t="str">
        <f ca="1">B20</f>
        <v>30;30;30;1;1;1;1;1;1;1;1;1;1;1|0;0;0;4;4;4;4;4;4;4;4;4;4;4|1001;1002;1003;100101;100102;100103;100104;100105;100106;100107;100108;100109;100110;100111|Stuff;Stuff;Stuff;Chip;Chip;Chip;Chip;Chip;Chip;Chip;Chip;Chip;Chip;Chip</v>
      </c>
      <c r="E20" s="25" t="str">
        <f ca="1">B20</f>
        <v>30;30;30;1;1;1;1;1;1;1;1;1;1;1|0;0;0;4;4;4;4;4;4;4;4;4;4;4|1001;1002;1003;100101;100102;100103;100104;100105;100106;100107;100108;100109;100110;100111|Stuff;Stuff;Stuff;Chip;Chip;Chip;Chip;Chip;Chip;Chip;Chip;Chip;Chip;Chip</v>
      </c>
    </row>
    <row r="22" spans="1:5" x14ac:dyDescent="0.2">
      <c r="B22">
        <f>COLUMN()</f>
        <v>2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62"/>
  <sheetViews>
    <sheetView showGridLines="0" workbookViewId="0">
      <selection activeCell="T21" sqref="T21"/>
    </sheetView>
  </sheetViews>
  <sheetFormatPr defaultRowHeight="16.5" x14ac:dyDescent="0.3"/>
  <cols>
    <col min="1" max="19" width="9" style="1"/>
    <col min="20" max="20" width="55.125" style="1" customWidth="1"/>
    <col min="21" max="16384" width="9" style="1"/>
  </cols>
  <sheetData>
    <row r="1" spans="1:20" x14ac:dyDescent="0.3">
      <c r="A1" s="34" t="s">
        <v>161</v>
      </c>
      <c r="B1" s="33">
        <v>1001</v>
      </c>
      <c r="C1" s="33"/>
      <c r="D1" s="33">
        <v>1002</v>
      </c>
      <c r="E1" s="33"/>
      <c r="F1" s="33">
        <v>1003</v>
      </c>
      <c r="G1" s="33"/>
      <c r="L1" s="1" t="s">
        <v>168</v>
      </c>
      <c r="P1" s="29" t="s">
        <v>166</v>
      </c>
      <c r="Q1" s="29"/>
      <c r="R1" s="29"/>
      <c r="S1" s="29"/>
      <c r="T1" s="29"/>
    </row>
    <row r="2" spans="1:20" x14ac:dyDescent="0.3">
      <c r="A2" s="34"/>
      <c r="B2" s="27" t="s">
        <v>158</v>
      </c>
      <c r="C2" s="27" t="s">
        <v>159</v>
      </c>
      <c r="D2" s="27" t="s">
        <v>158</v>
      </c>
      <c r="E2" s="27" t="s">
        <v>159</v>
      </c>
      <c r="F2" s="27" t="s">
        <v>158</v>
      </c>
      <c r="G2" s="27" t="s">
        <v>159</v>
      </c>
      <c r="L2" s="1">
        <v>100001</v>
      </c>
      <c r="P2" s="26" t="s">
        <v>161</v>
      </c>
      <c r="Q2" s="26" t="s">
        <v>158</v>
      </c>
      <c r="R2" s="26" t="s">
        <v>160</v>
      </c>
      <c r="S2" s="26" t="s">
        <v>158</v>
      </c>
      <c r="T2" s="26" t="s">
        <v>167</v>
      </c>
    </row>
    <row r="3" spans="1:20" x14ac:dyDescent="0.3">
      <c r="A3" s="25" t="s">
        <v>162</v>
      </c>
      <c r="B3" s="25">
        <v>5</v>
      </c>
      <c r="C3" s="25">
        <v>10</v>
      </c>
      <c r="D3" s="25">
        <v>5</v>
      </c>
      <c r="E3" s="25">
        <v>10</v>
      </c>
      <c r="F3" s="25">
        <v>4</v>
      </c>
      <c r="G3" s="25">
        <v>10</v>
      </c>
      <c r="L3" s="1">
        <v>100002</v>
      </c>
      <c r="P3" s="25" t="s">
        <v>162</v>
      </c>
      <c r="Q3" s="25">
        <v>6</v>
      </c>
      <c r="R3" s="25" t="s">
        <v>182</v>
      </c>
      <c r="S3" s="25">
        <v>2</v>
      </c>
      <c r="T3" s="25" t="s">
        <v>204</v>
      </c>
    </row>
    <row r="4" spans="1:20" x14ac:dyDescent="0.3">
      <c r="A4" s="24" t="s">
        <v>163</v>
      </c>
      <c r="B4" s="24">
        <v>5</v>
      </c>
      <c r="C4" s="24">
        <v>15</v>
      </c>
      <c r="D4" s="24">
        <v>5</v>
      </c>
      <c r="E4" s="24">
        <v>15</v>
      </c>
      <c r="F4" s="24">
        <v>4</v>
      </c>
      <c r="G4" s="24">
        <v>15</v>
      </c>
      <c r="L4" s="1">
        <v>100003</v>
      </c>
      <c r="P4" s="25" t="s">
        <v>163</v>
      </c>
      <c r="Q4" s="24">
        <v>5</v>
      </c>
      <c r="R4" s="25" t="s">
        <v>182</v>
      </c>
      <c r="S4" s="24">
        <v>2</v>
      </c>
      <c r="T4" s="24" t="s">
        <v>205</v>
      </c>
    </row>
    <row r="5" spans="1:20" x14ac:dyDescent="0.3">
      <c r="A5" s="24" t="s">
        <v>164</v>
      </c>
      <c r="B5" s="24">
        <v>5</v>
      </c>
      <c r="C5" s="24">
        <v>20</v>
      </c>
      <c r="D5" s="24">
        <v>5</v>
      </c>
      <c r="E5" s="24">
        <v>20</v>
      </c>
      <c r="F5" s="24">
        <v>4</v>
      </c>
      <c r="G5" s="24">
        <v>20</v>
      </c>
      <c r="L5" s="1">
        <v>100004</v>
      </c>
      <c r="P5" s="25" t="s">
        <v>164</v>
      </c>
      <c r="Q5" s="24">
        <v>5</v>
      </c>
      <c r="R5" s="25" t="s">
        <v>182</v>
      </c>
      <c r="S5" s="24">
        <v>5</v>
      </c>
      <c r="T5" s="24" t="s">
        <v>206</v>
      </c>
    </row>
    <row r="6" spans="1:20" x14ac:dyDescent="0.3">
      <c r="A6" s="24" t="s">
        <v>169</v>
      </c>
      <c r="B6" s="24">
        <v>5</v>
      </c>
      <c r="C6" s="24">
        <v>30</v>
      </c>
      <c r="D6" s="24">
        <v>5</v>
      </c>
      <c r="E6" s="24">
        <v>30</v>
      </c>
      <c r="F6" s="24">
        <v>4</v>
      </c>
      <c r="G6" s="24">
        <v>30</v>
      </c>
      <c r="L6" s="1">
        <v>100005</v>
      </c>
      <c r="P6" s="25" t="s">
        <v>181</v>
      </c>
      <c r="Q6" s="24">
        <v>0</v>
      </c>
      <c r="R6" s="25" t="s">
        <v>182</v>
      </c>
      <c r="S6" s="24">
        <v>4</v>
      </c>
      <c r="T6" s="24" t="s">
        <v>207</v>
      </c>
    </row>
    <row r="7" spans="1:20" x14ac:dyDescent="0.3">
      <c r="L7" s="1">
        <v>100006</v>
      </c>
      <c r="P7" s="25" t="s">
        <v>162</v>
      </c>
      <c r="Q7" s="25">
        <f>Q3</f>
        <v>6</v>
      </c>
      <c r="R7" s="24" t="s">
        <v>184</v>
      </c>
      <c r="S7" s="25">
        <f>S3</f>
        <v>2</v>
      </c>
      <c r="T7" s="24" t="s">
        <v>208</v>
      </c>
    </row>
    <row r="8" spans="1:20" x14ac:dyDescent="0.3">
      <c r="L8" s="1">
        <v>100007</v>
      </c>
      <c r="P8" s="25" t="s">
        <v>163</v>
      </c>
      <c r="Q8" s="25">
        <f t="shared" ref="Q8:Q62" si="0">Q4</f>
        <v>5</v>
      </c>
      <c r="R8" s="24" t="s">
        <v>184</v>
      </c>
      <c r="S8" s="25">
        <f t="shared" ref="S8:S62" si="1">S4</f>
        <v>2</v>
      </c>
      <c r="T8" s="24" t="s">
        <v>209</v>
      </c>
    </row>
    <row r="9" spans="1:20" x14ac:dyDescent="0.3">
      <c r="L9" s="1">
        <v>100008</v>
      </c>
      <c r="P9" s="25" t="s">
        <v>164</v>
      </c>
      <c r="Q9" s="25">
        <f t="shared" si="0"/>
        <v>5</v>
      </c>
      <c r="R9" s="24" t="s">
        <v>184</v>
      </c>
      <c r="S9" s="25">
        <f t="shared" si="1"/>
        <v>5</v>
      </c>
      <c r="T9" s="24" t="s">
        <v>210</v>
      </c>
    </row>
    <row r="10" spans="1:20" x14ac:dyDescent="0.3">
      <c r="L10" s="1">
        <v>100009</v>
      </c>
      <c r="P10" s="25" t="s">
        <v>181</v>
      </c>
      <c r="Q10" s="25">
        <f t="shared" si="0"/>
        <v>0</v>
      </c>
      <c r="R10" s="24" t="s">
        <v>184</v>
      </c>
      <c r="S10" s="25">
        <f t="shared" si="1"/>
        <v>4</v>
      </c>
      <c r="T10" s="24" t="s">
        <v>211</v>
      </c>
    </row>
    <row r="11" spans="1:20" x14ac:dyDescent="0.3">
      <c r="L11" s="1">
        <v>100010</v>
      </c>
      <c r="P11" s="24" t="str">
        <f>P7</f>
        <v>组合1</v>
      </c>
      <c r="Q11" s="25">
        <f t="shared" si="0"/>
        <v>6</v>
      </c>
      <c r="R11" s="24" t="s">
        <v>200</v>
      </c>
      <c r="S11" s="25">
        <f t="shared" si="1"/>
        <v>2</v>
      </c>
      <c r="T11" s="24" t="s">
        <v>208</v>
      </c>
    </row>
    <row r="12" spans="1:20" x14ac:dyDescent="0.3">
      <c r="L12" s="1">
        <v>100011</v>
      </c>
      <c r="P12" s="24" t="str">
        <f t="shared" ref="P12:P62" si="2">P8</f>
        <v>组合2</v>
      </c>
      <c r="Q12" s="25">
        <f t="shared" si="0"/>
        <v>5</v>
      </c>
      <c r="R12" s="24" t="s">
        <v>200</v>
      </c>
      <c r="S12" s="25">
        <f t="shared" si="1"/>
        <v>2</v>
      </c>
      <c r="T12" s="24" t="s">
        <v>209</v>
      </c>
    </row>
    <row r="13" spans="1:20" x14ac:dyDescent="0.3">
      <c r="L13" s="1">
        <v>100101</v>
      </c>
      <c r="P13" s="24" t="str">
        <f t="shared" si="2"/>
        <v>组合3</v>
      </c>
      <c r="Q13" s="25">
        <f t="shared" si="0"/>
        <v>5</v>
      </c>
      <c r="R13" s="24" t="s">
        <v>200</v>
      </c>
      <c r="S13" s="25">
        <f t="shared" si="1"/>
        <v>5</v>
      </c>
      <c r="T13" s="24" t="s">
        <v>210</v>
      </c>
    </row>
    <row r="14" spans="1:20" x14ac:dyDescent="0.3">
      <c r="L14" s="1">
        <v>100102</v>
      </c>
      <c r="P14" s="24" t="str">
        <f t="shared" si="2"/>
        <v>组合4</v>
      </c>
      <c r="Q14" s="25">
        <f t="shared" si="0"/>
        <v>0</v>
      </c>
      <c r="R14" s="24" t="s">
        <v>200</v>
      </c>
      <c r="S14" s="25">
        <f t="shared" si="1"/>
        <v>4</v>
      </c>
      <c r="T14" s="24" t="s">
        <v>211</v>
      </c>
    </row>
    <row r="15" spans="1:20" x14ac:dyDescent="0.3">
      <c r="A15" s="30" t="s">
        <v>165</v>
      </c>
      <c r="B15" s="31"/>
      <c r="C15" s="31"/>
      <c r="D15" s="31"/>
      <c r="E15" s="31"/>
      <c r="F15" s="31"/>
      <c r="G15" s="31"/>
      <c r="H15" s="31"/>
      <c r="I15" s="31"/>
      <c r="J15" s="31"/>
      <c r="K15" s="32"/>
      <c r="L15" s="1">
        <v>100103</v>
      </c>
      <c r="P15" s="24" t="str">
        <f t="shared" si="2"/>
        <v>组合1</v>
      </c>
      <c r="Q15" s="25">
        <f t="shared" si="0"/>
        <v>6</v>
      </c>
      <c r="R15" s="24" t="s">
        <v>187</v>
      </c>
      <c r="S15" s="25">
        <f t="shared" si="1"/>
        <v>2</v>
      </c>
      <c r="T15" s="24" t="s">
        <v>208</v>
      </c>
    </row>
    <row r="16" spans="1:20" x14ac:dyDescent="0.3">
      <c r="A16" s="24" t="s">
        <v>183</v>
      </c>
      <c r="B16" s="35" t="str">
        <f ca="1">[1]!连接单元格($L$2:$L$12,";")</f>
        <v>100001;100002;100003;100004;100005;100006;100007;100008;100009;100010;100011</v>
      </c>
      <c r="C16" s="35"/>
      <c r="D16" s="35"/>
      <c r="E16" s="35"/>
      <c r="F16" s="35"/>
      <c r="G16" s="35"/>
      <c r="H16" s="35"/>
      <c r="I16" s="35"/>
      <c r="J16" s="35"/>
      <c r="K16" s="35"/>
      <c r="L16" s="1">
        <v>100104</v>
      </c>
      <c r="P16" s="24" t="str">
        <f t="shared" si="2"/>
        <v>组合2</v>
      </c>
      <c r="Q16" s="25">
        <f t="shared" si="0"/>
        <v>5</v>
      </c>
      <c r="R16" s="24" t="s">
        <v>187</v>
      </c>
      <c r="S16" s="25">
        <f t="shared" si="1"/>
        <v>2</v>
      </c>
      <c r="T16" s="24" t="s">
        <v>209</v>
      </c>
    </row>
    <row r="17" spans="1:20" x14ac:dyDescent="0.3">
      <c r="A17" s="24" t="s">
        <v>185</v>
      </c>
      <c r="B17" s="35" t="str">
        <f ca="1">[1]!连接单元格($L$2:$L$12,";")</f>
        <v>100001;100002;100003;100004;100005;100006;100007;100008;100009;100010;100011</v>
      </c>
      <c r="C17" s="35"/>
      <c r="D17" s="35"/>
      <c r="E17" s="35"/>
      <c r="F17" s="35"/>
      <c r="G17" s="35"/>
      <c r="H17" s="35"/>
      <c r="I17" s="35"/>
      <c r="J17" s="35"/>
      <c r="K17" s="35"/>
      <c r="L17" s="1">
        <v>100105</v>
      </c>
      <c r="P17" s="24" t="str">
        <f t="shared" si="2"/>
        <v>组合3</v>
      </c>
      <c r="Q17" s="25">
        <f t="shared" si="0"/>
        <v>5</v>
      </c>
      <c r="R17" s="24" t="s">
        <v>187</v>
      </c>
      <c r="S17" s="25">
        <f t="shared" si="1"/>
        <v>5</v>
      </c>
      <c r="T17" s="24" t="s">
        <v>210</v>
      </c>
    </row>
    <row r="18" spans="1:20" x14ac:dyDescent="0.3">
      <c r="A18" s="24" t="s">
        <v>186</v>
      </c>
      <c r="B18" s="35" t="str">
        <f ca="1">[1]!连接单元格($L$2:$L$12,";")</f>
        <v>100001;100002;100003;100004;100005;100006;100007;100008;100009;100010;100011</v>
      </c>
      <c r="C18" s="35"/>
      <c r="D18" s="35"/>
      <c r="E18" s="35"/>
      <c r="F18" s="35"/>
      <c r="G18" s="35"/>
      <c r="H18" s="35"/>
      <c r="I18" s="35"/>
      <c r="J18" s="35"/>
      <c r="K18" s="35"/>
      <c r="L18" s="1">
        <v>100106</v>
      </c>
      <c r="P18" s="24" t="str">
        <f t="shared" si="2"/>
        <v>组合4</v>
      </c>
      <c r="Q18" s="25">
        <f t="shared" si="0"/>
        <v>0</v>
      </c>
      <c r="R18" s="24" t="s">
        <v>187</v>
      </c>
      <c r="S18" s="25">
        <f t="shared" si="1"/>
        <v>4</v>
      </c>
      <c r="T18" s="24" t="s">
        <v>211</v>
      </c>
    </row>
    <row r="19" spans="1:20" x14ac:dyDescent="0.3">
      <c r="A19" s="24" t="s">
        <v>187</v>
      </c>
      <c r="B19" s="35" t="str">
        <f ca="1">[1]!连接单元格($L$2:$L$12,";")</f>
        <v>100001;100002;100003;100004;100005;100006;100007;100008;100009;100010;100011</v>
      </c>
      <c r="C19" s="35"/>
      <c r="D19" s="35"/>
      <c r="E19" s="35"/>
      <c r="F19" s="35"/>
      <c r="G19" s="35"/>
      <c r="H19" s="35"/>
      <c r="I19" s="35"/>
      <c r="J19" s="35"/>
      <c r="K19" s="35"/>
      <c r="L19" s="1">
        <v>100107</v>
      </c>
      <c r="P19" s="24" t="str">
        <f t="shared" si="2"/>
        <v>组合1</v>
      </c>
      <c r="Q19" s="25">
        <f t="shared" si="0"/>
        <v>6</v>
      </c>
      <c r="R19" s="24" t="s">
        <v>201</v>
      </c>
      <c r="S19" s="25">
        <f t="shared" si="1"/>
        <v>2</v>
      </c>
      <c r="T19" s="24" t="s">
        <v>208</v>
      </c>
    </row>
    <row r="20" spans="1:20" x14ac:dyDescent="0.3">
      <c r="A20" s="24" t="s">
        <v>188</v>
      </c>
      <c r="B20" s="35" t="str">
        <f ca="1">[1]!连接单元格($L$2:$L$12,";")</f>
        <v>100001;100002;100003;100004;100005;100006;100007;100008;100009;100010;100011</v>
      </c>
      <c r="C20" s="35"/>
      <c r="D20" s="35"/>
      <c r="E20" s="35"/>
      <c r="F20" s="35"/>
      <c r="G20" s="35"/>
      <c r="H20" s="35"/>
      <c r="I20" s="35"/>
      <c r="J20" s="35"/>
      <c r="K20" s="35"/>
      <c r="L20" s="1">
        <v>100108</v>
      </c>
      <c r="P20" s="24" t="str">
        <f t="shared" si="2"/>
        <v>组合2</v>
      </c>
      <c r="Q20" s="25">
        <f t="shared" si="0"/>
        <v>5</v>
      </c>
      <c r="R20" s="24" t="s">
        <v>201</v>
      </c>
      <c r="S20" s="25">
        <f t="shared" si="1"/>
        <v>2</v>
      </c>
      <c r="T20" s="1" t="s">
        <v>209</v>
      </c>
    </row>
    <row r="21" spans="1:20" x14ac:dyDescent="0.3">
      <c r="A21" s="24" t="s">
        <v>189</v>
      </c>
      <c r="B21" s="35" t="str">
        <f ca="1">[1]!连接单元格($L$13:$L$23,";")</f>
        <v>100101;100102;100103;100104;100105;100106;100107;100108;100109;100110;100111</v>
      </c>
      <c r="C21" s="35"/>
      <c r="D21" s="35"/>
      <c r="E21" s="35"/>
      <c r="F21" s="35"/>
      <c r="G21" s="35"/>
      <c r="H21" s="35"/>
      <c r="I21" s="35"/>
      <c r="J21" s="35"/>
      <c r="K21" s="35"/>
      <c r="L21" s="1">
        <v>100109</v>
      </c>
      <c r="P21" s="24" t="str">
        <f t="shared" si="2"/>
        <v>组合3</v>
      </c>
      <c r="Q21" s="25">
        <f t="shared" si="0"/>
        <v>5</v>
      </c>
      <c r="R21" s="24" t="s">
        <v>201</v>
      </c>
      <c r="S21" s="25">
        <f t="shared" si="1"/>
        <v>5</v>
      </c>
      <c r="T21" s="1" t="s">
        <v>210</v>
      </c>
    </row>
    <row r="22" spans="1:20" x14ac:dyDescent="0.3">
      <c r="A22" s="24" t="s">
        <v>190</v>
      </c>
      <c r="B22" s="35" t="str">
        <f ca="1">[1]!连接单元格($L$13:$L$23,";")</f>
        <v>100101;100102;100103;100104;100105;100106;100107;100108;100109;100110;100111</v>
      </c>
      <c r="C22" s="35"/>
      <c r="D22" s="35"/>
      <c r="E22" s="35"/>
      <c r="F22" s="35"/>
      <c r="G22" s="35"/>
      <c r="H22" s="35"/>
      <c r="I22" s="35"/>
      <c r="J22" s="35"/>
      <c r="K22" s="35"/>
      <c r="L22" s="1">
        <v>100110</v>
      </c>
      <c r="P22" s="24" t="str">
        <f t="shared" si="2"/>
        <v>组合4</v>
      </c>
      <c r="Q22" s="25">
        <f t="shared" si="0"/>
        <v>0</v>
      </c>
      <c r="R22" s="24" t="s">
        <v>201</v>
      </c>
      <c r="S22" s="25">
        <f t="shared" si="1"/>
        <v>4</v>
      </c>
      <c r="T22" s="1" t="s">
        <v>211</v>
      </c>
    </row>
    <row r="23" spans="1:20" x14ac:dyDescent="0.3">
      <c r="A23" s="24" t="s">
        <v>191</v>
      </c>
      <c r="B23" s="35" t="str">
        <f ca="1">[1]!连接单元格($L$13:$L$23,";")</f>
        <v>100101;100102;100103;100104;100105;100106;100107;100108;100109;100110;100111</v>
      </c>
      <c r="C23" s="35"/>
      <c r="D23" s="35"/>
      <c r="E23" s="35"/>
      <c r="F23" s="35"/>
      <c r="G23" s="35"/>
      <c r="H23" s="35"/>
      <c r="I23" s="35"/>
      <c r="J23" s="35"/>
      <c r="K23" s="35"/>
      <c r="L23" s="1">
        <v>100111</v>
      </c>
      <c r="P23" s="24" t="str">
        <f t="shared" si="2"/>
        <v>组合1</v>
      </c>
      <c r="Q23" s="25">
        <f t="shared" si="0"/>
        <v>6</v>
      </c>
      <c r="R23" s="1" t="s">
        <v>202</v>
      </c>
      <c r="S23" s="25">
        <f t="shared" si="1"/>
        <v>2</v>
      </c>
      <c r="T23" s="1" t="s">
        <v>212</v>
      </c>
    </row>
    <row r="24" spans="1:20" x14ac:dyDescent="0.3">
      <c r="A24" s="24" t="s">
        <v>192</v>
      </c>
      <c r="B24" s="35" t="str">
        <f ca="1">[1]!连接单元格($L$13:$L$23,";")</f>
        <v>100101;100102;100103;100104;100105;100106;100107;100108;100109;100110;100111</v>
      </c>
      <c r="C24" s="35"/>
      <c r="D24" s="35"/>
      <c r="E24" s="35"/>
      <c r="F24" s="35"/>
      <c r="G24" s="35"/>
      <c r="H24" s="35"/>
      <c r="I24" s="35"/>
      <c r="J24" s="35"/>
      <c r="K24" s="35"/>
      <c r="P24" s="24" t="str">
        <f t="shared" si="2"/>
        <v>组合2</v>
      </c>
      <c r="Q24" s="25">
        <f t="shared" si="0"/>
        <v>5</v>
      </c>
      <c r="R24" s="1" t="s">
        <v>202</v>
      </c>
      <c r="S24" s="25">
        <f t="shared" si="1"/>
        <v>2</v>
      </c>
      <c r="T24" s="1" t="s">
        <v>213</v>
      </c>
    </row>
    <row r="25" spans="1:20" x14ac:dyDescent="0.3">
      <c r="A25" s="24" t="s">
        <v>193</v>
      </c>
      <c r="B25" s="35" t="str">
        <f ca="1">[1]!连接单元格($L$13:$L$23,";")</f>
        <v>100101;100102;100103;100104;100105;100106;100107;100108;100109;100110;100111</v>
      </c>
      <c r="C25" s="35"/>
      <c r="D25" s="35"/>
      <c r="E25" s="35"/>
      <c r="F25" s="35"/>
      <c r="G25" s="35"/>
      <c r="H25" s="35"/>
      <c r="I25" s="35"/>
      <c r="J25" s="35"/>
      <c r="K25" s="35"/>
      <c r="P25" s="24" t="str">
        <f t="shared" si="2"/>
        <v>组合3</v>
      </c>
      <c r="Q25" s="25">
        <f t="shared" si="0"/>
        <v>5</v>
      </c>
      <c r="R25" s="1" t="s">
        <v>202</v>
      </c>
      <c r="S25" s="25">
        <f t="shared" si="1"/>
        <v>5</v>
      </c>
      <c r="T25" s="1" t="s">
        <v>214</v>
      </c>
    </row>
    <row r="26" spans="1:20" x14ac:dyDescent="0.3">
      <c r="A26" s="24" t="s">
        <v>194</v>
      </c>
      <c r="B26" s="35" t="str">
        <f ca="1">[1]!连接单元格($L$13:$L$23,";")</f>
        <v>100101;100102;100103;100104;100105;100106;100107;100108;100109;100110;100111</v>
      </c>
      <c r="C26" s="35"/>
      <c r="D26" s="35"/>
      <c r="E26" s="35"/>
      <c r="F26" s="35"/>
      <c r="G26" s="35"/>
      <c r="H26" s="35"/>
      <c r="I26" s="35"/>
      <c r="J26" s="35"/>
      <c r="K26" s="35"/>
      <c r="P26" s="24" t="str">
        <f t="shared" si="2"/>
        <v>组合4</v>
      </c>
      <c r="Q26" s="25">
        <f t="shared" si="0"/>
        <v>0</v>
      </c>
      <c r="R26" s="1" t="s">
        <v>202</v>
      </c>
      <c r="S26" s="25">
        <f t="shared" si="1"/>
        <v>4</v>
      </c>
      <c r="T26" s="1" t="s">
        <v>215</v>
      </c>
    </row>
    <row r="27" spans="1:20" x14ac:dyDescent="0.3">
      <c r="A27" s="24" t="s">
        <v>195</v>
      </c>
      <c r="B27" s="35" t="str">
        <f ca="1">[1]!连接单元格($L$13:$L$23,";")</f>
        <v>100101;100102;100103;100104;100105;100106;100107;100108;100109;100110;100111</v>
      </c>
      <c r="C27" s="35"/>
      <c r="D27" s="35"/>
      <c r="E27" s="35"/>
      <c r="F27" s="35"/>
      <c r="G27" s="35"/>
      <c r="H27" s="35"/>
      <c r="I27" s="35"/>
      <c r="J27" s="35"/>
      <c r="K27" s="35"/>
      <c r="P27" s="24" t="str">
        <f t="shared" si="2"/>
        <v>组合1</v>
      </c>
      <c r="Q27" s="25">
        <f t="shared" si="0"/>
        <v>6</v>
      </c>
      <c r="R27" s="1" t="s">
        <v>190</v>
      </c>
      <c r="S27" s="25">
        <f t="shared" si="1"/>
        <v>2</v>
      </c>
      <c r="T27" s="1" t="s">
        <v>212</v>
      </c>
    </row>
    <row r="28" spans="1:20" x14ac:dyDescent="0.3">
      <c r="A28" s="24" t="s">
        <v>203</v>
      </c>
      <c r="B28" s="35" t="str">
        <f ca="1">[1]!连接单元格($L$13:$L$23,";")</f>
        <v>100101;100102;100103;100104;100105;100106;100107;100108;100109;100110;100111</v>
      </c>
      <c r="C28" s="35"/>
      <c r="D28" s="35"/>
      <c r="E28" s="35"/>
      <c r="F28" s="35"/>
      <c r="G28" s="35"/>
      <c r="H28" s="35"/>
      <c r="I28" s="35"/>
      <c r="J28" s="35"/>
      <c r="K28" s="35"/>
      <c r="P28" s="24" t="str">
        <f t="shared" si="2"/>
        <v>组合2</v>
      </c>
      <c r="Q28" s="25">
        <f t="shared" si="0"/>
        <v>5</v>
      </c>
      <c r="R28" s="1" t="s">
        <v>190</v>
      </c>
      <c r="S28" s="25">
        <f t="shared" si="1"/>
        <v>2</v>
      </c>
      <c r="T28" s="1" t="s">
        <v>213</v>
      </c>
    </row>
    <row r="29" spans="1:20" x14ac:dyDescent="0.3">
      <c r="A29" s="24" t="s">
        <v>197</v>
      </c>
      <c r="B29" s="35" t="str">
        <f ca="1">[1]!连接单元格($L$13:$L$23,";")</f>
        <v>100101;100102;100103;100104;100105;100106;100107;100108;100109;100110;100111</v>
      </c>
      <c r="C29" s="35"/>
      <c r="D29" s="35"/>
      <c r="E29" s="35"/>
      <c r="F29" s="35"/>
      <c r="G29" s="35"/>
      <c r="H29" s="35"/>
      <c r="I29" s="35"/>
      <c r="J29" s="35"/>
      <c r="K29" s="35"/>
      <c r="P29" s="24" t="str">
        <f t="shared" si="2"/>
        <v>组合3</v>
      </c>
      <c r="Q29" s="25">
        <f t="shared" si="0"/>
        <v>5</v>
      </c>
      <c r="R29" s="1" t="s">
        <v>190</v>
      </c>
      <c r="S29" s="25">
        <f t="shared" si="1"/>
        <v>5</v>
      </c>
      <c r="T29" s="1" t="s">
        <v>214</v>
      </c>
    </row>
    <row r="30" spans="1:20" x14ac:dyDescent="0.3">
      <c r="A30" s="24" t="s">
        <v>199</v>
      </c>
      <c r="B30" s="35" t="str">
        <f ca="1">[1]!连接单元格($L$13:$L$23,";")</f>
        <v>100101;100102;100103;100104;100105;100106;100107;100108;100109;100110;100111</v>
      </c>
      <c r="C30" s="35"/>
      <c r="D30" s="35"/>
      <c r="E30" s="35"/>
      <c r="F30" s="35"/>
      <c r="G30" s="35"/>
      <c r="H30" s="35"/>
      <c r="I30" s="35"/>
      <c r="J30" s="35"/>
      <c r="K30" s="35"/>
      <c r="P30" s="24" t="str">
        <f t="shared" si="2"/>
        <v>组合4</v>
      </c>
      <c r="Q30" s="25">
        <f t="shared" si="0"/>
        <v>0</v>
      </c>
      <c r="R30" s="1" t="s">
        <v>190</v>
      </c>
      <c r="S30" s="25">
        <f t="shared" si="1"/>
        <v>4</v>
      </c>
      <c r="T30" s="1" t="s">
        <v>215</v>
      </c>
    </row>
    <row r="31" spans="1:20" x14ac:dyDescent="0.3">
      <c r="A31" s="24"/>
      <c r="P31" s="24" t="str">
        <f t="shared" si="2"/>
        <v>组合1</v>
      </c>
      <c r="Q31" s="25">
        <f t="shared" si="0"/>
        <v>6</v>
      </c>
      <c r="R31" s="1" t="s">
        <v>191</v>
      </c>
      <c r="S31" s="25">
        <f t="shared" si="1"/>
        <v>2</v>
      </c>
      <c r="T31" s="1" t="s">
        <v>212</v>
      </c>
    </row>
    <row r="32" spans="1:20" x14ac:dyDescent="0.3">
      <c r="A32" s="24"/>
      <c r="P32" s="24" t="str">
        <f t="shared" si="2"/>
        <v>组合2</v>
      </c>
      <c r="Q32" s="25">
        <f t="shared" si="0"/>
        <v>5</v>
      </c>
      <c r="R32" s="1" t="s">
        <v>191</v>
      </c>
      <c r="S32" s="25">
        <f t="shared" si="1"/>
        <v>2</v>
      </c>
      <c r="T32" s="1" t="s">
        <v>213</v>
      </c>
    </row>
    <row r="33" spans="1:20" x14ac:dyDescent="0.3">
      <c r="A33" s="24"/>
      <c r="P33" s="24" t="str">
        <f t="shared" si="2"/>
        <v>组合3</v>
      </c>
      <c r="Q33" s="25">
        <f t="shared" si="0"/>
        <v>5</v>
      </c>
      <c r="R33" s="1" t="s">
        <v>191</v>
      </c>
      <c r="S33" s="25">
        <f t="shared" si="1"/>
        <v>5</v>
      </c>
      <c r="T33" s="1" t="s">
        <v>214</v>
      </c>
    </row>
    <row r="34" spans="1:20" x14ac:dyDescent="0.3">
      <c r="P34" s="24" t="str">
        <f t="shared" si="2"/>
        <v>组合4</v>
      </c>
      <c r="Q34" s="25">
        <f t="shared" si="0"/>
        <v>0</v>
      </c>
      <c r="R34" s="1" t="s">
        <v>191</v>
      </c>
      <c r="S34" s="25">
        <f t="shared" si="1"/>
        <v>4</v>
      </c>
      <c r="T34" s="1" t="s">
        <v>215</v>
      </c>
    </row>
    <row r="35" spans="1:20" x14ac:dyDescent="0.3">
      <c r="P35" s="24" t="str">
        <f t="shared" si="2"/>
        <v>组合1</v>
      </c>
      <c r="Q35" s="25">
        <f t="shared" si="0"/>
        <v>6</v>
      </c>
      <c r="R35" s="1" t="s">
        <v>192</v>
      </c>
      <c r="S35" s="25">
        <f t="shared" si="1"/>
        <v>2</v>
      </c>
      <c r="T35" s="1" t="s">
        <v>212</v>
      </c>
    </row>
    <row r="36" spans="1:20" x14ac:dyDescent="0.3">
      <c r="P36" s="24" t="str">
        <f t="shared" si="2"/>
        <v>组合2</v>
      </c>
      <c r="Q36" s="25">
        <f t="shared" si="0"/>
        <v>5</v>
      </c>
      <c r="R36" s="1" t="s">
        <v>192</v>
      </c>
      <c r="S36" s="25">
        <f t="shared" si="1"/>
        <v>2</v>
      </c>
      <c r="T36" s="1" t="s">
        <v>213</v>
      </c>
    </row>
    <row r="37" spans="1:20" x14ac:dyDescent="0.3">
      <c r="P37" s="24" t="str">
        <f t="shared" si="2"/>
        <v>组合3</v>
      </c>
      <c r="Q37" s="25">
        <f t="shared" si="0"/>
        <v>5</v>
      </c>
      <c r="R37" s="1" t="s">
        <v>192</v>
      </c>
      <c r="S37" s="25">
        <f t="shared" si="1"/>
        <v>5</v>
      </c>
      <c r="T37" s="1" t="s">
        <v>214</v>
      </c>
    </row>
    <row r="38" spans="1:20" x14ac:dyDescent="0.3">
      <c r="P38" s="24" t="str">
        <f t="shared" si="2"/>
        <v>组合4</v>
      </c>
      <c r="Q38" s="25">
        <f t="shared" si="0"/>
        <v>0</v>
      </c>
      <c r="R38" s="1" t="s">
        <v>192</v>
      </c>
      <c r="S38" s="25">
        <f t="shared" si="1"/>
        <v>4</v>
      </c>
      <c r="T38" s="1" t="s">
        <v>215</v>
      </c>
    </row>
    <row r="39" spans="1:20" x14ac:dyDescent="0.3">
      <c r="P39" s="24" t="str">
        <f t="shared" si="2"/>
        <v>组合1</v>
      </c>
      <c r="Q39" s="25">
        <f t="shared" si="0"/>
        <v>6</v>
      </c>
      <c r="R39" s="1" t="s">
        <v>193</v>
      </c>
      <c r="S39" s="25">
        <f t="shared" si="1"/>
        <v>2</v>
      </c>
      <c r="T39" s="1" t="s">
        <v>212</v>
      </c>
    </row>
    <row r="40" spans="1:20" x14ac:dyDescent="0.3">
      <c r="P40" s="24" t="str">
        <f t="shared" si="2"/>
        <v>组合2</v>
      </c>
      <c r="Q40" s="25">
        <f t="shared" si="0"/>
        <v>5</v>
      </c>
      <c r="R40" s="1" t="s">
        <v>193</v>
      </c>
      <c r="S40" s="25">
        <f t="shared" si="1"/>
        <v>2</v>
      </c>
      <c r="T40" s="1" t="s">
        <v>213</v>
      </c>
    </row>
    <row r="41" spans="1:20" x14ac:dyDescent="0.3">
      <c r="P41" s="24" t="str">
        <f t="shared" si="2"/>
        <v>组合3</v>
      </c>
      <c r="Q41" s="25">
        <f t="shared" si="0"/>
        <v>5</v>
      </c>
      <c r="R41" s="1" t="s">
        <v>193</v>
      </c>
      <c r="S41" s="25">
        <f t="shared" si="1"/>
        <v>5</v>
      </c>
      <c r="T41" s="1" t="s">
        <v>214</v>
      </c>
    </row>
    <row r="42" spans="1:20" x14ac:dyDescent="0.3">
      <c r="P42" s="24" t="str">
        <f t="shared" si="2"/>
        <v>组合4</v>
      </c>
      <c r="Q42" s="25">
        <f t="shared" si="0"/>
        <v>0</v>
      </c>
      <c r="R42" s="1" t="s">
        <v>193</v>
      </c>
      <c r="S42" s="25">
        <f t="shared" si="1"/>
        <v>4</v>
      </c>
      <c r="T42" s="1" t="s">
        <v>215</v>
      </c>
    </row>
    <row r="43" spans="1:20" x14ac:dyDescent="0.3">
      <c r="P43" s="24" t="str">
        <f t="shared" si="2"/>
        <v>组合1</v>
      </c>
      <c r="Q43" s="25">
        <f t="shared" si="0"/>
        <v>6</v>
      </c>
      <c r="R43" s="1" t="s">
        <v>194</v>
      </c>
      <c r="S43" s="25">
        <f t="shared" si="1"/>
        <v>2</v>
      </c>
      <c r="T43" s="1" t="s">
        <v>212</v>
      </c>
    </row>
    <row r="44" spans="1:20" x14ac:dyDescent="0.3">
      <c r="P44" s="24" t="str">
        <f t="shared" si="2"/>
        <v>组合2</v>
      </c>
      <c r="Q44" s="25">
        <f t="shared" si="0"/>
        <v>5</v>
      </c>
      <c r="R44" s="1" t="s">
        <v>194</v>
      </c>
      <c r="S44" s="25">
        <f t="shared" si="1"/>
        <v>2</v>
      </c>
      <c r="T44" s="1" t="s">
        <v>213</v>
      </c>
    </row>
    <row r="45" spans="1:20" x14ac:dyDescent="0.3">
      <c r="P45" s="24" t="str">
        <f t="shared" si="2"/>
        <v>组合3</v>
      </c>
      <c r="Q45" s="25">
        <f t="shared" si="0"/>
        <v>5</v>
      </c>
      <c r="R45" s="1" t="s">
        <v>194</v>
      </c>
      <c r="S45" s="25">
        <f t="shared" si="1"/>
        <v>5</v>
      </c>
      <c r="T45" s="1" t="s">
        <v>214</v>
      </c>
    </row>
    <row r="46" spans="1:20" x14ac:dyDescent="0.3">
      <c r="P46" s="24" t="str">
        <f t="shared" si="2"/>
        <v>组合4</v>
      </c>
      <c r="Q46" s="25">
        <f t="shared" si="0"/>
        <v>0</v>
      </c>
      <c r="R46" s="1" t="s">
        <v>194</v>
      </c>
      <c r="S46" s="25">
        <f t="shared" si="1"/>
        <v>4</v>
      </c>
      <c r="T46" s="1" t="s">
        <v>215</v>
      </c>
    </row>
    <row r="47" spans="1:20" x14ac:dyDescent="0.3">
      <c r="P47" s="24" t="str">
        <f t="shared" si="2"/>
        <v>组合1</v>
      </c>
      <c r="Q47" s="25">
        <f t="shared" si="0"/>
        <v>6</v>
      </c>
      <c r="R47" s="1" t="s">
        <v>195</v>
      </c>
      <c r="S47" s="25">
        <f t="shared" si="1"/>
        <v>2</v>
      </c>
      <c r="T47" s="1" t="s">
        <v>212</v>
      </c>
    </row>
    <row r="48" spans="1:20" x14ac:dyDescent="0.3">
      <c r="P48" s="24" t="str">
        <f t="shared" si="2"/>
        <v>组合2</v>
      </c>
      <c r="Q48" s="25">
        <f t="shared" si="0"/>
        <v>5</v>
      </c>
      <c r="R48" s="1" t="s">
        <v>195</v>
      </c>
      <c r="S48" s="25">
        <f t="shared" si="1"/>
        <v>2</v>
      </c>
      <c r="T48" s="1" t="s">
        <v>213</v>
      </c>
    </row>
    <row r="49" spans="16:20" x14ac:dyDescent="0.3">
      <c r="P49" s="24" t="str">
        <f t="shared" si="2"/>
        <v>组合3</v>
      </c>
      <c r="Q49" s="25">
        <f t="shared" si="0"/>
        <v>5</v>
      </c>
      <c r="R49" s="1" t="s">
        <v>195</v>
      </c>
      <c r="S49" s="25">
        <f t="shared" si="1"/>
        <v>5</v>
      </c>
      <c r="T49" s="1" t="s">
        <v>214</v>
      </c>
    </row>
    <row r="50" spans="16:20" x14ac:dyDescent="0.3">
      <c r="P50" s="24" t="str">
        <f t="shared" si="2"/>
        <v>组合4</v>
      </c>
      <c r="Q50" s="25">
        <f t="shared" si="0"/>
        <v>0</v>
      </c>
      <c r="R50" s="1" t="s">
        <v>195</v>
      </c>
      <c r="S50" s="25">
        <f t="shared" si="1"/>
        <v>4</v>
      </c>
      <c r="T50" s="1" t="s">
        <v>215</v>
      </c>
    </row>
    <row r="51" spans="16:20" x14ac:dyDescent="0.3">
      <c r="P51" s="24" t="str">
        <f t="shared" si="2"/>
        <v>组合1</v>
      </c>
      <c r="Q51" s="25">
        <f t="shared" si="0"/>
        <v>6</v>
      </c>
      <c r="R51" s="1" t="s">
        <v>196</v>
      </c>
      <c r="S51" s="25">
        <f t="shared" si="1"/>
        <v>2</v>
      </c>
      <c r="T51" s="1" t="s">
        <v>212</v>
      </c>
    </row>
    <row r="52" spans="16:20" x14ac:dyDescent="0.3">
      <c r="P52" s="24" t="str">
        <f t="shared" si="2"/>
        <v>组合2</v>
      </c>
      <c r="Q52" s="25">
        <f t="shared" si="0"/>
        <v>5</v>
      </c>
      <c r="R52" s="1" t="s">
        <v>196</v>
      </c>
      <c r="S52" s="25">
        <f t="shared" si="1"/>
        <v>2</v>
      </c>
      <c r="T52" s="1" t="s">
        <v>213</v>
      </c>
    </row>
    <row r="53" spans="16:20" x14ac:dyDescent="0.3">
      <c r="P53" s="24" t="str">
        <f t="shared" si="2"/>
        <v>组合3</v>
      </c>
      <c r="Q53" s="25">
        <f t="shared" si="0"/>
        <v>5</v>
      </c>
      <c r="R53" s="1" t="s">
        <v>196</v>
      </c>
      <c r="S53" s="25">
        <f t="shared" si="1"/>
        <v>5</v>
      </c>
      <c r="T53" s="1" t="s">
        <v>214</v>
      </c>
    </row>
    <row r="54" spans="16:20" x14ac:dyDescent="0.3">
      <c r="P54" s="24" t="str">
        <f t="shared" si="2"/>
        <v>组合4</v>
      </c>
      <c r="Q54" s="25">
        <f t="shared" si="0"/>
        <v>0</v>
      </c>
      <c r="R54" s="1" t="s">
        <v>196</v>
      </c>
      <c r="S54" s="25">
        <f t="shared" si="1"/>
        <v>4</v>
      </c>
      <c r="T54" s="1" t="s">
        <v>215</v>
      </c>
    </row>
    <row r="55" spans="16:20" x14ac:dyDescent="0.3">
      <c r="P55" s="24" t="str">
        <f t="shared" si="2"/>
        <v>组合1</v>
      </c>
      <c r="Q55" s="25">
        <f t="shared" si="0"/>
        <v>6</v>
      </c>
      <c r="R55" s="1" t="s">
        <v>197</v>
      </c>
      <c r="S55" s="25">
        <f t="shared" si="1"/>
        <v>2</v>
      </c>
      <c r="T55" s="1" t="s">
        <v>212</v>
      </c>
    </row>
    <row r="56" spans="16:20" x14ac:dyDescent="0.3">
      <c r="P56" s="24" t="str">
        <f t="shared" si="2"/>
        <v>组合2</v>
      </c>
      <c r="Q56" s="25">
        <f t="shared" si="0"/>
        <v>5</v>
      </c>
      <c r="R56" s="1" t="s">
        <v>197</v>
      </c>
      <c r="S56" s="25">
        <f t="shared" si="1"/>
        <v>2</v>
      </c>
      <c r="T56" s="1" t="s">
        <v>213</v>
      </c>
    </row>
    <row r="57" spans="16:20" x14ac:dyDescent="0.3">
      <c r="P57" s="24" t="str">
        <f t="shared" si="2"/>
        <v>组合3</v>
      </c>
      <c r="Q57" s="25">
        <f t="shared" si="0"/>
        <v>5</v>
      </c>
      <c r="R57" s="1" t="s">
        <v>197</v>
      </c>
      <c r="S57" s="25">
        <f t="shared" si="1"/>
        <v>5</v>
      </c>
      <c r="T57" s="1" t="s">
        <v>214</v>
      </c>
    </row>
    <row r="58" spans="16:20" x14ac:dyDescent="0.3">
      <c r="P58" s="24" t="str">
        <f t="shared" si="2"/>
        <v>组合4</v>
      </c>
      <c r="Q58" s="25">
        <f t="shared" si="0"/>
        <v>0</v>
      </c>
      <c r="R58" s="1" t="s">
        <v>197</v>
      </c>
      <c r="S58" s="25">
        <f t="shared" si="1"/>
        <v>4</v>
      </c>
      <c r="T58" s="1" t="s">
        <v>215</v>
      </c>
    </row>
    <row r="59" spans="16:20" x14ac:dyDescent="0.3">
      <c r="P59" s="24" t="str">
        <f t="shared" si="2"/>
        <v>组合1</v>
      </c>
      <c r="Q59" s="25">
        <f t="shared" si="0"/>
        <v>6</v>
      </c>
      <c r="R59" s="1" t="s">
        <v>198</v>
      </c>
      <c r="S59" s="25">
        <f t="shared" si="1"/>
        <v>2</v>
      </c>
      <c r="T59" s="1" t="s">
        <v>212</v>
      </c>
    </row>
    <row r="60" spans="16:20" x14ac:dyDescent="0.3">
      <c r="P60" s="24" t="str">
        <f t="shared" si="2"/>
        <v>组合2</v>
      </c>
      <c r="Q60" s="25">
        <f t="shared" si="0"/>
        <v>5</v>
      </c>
      <c r="R60" s="1" t="s">
        <v>198</v>
      </c>
      <c r="S60" s="25">
        <f t="shared" si="1"/>
        <v>2</v>
      </c>
      <c r="T60" s="1" t="s">
        <v>213</v>
      </c>
    </row>
    <row r="61" spans="16:20" x14ac:dyDescent="0.3">
      <c r="P61" s="24" t="str">
        <f t="shared" si="2"/>
        <v>组合3</v>
      </c>
      <c r="Q61" s="25">
        <f t="shared" si="0"/>
        <v>5</v>
      </c>
      <c r="R61" s="1" t="s">
        <v>198</v>
      </c>
      <c r="S61" s="25">
        <f t="shared" si="1"/>
        <v>5</v>
      </c>
      <c r="T61" s="1" t="s">
        <v>214</v>
      </c>
    </row>
    <row r="62" spans="16:20" x14ac:dyDescent="0.3">
      <c r="P62" s="24" t="str">
        <f t="shared" si="2"/>
        <v>组合4</v>
      </c>
      <c r="Q62" s="25">
        <f t="shared" si="0"/>
        <v>0</v>
      </c>
      <c r="R62" s="1" t="s">
        <v>198</v>
      </c>
      <c r="S62" s="25">
        <f t="shared" si="1"/>
        <v>4</v>
      </c>
      <c r="T62" s="1" t="s">
        <v>215</v>
      </c>
    </row>
  </sheetData>
  <mergeCells count="21">
    <mergeCell ref="B26:K26"/>
    <mergeCell ref="B27:K27"/>
    <mergeCell ref="B28:K28"/>
    <mergeCell ref="B29:K29"/>
    <mergeCell ref="B30:K30"/>
    <mergeCell ref="B21:K21"/>
    <mergeCell ref="B22:K22"/>
    <mergeCell ref="B23:K23"/>
    <mergeCell ref="B24:K24"/>
    <mergeCell ref="B25:K25"/>
    <mergeCell ref="B16:K16"/>
    <mergeCell ref="B17:K17"/>
    <mergeCell ref="B18:K18"/>
    <mergeCell ref="B19:K19"/>
    <mergeCell ref="B20:K20"/>
    <mergeCell ref="P1:T1"/>
    <mergeCell ref="A15:K15"/>
    <mergeCell ref="B1:C1"/>
    <mergeCell ref="D1:E1"/>
    <mergeCell ref="F1:G1"/>
    <mergeCell ref="A1:A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12</xdr:col>
                <xdr:colOff>495300</xdr:colOff>
                <xdr:row>0</xdr:row>
                <xdr:rowOff>95250</xdr:rowOff>
              </from>
              <to>
                <xdr:col>14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showGridLines="0" workbookViewId="0">
      <selection activeCell="F23" sqref="F23:F24"/>
    </sheetView>
  </sheetViews>
  <sheetFormatPr defaultColWidth="8.75"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124</v>
      </c>
      <c r="B1" s="15" t="s">
        <v>121</v>
      </c>
      <c r="C1" s="15" t="s">
        <v>122</v>
      </c>
    </row>
    <row r="2" spans="1:3" ht="16.5" x14ac:dyDescent="0.2">
      <c r="A2" s="16" t="s">
        <v>43</v>
      </c>
      <c r="B2" s="16" t="s">
        <v>119</v>
      </c>
      <c r="C2" s="16" t="s">
        <v>117</v>
      </c>
    </row>
    <row r="3" spans="1:3" ht="15" x14ac:dyDescent="0.2">
      <c r="A3" s="6" t="s">
        <v>125</v>
      </c>
      <c r="B3" s="6" t="s">
        <v>118</v>
      </c>
      <c r="C3" s="6" t="s">
        <v>116</v>
      </c>
    </row>
    <row r="4" spans="1:3" ht="16.5" x14ac:dyDescent="0.2">
      <c r="A4" s="19">
        <v>1</v>
      </c>
      <c r="B4" s="21" t="s">
        <v>120</v>
      </c>
      <c r="C4" s="19" t="s">
        <v>123</v>
      </c>
    </row>
  </sheetData>
  <autoFilter ref="A3:C4"/>
  <phoneticPr fontId="1" type="noConversion"/>
  <conditionalFormatting sqref="A3:C3">
    <cfRule type="duplicateValues" dxfId="7" priority="2"/>
  </conditionalFormatting>
  <conditionalFormatting sqref="A4">
    <cfRule type="duplicateValues" dxfId="6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showGridLines="0" workbookViewId="0">
      <selection activeCell="C23" sqref="B22:C23"/>
    </sheetView>
  </sheetViews>
  <sheetFormatPr defaultColWidth="8.75" defaultRowHeight="14.25" x14ac:dyDescent="0.2"/>
  <cols>
    <col min="3" max="3" width="46.25" customWidth="1"/>
    <col min="5" max="5" width="28.125" customWidth="1"/>
    <col min="6" max="6" width="19.375" customWidth="1"/>
    <col min="7" max="7" width="32.75" customWidth="1"/>
  </cols>
  <sheetData>
    <row r="1" spans="1:8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40</v>
      </c>
      <c r="G1" s="3" t="s">
        <v>22</v>
      </c>
    </row>
    <row r="2" spans="1:8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16" t="s">
        <v>98</v>
      </c>
      <c r="F2" s="5" t="s">
        <v>48</v>
      </c>
      <c r="G2" s="4" t="s">
        <v>49</v>
      </c>
    </row>
    <row r="3" spans="1:8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7" t="s">
        <v>24</v>
      </c>
      <c r="G3" s="6" t="s">
        <v>25</v>
      </c>
    </row>
    <row r="4" spans="1:8" ht="16.5" x14ac:dyDescent="0.2">
      <c r="A4" s="4">
        <v>1001</v>
      </c>
      <c r="B4" s="4" t="s">
        <v>26</v>
      </c>
      <c r="C4" s="4" t="s">
        <v>27</v>
      </c>
      <c r="D4" s="4"/>
      <c r="E4" s="4"/>
      <c r="F4" s="4" t="s">
        <v>28</v>
      </c>
      <c r="G4" s="4" t="b">
        <v>0</v>
      </c>
      <c r="H4" s="2"/>
    </row>
    <row r="5" spans="1:8" ht="16.5" x14ac:dyDescent="0.2">
      <c r="A5" s="4">
        <v>1002</v>
      </c>
      <c r="B5" s="4" t="s">
        <v>29</v>
      </c>
      <c r="C5" s="4" t="s">
        <v>30</v>
      </c>
      <c r="D5" s="4"/>
      <c r="E5" s="4" t="s">
        <v>155</v>
      </c>
      <c r="F5" s="4" t="s">
        <v>31</v>
      </c>
      <c r="G5" s="4" t="b">
        <v>1</v>
      </c>
    </row>
    <row r="6" spans="1:8" ht="16.5" x14ac:dyDescent="0.2">
      <c r="A6" s="4">
        <v>1003</v>
      </c>
      <c r="B6" s="4" t="s">
        <v>32</v>
      </c>
      <c r="C6" s="4" t="s">
        <v>30</v>
      </c>
      <c r="D6" s="4"/>
      <c r="E6" s="4" t="s">
        <v>153</v>
      </c>
      <c r="F6" s="4" t="s">
        <v>36</v>
      </c>
      <c r="G6" s="4" t="b">
        <v>1</v>
      </c>
    </row>
    <row r="7" spans="1:8" ht="16.5" x14ac:dyDescent="0.2">
      <c r="A7" s="4">
        <v>1004</v>
      </c>
      <c r="B7" s="4" t="s">
        <v>33</v>
      </c>
      <c r="C7" s="4" t="s">
        <v>34</v>
      </c>
      <c r="D7" s="4"/>
      <c r="E7" s="4" t="s">
        <v>154</v>
      </c>
      <c r="F7" s="4" t="s">
        <v>35</v>
      </c>
      <c r="G7" s="4" t="b">
        <v>1</v>
      </c>
    </row>
  </sheetData>
  <autoFilter ref="A3:G7"/>
  <phoneticPr fontId="1" type="noConversion"/>
  <conditionalFormatting sqref="A3:D3 F3:G3">
    <cfRule type="duplicateValues" dxfId="5" priority="7"/>
  </conditionalFormatting>
  <conditionalFormatting sqref="E3">
    <cfRule type="duplicateValues" dxfId="4" priority="2"/>
  </conditionalFormatting>
  <conditionalFormatting sqref="A4:A7">
    <cfRule type="duplicateValues" dxfId="3" priority="1"/>
  </conditionalFormatting>
  <dataValidations count="2">
    <dataValidation type="list" allowBlank="1" showInputMessage="1" showErrorMessage="1" sqref="G4:G7">
      <formula1>"TRUE,FALSE"</formula1>
    </dataValidation>
    <dataValidation type="list" allowBlank="1" showInputMessage="1" showErrorMessage="1" sqref="F4:F7">
      <formula1>Stuff</formula1>
    </dataValidation>
  </dataValidations>
  <hyperlinks>
    <hyperlink ref="F3" location="Stuff" display="Stuff"/>
    <hyperlink ref="F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5"/>
  <sheetViews>
    <sheetView showGridLines="0" tabSelected="1" workbookViewId="0">
      <pane xSplit="2" ySplit="3" topLeftCell="C13" activePane="bottomRight" state="frozen"/>
      <selection pane="topRight" activeCell="C1" sqref="C1"/>
      <selection pane="bottomLeft" activeCell="A4" sqref="A4"/>
      <selection pane="bottomRight" activeCell="E21" sqref="E21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7" width="18.875" bestFit="1" customWidth="1"/>
    <col min="8" max="8" width="21.5" bestFit="1" customWidth="1"/>
    <col min="9" max="9" width="12.75" bestFit="1" customWidth="1"/>
    <col min="10" max="10" width="48" bestFit="1" customWidth="1"/>
    <col min="11" max="11" width="18.625" customWidth="1"/>
    <col min="12" max="12" width="17.5" customWidth="1"/>
  </cols>
  <sheetData>
    <row r="1" spans="1:12" ht="16.5" x14ac:dyDescent="0.2">
      <c r="A1" s="17" t="s">
        <v>60</v>
      </c>
      <c r="B1" s="17" t="s">
        <v>63</v>
      </c>
      <c r="C1" s="17" t="s">
        <v>64</v>
      </c>
      <c r="D1" s="17" t="s">
        <v>97</v>
      </c>
      <c r="E1" s="17" t="s">
        <v>65</v>
      </c>
      <c r="F1" s="17" t="s">
        <v>68</v>
      </c>
      <c r="G1" s="14" t="s">
        <v>88</v>
      </c>
      <c r="H1" s="14" t="s">
        <v>93</v>
      </c>
      <c r="I1" s="17" t="s">
        <v>89</v>
      </c>
      <c r="J1" s="15" t="s">
        <v>90</v>
      </c>
      <c r="K1" s="15" t="s">
        <v>91</v>
      </c>
      <c r="L1" s="17" t="s">
        <v>175</v>
      </c>
    </row>
    <row r="2" spans="1:12" ht="16.5" x14ac:dyDescent="0.2">
      <c r="A2" s="16" t="s">
        <v>13</v>
      </c>
      <c r="B2" s="16" t="s">
        <v>1</v>
      </c>
      <c r="C2" s="16" t="s">
        <v>1</v>
      </c>
      <c r="D2" s="16" t="s">
        <v>98</v>
      </c>
      <c r="E2" s="16" t="s">
        <v>1</v>
      </c>
      <c r="F2" s="18" t="s">
        <v>72</v>
      </c>
      <c r="G2" s="13" t="s">
        <v>66</v>
      </c>
      <c r="H2" s="13" t="s">
        <v>94</v>
      </c>
      <c r="I2" s="16" t="s">
        <v>79</v>
      </c>
      <c r="J2" s="16" t="s">
        <v>62</v>
      </c>
      <c r="K2" s="16" t="s">
        <v>67</v>
      </c>
      <c r="L2" s="16" t="s">
        <v>174</v>
      </c>
    </row>
    <row r="3" spans="1:12" ht="15" x14ac:dyDescent="0.2">
      <c r="A3" s="6" t="s">
        <v>45</v>
      </c>
      <c r="B3" s="6" t="s">
        <v>100</v>
      </c>
      <c r="C3" s="6" t="s">
        <v>101</v>
      </c>
      <c r="D3" s="6" t="s">
        <v>99</v>
      </c>
      <c r="E3" s="6" t="s">
        <v>14</v>
      </c>
      <c r="F3" s="7" t="s">
        <v>73</v>
      </c>
      <c r="G3" s="6" t="s">
        <v>84</v>
      </c>
      <c r="H3" s="6" t="s">
        <v>85</v>
      </c>
      <c r="I3" s="6" t="s">
        <v>86</v>
      </c>
      <c r="J3" s="6" t="s">
        <v>87</v>
      </c>
      <c r="K3" s="6" t="s">
        <v>92</v>
      </c>
      <c r="L3" s="6" t="s">
        <v>176</v>
      </c>
    </row>
    <row r="4" spans="1:12" ht="31.5" customHeight="1" x14ac:dyDescent="0.2">
      <c r="A4" s="19">
        <v>1001</v>
      </c>
      <c r="B4" s="19" t="s">
        <v>75</v>
      </c>
      <c r="C4" s="19" t="s">
        <v>74</v>
      </c>
      <c r="D4" s="19"/>
      <c r="E4" s="19" t="s">
        <v>109</v>
      </c>
      <c r="F4" s="19" t="s">
        <v>112</v>
      </c>
      <c r="G4" s="19">
        <v>1020001</v>
      </c>
      <c r="H4" s="19"/>
      <c r="I4" s="19"/>
      <c r="J4" s="19"/>
      <c r="K4" s="4"/>
      <c r="L4" s="4"/>
    </row>
    <row r="5" spans="1:12" ht="31.5" customHeight="1" x14ac:dyDescent="0.2">
      <c r="A5" s="19">
        <v>1002</v>
      </c>
      <c r="B5" s="19" t="s">
        <v>76</v>
      </c>
      <c r="C5" s="19" t="s">
        <v>77</v>
      </c>
      <c r="D5" s="19"/>
      <c r="E5" s="19" t="s">
        <v>126</v>
      </c>
      <c r="F5" s="19" t="s">
        <v>112</v>
      </c>
      <c r="G5" s="19">
        <v>1020002</v>
      </c>
      <c r="H5" s="19"/>
      <c r="I5" s="19"/>
      <c r="J5" s="19"/>
      <c r="K5" s="4"/>
      <c r="L5" s="4"/>
    </row>
    <row r="6" spans="1:12" ht="31.5" customHeight="1" x14ac:dyDescent="0.2">
      <c r="A6" s="19">
        <v>1003</v>
      </c>
      <c r="B6" s="4" t="s">
        <v>132</v>
      </c>
      <c r="C6" s="4" t="s">
        <v>135</v>
      </c>
      <c r="D6" s="4"/>
      <c r="E6" s="19" t="s">
        <v>109</v>
      </c>
      <c r="F6" s="4" t="s">
        <v>146</v>
      </c>
      <c r="G6" s="4">
        <v>1020003</v>
      </c>
      <c r="H6" s="4"/>
      <c r="I6" s="4"/>
      <c r="J6" s="4"/>
      <c r="K6" s="4"/>
      <c r="L6" s="4"/>
    </row>
    <row r="7" spans="1:12" ht="31.5" customHeight="1" x14ac:dyDescent="0.2">
      <c r="A7" s="19">
        <v>1004</v>
      </c>
      <c r="B7" s="4" t="s">
        <v>133</v>
      </c>
      <c r="C7" s="4" t="s">
        <v>136</v>
      </c>
      <c r="D7" s="4"/>
      <c r="E7" s="19" t="s">
        <v>109</v>
      </c>
      <c r="F7" s="4" t="s">
        <v>146</v>
      </c>
      <c r="G7" s="4">
        <v>1020004</v>
      </c>
      <c r="H7" s="4"/>
      <c r="I7" s="4"/>
      <c r="J7" s="4"/>
      <c r="K7" s="4"/>
      <c r="L7" s="4"/>
    </row>
    <row r="8" spans="1:12" ht="31.5" customHeight="1" x14ac:dyDescent="0.2">
      <c r="A8" s="19">
        <v>1005</v>
      </c>
      <c r="B8" s="4" t="s">
        <v>134</v>
      </c>
      <c r="C8" s="4" t="s">
        <v>137</v>
      </c>
      <c r="D8" s="4"/>
      <c r="E8" s="19" t="s">
        <v>126</v>
      </c>
      <c r="F8" s="4" t="s">
        <v>146</v>
      </c>
      <c r="G8" s="4">
        <v>1020005</v>
      </c>
      <c r="H8" s="4"/>
      <c r="I8" s="4"/>
      <c r="J8" s="4"/>
      <c r="K8" s="4"/>
      <c r="L8" s="4"/>
    </row>
    <row r="9" spans="1:12" ht="31.5" customHeight="1" x14ac:dyDescent="0.2">
      <c r="A9" s="19">
        <v>1101</v>
      </c>
      <c r="B9" s="4" t="s">
        <v>138</v>
      </c>
      <c r="C9" s="4" t="s">
        <v>139</v>
      </c>
      <c r="D9" s="4"/>
      <c r="E9" s="19" t="s">
        <v>129</v>
      </c>
      <c r="F9" s="4" t="s">
        <v>147</v>
      </c>
      <c r="G9" s="4">
        <v>1030001</v>
      </c>
      <c r="H9" s="4"/>
      <c r="I9" s="4"/>
      <c r="J9" s="4"/>
      <c r="K9" s="4" t="s">
        <v>149</v>
      </c>
      <c r="L9" s="4"/>
    </row>
    <row r="10" spans="1:12" ht="31.5" customHeight="1" x14ac:dyDescent="0.2">
      <c r="A10" s="19">
        <v>1102</v>
      </c>
      <c r="B10" s="4" t="s">
        <v>140</v>
      </c>
      <c r="C10" s="4" t="s">
        <v>141</v>
      </c>
      <c r="D10" s="4"/>
      <c r="E10" s="19" t="s">
        <v>129</v>
      </c>
      <c r="F10" s="4" t="s">
        <v>110</v>
      </c>
      <c r="G10" s="4">
        <v>1030002</v>
      </c>
      <c r="H10" s="4"/>
      <c r="I10" s="4"/>
      <c r="J10" s="4"/>
      <c r="K10" s="4" t="s">
        <v>150</v>
      </c>
      <c r="L10" s="4"/>
    </row>
    <row r="11" spans="1:12" ht="31.5" customHeight="1" x14ac:dyDescent="0.2">
      <c r="A11" s="19">
        <v>1103</v>
      </c>
      <c r="B11" s="4" t="s">
        <v>142</v>
      </c>
      <c r="C11" s="4" t="s">
        <v>143</v>
      </c>
      <c r="D11" s="4"/>
      <c r="E11" s="19" t="s">
        <v>129</v>
      </c>
      <c r="F11" s="4" t="s">
        <v>110</v>
      </c>
      <c r="G11" s="4">
        <v>1030003</v>
      </c>
      <c r="H11" s="4"/>
      <c r="I11" s="4"/>
      <c r="J11" s="4"/>
      <c r="K11" s="4" t="s">
        <v>149</v>
      </c>
      <c r="L11" s="4"/>
    </row>
    <row r="12" spans="1:12" ht="31.5" customHeight="1" x14ac:dyDescent="0.2">
      <c r="A12" s="19">
        <v>1104</v>
      </c>
      <c r="B12" s="4" t="s">
        <v>144</v>
      </c>
      <c r="C12" s="4" t="s">
        <v>145</v>
      </c>
      <c r="D12" s="4"/>
      <c r="E12" s="19" t="s">
        <v>129</v>
      </c>
      <c r="F12" s="4" t="s">
        <v>110</v>
      </c>
      <c r="G12" s="4">
        <v>1030004</v>
      </c>
      <c r="H12" s="4"/>
      <c r="I12" s="4"/>
      <c r="J12" s="4"/>
      <c r="K12" s="4" t="s">
        <v>151</v>
      </c>
      <c r="L12" s="4"/>
    </row>
    <row r="13" spans="1:12" ht="31.5" customHeight="1" x14ac:dyDescent="0.2">
      <c r="A13" s="19">
        <v>1201</v>
      </c>
      <c r="B13" s="19" t="s">
        <v>105</v>
      </c>
      <c r="C13" s="19" t="s">
        <v>106</v>
      </c>
      <c r="D13" s="4"/>
      <c r="E13" s="19" t="s">
        <v>131</v>
      </c>
      <c r="F13" s="4" t="s">
        <v>107</v>
      </c>
      <c r="G13" s="4"/>
      <c r="H13" s="4"/>
      <c r="I13" s="4"/>
      <c r="J13" s="4"/>
      <c r="K13" s="4"/>
      <c r="L13" s="4"/>
    </row>
    <row r="14" spans="1:12" ht="31.5" customHeight="1" x14ac:dyDescent="0.2">
      <c r="A14" s="19">
        <v>1301</v>
      </c>
      <c r="B14" s="4" t="s">
        <v>148</v>
      </c>
      <c r="C14" s="4" t="s">
        <v>171</v>
      </c>
      <c r="D14" s="4"/>
      <c r="E14" s="19" t="s">
        <v>128</v>
      </c>
      <c r="F14" s="4" t="s">
        <v>82</v>
      </c>
      <c r="G14" s="4"/>
      <c r="H14" s="4"/>
      <c r="I14" s="4"/>
      <c r="J14" s="20" t="s">
        <v>172</v>
      </c>
      <c r="K14" s="4"/>
      <c r="L14" s="4"/>
    </row>
    <row r="15" spans="1:12" ht="31.5" customHeight="1" x14ac:dyDescent="0.2">
      <c r="A15" s="19">
        <v>1302</v>
      </c>
      <c r="B15" s="4" t="s">
        <v>148</v>
      </c>
      <c r="C15" s="4" t="s">
        <v>173</v>
      </c>
      <c r="D15" s="4"/>
      <c r="E15" s="19" t="s">
        <v>128</v>
      </c>
      <c r="F15" s="4" t="s">
        <v>82</v>
      </c>
      <c r="G15" s="4"/>
      <c r="H15" s="4"/>
      <c r="I15" s="4"/>
      <c r="J15" s="20" t="s">
        <v>216</v>
      </c>
      <c r="K15" s="4"/>
      <c r="L15" s="4"/>
    </row>
    <row r="16" spans="1:12" ht="31.5" customHeight="1" x14ac:dyDescent="0.2">
      <c r="A16" s="19">
        <v>1303</v>
      </c>
      <c r="B16" s="4" t="s">
        <v>148</v>
      </c>
      <c r="C16" s="4" t="s">
        <v>217</v>
      </c>
      <c r="D16" s="4"/>
      <c r="E16" s="19" t="s">
        <v>128</v>
      </c>
      <c r="F16" s="4" t="s">
        <v>82</v>
      </c>
      <c r="G16" s="4"/>
      <c r="H16" s="4"/>
      <c r="I16" s="4"/>
      <c r="J16" s="20" t="s">
        <v>157</v>
      </c>
      <c r="K16" s="4"/>
      <c r="L16" s="4"/>
    </row>
    <row r="17" spans="1:12" s="23" customFormat="1" ht="31.5" customHeight="1" x14ac:dyDescent="0.2">
      <c r="A17" s="19">
        <v>1304</v>
      </c>
      <c r="B17" s="4" t="s">
        <v>148</v>
      </c>
      <c r="C17" s="4" t="s">
        <v>218</v>
      </c>
      <c r="D17" s="4"/>
      <c r="E17" s="19" t="s">
        <v>128</v>
      </c>
      <c r="F17" s="4" t="s">
        <v>82</v>
      </c>
      <c r="G17" s="4"/>
      <c r="H17" s="4"/>
      <c r="I17" s="4"/>
      <c r="J17" s="20" t="s">
        <v>219</v>
      </c>
      <c r="K17" s="4"/>
      <c r="L17" s="22"/>
    </row>
    <row r="18" spans="1:12" s="23" customFormat="1" ht="31.5" customHeight="1" x14ac:dyDescent="0.2">
      <c r="A18" s="19">
        <v>1305</v>
      </c>
      <c r="B18" s="4" t="s">
        <v>148</v>
      </c>
      <c r="C18" s="4" t="s">
        <v>220</v>
      </c>
      <c r="D18" s="4"/>
      <c r="E18" s="19" t="s">
        <v>128</v>
      </c>
      <c r="F18" s="4" t="s">
        <v>82</v>
      </c>
      <c r="G18" s="4"/>
      <c r="H18" s="4"/>
      <c r="I18" s="4"/>
      <c r="J18" s="20" t="s">
        <v>221</v>
      </c>
      <c r="K18" s="4"/>
      <c r="L18" s="22"/>
    </row>
    <row r="19" spans="1:12" ht="31.5" customHeight="1" x14ac:dyDescent="0.2">
      <c r="A19" s="19">
        <v>1306</v>
      </c>
      <c r="B19" s="4" t="s">
        <v>148</v>
      </c>
      <c r="C19" s="4" t="s">
        <v>222</v>
      </c>
      <c r="D19" s="4"/>
      <c r="E19" s="19" t="s">
        <v>128</v>
      </c>
      <c r="F19" s="4" t="s">
        <v>82</v>
      </c>
      <c r="G19" s="4"/>
      <c r="H19" s="4"/>
      <c r="I19" s="4"/>
      <c r="J19" s="20" t="s">
        <v>223</v>
      </c>
      <c r="K19" s="4"/>
      <c r="L19" s="4"/>
    </row>
    <row r="20" spans="1:12" ht="31.5" customHeight="1" x14ac:dyDescent="0.2">
      <c r="A20" s="19">
        <v>1401</v>
      </c>
      <c r="B20" s="19" t="s">
        <v>170</v>
      </c>
      <c r="C20" s="4" t="s">
        <v>102</v>
      </c>
      <c r="D20" s="4" t="s">
        <v>180</v>
      </c>
      <c r="E20" s="4" t="s">
        <v>53</v>
      </c>
      <c r="F20" s="4" t="s">
        <v>82</v>
      </c>
      <c r="G20" s="4"/>
      <c r="H20" s="4"/>
      <c r="I20" s="4"/>
      <c r="J20" s="28" t="s">
        <v>177</v>
      </c>
      <c r="K20" s="4"/>
      <c r="L20" s="4"/>
    </row>
    <row r="21" spans="1:12" ht="31.5" customHeight="1" x14ac:dyDescent="0.2">
      <c r="A21" s="19">
        <v>1402</v>
      </c>
      <c r="B21" s="19" t="s">
        <v>170</v>
      </c>
      <c r="C21" s="4" t="s">
        <v>103</v>
      </c>
      <c r="D21" s="4" t="s">
        <v>180</v>
      </c>
      <c r="E21" s="4" t="s">
        <v>54</v>
      </c>
      <c r="F21" s="4" t="s">
        <v>82</v>
      </c>
      <c r="G21" s="4"/>
      <c r="H21" s="4"/>
      <c r="I21" s="4"/>
      <c r="J21" s="28" t="s">
        <v>178</v>
      </c>
      <c r="K21" s="4"/>
      <c r="L21" s="4"/>
    </row>
    <row r="22" spans="1:12" ht="31.5" customHeight="1" x14ac:dyDescent="0.2">
      <c r="A22" s="19">
        <v>1403</v>
      </c>
      <c r="B22" s="19" t="s">
        <v>170</v>
      </c>
      <c r="C22" s="4" t="s">
        <v>104</v>
      </c>
      <c r="D22" s="4" t="s">
        <v>180</v>
      </c>
      <c r="E22" s="4" t="s">
        <v>55</v>
      </c>
      <c r="F22" s="4" t="s">
        <v>82</v>
      </c>
      <c r="G22" s="4"/>
      <c r="H22" s="4"/>
      <c r="I22" s="4"/>
      <c r="J22" s="28" t="s">
        <v>179</v>
      </c>
      <c r="K22" s="4"/>
      <c r="L22" s="4"/>
    </row>
    <row r="23" spans="1:12" ht="34.5" customHeight="1" x14ac:dyDescent="0.2">
      <c r="A23" s="19">
        <v>1501</v>
      </c>
      <c r="B23" s="19" t="s">
        <v>78</v>
      </c>
      <c r="C23" s="19" t="s">
        <v>81</v>
      </c>
      <c r="D23" s="19"/>
      <c r="E23" s="19" t="s">
        <v>127</v>
      </c>
      <c r="F23" s="19" t="s">
        <v>70</v>
      </c>
      <c r="G23" s="19"/>
      <c r="H23" s="19"/>
      <c r="I23" s="19"/>
      <c r="J23" s="19"/>
      <c r="K23" s="4" t="s">
        <v>80</v>
      </c>
      <c r="L23" s="4">
        <v>6</v>
      </c>
    </row>
    <row r="24" spans="1:12" ht="34.5" customHeight="1" x14ac:dyDescent="0.2">
      <c r="A24" s="19">
        <v>1601</v>
      </c>
      <c r="B24" s="19" t="s">
        <v>95</v>
      </c>
      <c r="C24" s="19" t="s">
        <v>96</v>
      </c>
      <c r="D24" s="19"/>
      <c r="E24" s="19" t="s">
        <v>130</v>
      </c>
      <c r="F24" s="4" t="s">
        <v>114</v>
      </c>
      <c r="G24" s="4"/>
      <c r="H24" s="4">
        <v>2000001</v>
      </c>
      <c r="I24" s="4"/>
      <c r="J24" s="4"/>
      <c r="K24" s="4"/>
      <c r="L24" s="4">
        <v>5</v>
      </c>
    </row>
    <row r="25" spans="1:12" ht="16.5" x14ac:dyDescent="0.2">
      <c r="A25" s="19">
        <v>1701</v>
      </c>
      <c r="B25" s="19" t="s">
        <v>226</v>
      </c>
      <c r="C25" s="19" t="s">
        <v>227</v>
      </c>
      <c r="D25" s="4"/>
      <c r="E25" s="4"/>
      <c r="F25" s="4" t="s">
        <v>224</v>
      </c>
      <c r="G25" s="4"/>
      <c r="H25" s="4"/>
      <c r="I25" s="4"/>
      <c r="J25" s="4"/>
      <c r="K25" s="4"/>
      <c r="L25" s="4">
        <v>3</v>
      </c>
    </row>
  </sheetData>
  <autoFilter ref="A3:L25"/>
  <phoneticPr fontId="1" type="noConversion"/>
  <conditionalFormatting sqref="A3:L3">
    <cfRule type="duplicateValues" dxfId="1" priority="2"/>
  </conditionalFormatting>
  <conditionalFormatting sqref="A4:A25">
    <cfRule type="duplicateValues" dxfId="0" priority="1"/>
  </conditionalFormatting>
  <dataValidations count="1">
    <dataValidation type="list" allowBlank="1" showInputMessage="1" showErrorMessage="1" sqref="F4:F25">
      <formula1>"ActiveSkills,Radar,Property,AddSkill,SummonSkill,Kelid,WorldPiece"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I8" sqref="I8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52</v>
      </c>
      <c r="D1" s="10" t="s">
        <v>52</v>
      </c>
    </row>
    <row r="2" spans="2:4" ht="16.5" x14ac:dyDescent="0.3">
      <c r="B2" s="11" t="s">
        <v>39</v>
      </c>
      <c r="C2" s="1"/>
      <c r="D2" s="11" t="s">
        <v>69</v>
      </c>
    </row>
    <row r="3" spans="2:4" ht="16.5" x14ac:dyDescent="0.3">
      <c r="B3" s="12" t="s">
        <v>37</v>
      </c>
      <c r="C3" s="1"/>
      <c r="D3" s="12" t="s">
        <v>113</v>
      </c>
    </row>
    <row r="4" spans="2:4" ht="16.5" x14ac:dyDescent="0.3">
      <c r="B4" s="12" t="s">
        <v>36</v>
      </c>
      <c r="C4" s="1"/>
      <c r="D4" s="12" t="s">
        <v>71</v>
      </c>
    </row>
    <row r="5" spans="2:4" ht="16.5" x14ac:dyDescent="0.3">
      <c r="B5" s="12" t="s">
        <v>35</v>
      </c>
      <c r="C5" s="1"/>
      <c r="D5" s="12" t="s">
        <v>83</v>
      </c>
    </row>
    <row r="6" spans="2:4" ht="16.5" x14ac:dyDescent="0.3">
      <c r="B6" s="12" t="s">
        <v>38</v>
      </c>
      <c r="C6" s="1"/>
      <c r="D6" s="12" t="s">
        <v>111</v>
      </c>
    </row>
    <row r="7" spans="2:4" ht="16.5" x14ac:dyDescent="0.3">
      <c r="B7" s="1"/>
      <c r="C7" s="1"/>
      <c r="D7" s="12" t="s">
        <v>115</v>
      </c>
    </row>
    <row r="8" spans="2:4" ht="16.5" x14ac:dyDescent="0.3">
      <c r="B8" s="1"/>
      <c r="C8" s="1"/>
      <c r="D8" s="12" t="s">
        <v>108</v>
      </c>
    </row>
    <row r="9" spans="2:4" ht="16.5" x14ac:dyDescent="0.3">
      <c r="B9" s="1"/>
      <c r="C9" s="1"/>
      <c r="D9" s="12" t="s">
        <v>225</v>
      </c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</vt:i4>
      </vt:variant>
    </vt:vector>
  </HeadingPairs>
  <TitlesOfParts>
    <vt:vector size="13" baseType="lpstr">
      <vt:lpstr>补给品</vt:lpstr>
      <vt:lpstr>宝箱</vt:lpstr>
      <vt:lpstr>掉落矩阵</vt:lpstr>
      <vt:lpstr>掉落生成器</vt:lpstr>
      <vt:lpstr>大宝箱</vt:lpstr>
      <vt:lpstr>材料</vt:lpstr>
      <vt:lpstr>机关</vt:lpstr>
      <vt:lpstr>枚举</vt:lpstr>
      <vt:lpstr>Operate</vt:lpstr>
      <vt:lpstr>Stuff</vt:lpstr>
      <vt:lpstr>材料区</vt:lpstr>
      <vt:lpstr>生成区</vt:lpstr>
      <vt:lpstr>芯片区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2018-01-02T12:57:33Z</dcterms:modified>
</cp:coreProperties>
</file>