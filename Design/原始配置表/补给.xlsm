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730" codeName="{91B80F79-697F-C00D-A1F8-6C9A07846A5C}"/>
  <workbookPr filterPrivacy="1" codeName="ThisWorkbook" autoCompressPictures="0"/>
  <bookViews>
    <workbookView xWindow="4215" yWindow="3945" windowWidth="27600" windowHeight="19155" activeTab="6"/>
  </bookViews>
  <sheets>
    <sheet name="补给品" sheetId="1" r:id="rId1"/>
    <sheet name="宝箱" sheetId="5" r:id="rId2"/>
    <sheet name="掉落矩阵" sheetId="3" r:id="rId3"/>
    <sheet name="掉落生成器" sheetId="10" r:id="rId4"/>
    <sheet name="大宝箱" sheetId="9" r:id="rId5"/>
    <sheet name="材料" sheetId="4" r:id="rId6"/>
    <sheet name="机关" sheetId="8" r:id="rId7"/>
    <sheet name="枚举" sheetId="2" r:id="rId8"/>
  </sheets>
  <externalReferences>
    <externalReference r:id="rId9"/>
  </externalReferences>
  <definedNames>
    <definedName name="_xlnm._FilterDatabase" localSheetId="1" hidden="1">宝箱!$A$3:$F$7</definedName>
    <definedName name="_xlnm._FilterDatabase" localSheetId="0" hidden="1">补给品!$A$3:$G$6</definedName>
    <definedName name="_xlnm._FilterDatabase" localSheetId="5" hidden="1">材料!$A$3:$G$7</definedName>
    <definedName name="_xlnm._FilterDatabase" localSheetId="4" hidden="1">大宝箱!$A$3:$C$4</definedName>
    <definedName name="_xlnm._FilterDatabase" localSheetId="2" hidden="1">掉落矩阵!$A$3:$E$20</definedName>
    <definedName name="_xlnm._FilterDatabase" localSheetId="6" hidden="1">机关!$A$3:$L$24</definedName>
    <definedName name="Operate" comment="机关作用类型">枚举!$D$1:$D$8</definedName>
    <definedName name="Stuff" comment="材料类型">枚举!$B$1:$B$6</definedName>
    <definedName name="材料区">掉落生成器!$A$3:$G$12</definedName>
    <definedName name="生成区">掉落生成器!$P$3:$T$62</definedName>
    <definedName name="芯片区">掉落生成器!$A$16:$K$30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5" i="3" l="1"/>
  <c r="B6" i="3"/>
  <c r="B7" i="3"/>
  <c r="B8" i="3"/>
  <c r="B9" i="3"/>
  <c r="B10" i="3"/>
  <c r="B11" i="3"/>
  <c r="B12" i="3"/>
  <c r="B13" i="3"/>
  <c r="B15" i="3"/>
  <c r="B17" i="3"/>
  <c r="C13" i="3"/>
  <c r="C17" i="3"/>
  <c r="C5" i="3"/>
  <c r="C6" i="3"/>
  <c r="C7" i="3"/>
  <c r="C8" i="3"/>
  <c r="C9" i="3"/>
  <c r="C12" i="3"/>
  <c r="C1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B14" i="3"/>
  <c r="B18" i="3"/>
  <c r="C10" i="3"/>
  <c r="C15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B16" i="3"/>
  <c r="C11" i="3"/>
  <c r="C16" i="3"/>
  <c r="C18" i="3"/>
  <c r="C4" i="3"/>
  <c r="D4" i="3"/>
  <c r="E4" i="3"/>
  <c r="B4" i="3"/>
  <c r="B20" i="3" l="1"/>
  <c r="E20" i="3" s="1"/>
  <c r="B19" i="3"/>
  <c r="E19" i="3" s="1"/>
  <c r="B22" i="3"/>
  <c r="S8" i="10"/>
  <c r="S12" i="10" s="1"/>
  <c r="S16" i="10" s="1"/>
  <c r="S20" i="10" s="1"/>
  <c r="S24" i="10" s="1"/>
  <c r="S28" i="10" s="1"/>
  <c r="S32" i="10" s="1"/>
  <c r="S36" i="10" s="1"/>
  <c r="S40" i="10" s="1"/>
  <c r="S44" i="10" s="1"/>
  <c r="S48" i="10" s="1"/>
  <c r="S52" i="10" s="1"/>
  <c r="S56" i="10" s="1"/>
  <c r="S60" i="10" s="1"/>
  <c r="S9" i="10"/>
  <c r="S13" i="10" s="1"/>
  <c r="S17" i="10" s="1"/>
  <c r="S21" i="10" s="1"/>
  <c r="S25" i="10" s="1"/>
  <c r="S29" i="10" s="1"/>
  <c r="S33" i="10" s="1"/>
  <c r="S37" i="10" s="1"/>
  <c r="S41" i="10" s="1"/>
  <c r="S45" i="10" s="1"/>
  <c r="S49" i="10" s="1"/>
  <c r="S53" i="10" s="1"/>
  <c r="S57" i="10" s="1"/>
  <c r="S61" i="10" s="1"/>
  <c r="S10" i="10"/>
  <c r="S14" i="10" s="1"/>
  <c r="S18" i="10" s="1"/>
  <c r="S22" i="10" s="1"/>
  <c r="S26" i="10" s="1"/>
  <c r="S30" i="10" s="1"/>
  <c r="S34" i="10" s="1"/>
  <c r="S38" i="10" s="1"/>
  <c r="S42" i="10" s="1"/>
  <c r="S46" i="10" s="1"/>
  <c r="S50" i="10" s="1"/>
  <c r="S54" i="10" s="1"/>
  <c r="S58" i="10" s="1"/>
  <c r="S62" i="10" s="1"/>
  <c r="S7" i="10"/>
  <c r="S11" i="10" s="1"/>
  <c r="S15" i="10" s="1"/>
  <c r="S19" i="10" s="1"/>
  <c r="S23" i="10" s="1"/>
  <c r="S27" i="10" s="1"/>
  <c r="S31" i="10" s="1"/>
  <c r="S35" i="10" s="1"/>
  <c r="S39" i="10" s="1"/>
  <c r="S43" i="10" s="1"/>
  <c r="S47" i="10" s="1"/>
  <c r="S51" i="10" s="1"/>
  <c r="S55" i="10" s="1"/>
  <c r="S59" i="10" s="1"/>
  <c r="Q8" i="10"/>
  <c r="Q12" i="10" s="1"/>
  <c r="Q16" i="10" s="1"/>
  <c r="Q20" i="10" s="1"/>
  <c r="Q24" i="10" s="1"/>
  <c r="Q28" i="10" s="1"/>
  <c r="Q32" i="10" s="1"/>
  <c r="Q36" i="10" s="1"/>
  <c r="Q40" i="10" s="1"/>
  <c r="Q44" i="10" s="1"/>
  <c r="Q48" i="10" s="1"/>
  <c r="Q52" i="10" s="1"/>
  <c r="Q56" i="10" s="1"/>
  <c r="Q60" i="10" s="1"/>
  <c r="Q9" i="10"/>
  <c r="Q13" i="10" s="1"/>
  <c r="Q17" i="10" s="1"/>
  <c r="Q21" i="10" s="1"/>
  <c r="Q25" i="10" s="1"/>
  <c r="Q29" i="10" s="1"/>
  <c r="Q33" i="10" s="1"/>
  <c r="Q37" i="10" s="1"/>
  <c r="Q41" i="10" s="1"/>
  <c r="Q45" i="10" s="1"/>
  <c r="Q49" i="10" s="1"/>
  <c r="Q53" i="10" s="1"/>
  <c r="Q57" i="10" s="1"/>
  <c r="Q61" i="10" s="1"/>
  <c r="Q10" i="10"/>
  <c r="Q14" i="10" s="1"/>
  <c r="Q18" i="10" s="1"/>
  <c r="Q22" i="10" s="1"/>
  <c r="Q26" i="10" s="1"/>
  <c r="Q30" i="10" s="1"/>
  <c r="Q34" i="10" s="1"/>
  <c r="Q38" i="10" s="1"/>
  <c r="Q42" i="10" s="1"/>
  <c r="Q46" i="10" s="1"/>
  <c r="Q50" i="10" s="1"/>
  <c r="Q54" i="10" s="1"/>
  <c r="Q58" i="10" s="1"/>
  <c r="Q62" i="10" s="1"/>
  <c r="Q7" i="10"/>
  <c r="Q11" i="10" s="1"/>
  <c r="Q15" i="10" s="1"/>
  <c r="Q19" i="10" s="1"/>
  <c r="Q23" i="10" s="1"/>
  <c r="Q27" i="10" s="1"/>
  <c r="Q31" i="10" s="1"/>
  <c r="Q35" i="10" s="1"/>
  <c r="Q39" i="10" s="1"/>
  <c r="Q43" i="10" s="1"/>
  <c r="Q47" i="10" s="1"/>
  <c r="Q51" i="10" s="1"/>
  <c r="Q55" i="10" s="1"/>
  <c r="Q59" i="10" s="1"/>
  <c r="P12" i="10"/>
  <c r="P16" i="10" s="1"/>
  <c r="P20" i="10" s="1"/>
  <c r="P24" i="10" s="1"/>
  <c r="P28" i="10" s="1"/>
  <c r="P32" i="10" s="1"/>
  <c r="P36" i="10" s="1"/>
  <c r="P40" i="10" s="1"/>
  <c r="P44" i="10" s="1"/>
  <c r="P48" i="10" s="1"/>
  <c r="P52" i="10" s="1"/>
  <c r="P56" i="10" s="1"/>
  <c r="P60" i="10" s="1"/>
  <c r="P13" i="10"/>
  <c r="P17" i="10" s="1"/>
  <c r="P21" i="10" s="1"/>
  <c r="P25" i="10" s="1"/>
  <c r="P29" i="10" s="1"/>
  <c r="P33" i="10" s="1"/>
  <c r="P37" i="10" s="1"/>
  <c r="P41" i="10" s="1"/>
  <c r="P45" i="10" s="1"/>
  <c r="P49" i="10" s="1"/>
  <c r="P53" i="10" s="1"/>
  <c r="P57" i="10" s="1"/>
  <c r="P61" i="10" s="1"/>
  <c r="P14" i="10"/>
  <c r="P18" i="10" s="1"/>
  <c r="P22" i="10" s="1"/>
  <c r="P26" i="10" s="1"/>
  <c r="P30" i="10" s="1"/>
  <c r="P34" i="10" s="1"/>
  <c r="P38" i="10" s="1"/>
  <c r="P42" i="10" s="1"/>
  <c r="P46" i="10" s="1"/>
  <c r="P50" i="10" s="1"/>
  <c r="P54" i="10" s="1"/>
  <c r="P58" i="10" s="1"/>
  <c r="P62" i="10" s="1"/>
  <c r="P11" i="10"/>
  <c r="P15" i="10" s="1"/>
  <c r="P19" i="10" s="1"/>
  <c r="P23" i="10" s="1"/>
  <c r="P27" i="10" s="1"/>
  <c r="P31" i="10" s="1"/>
  <c r="P35" i="10" s="1"/>
  <c r="P39" i="10" s="1"/>
  <c r="P43" i="10" s="1"/>
  <c r="P47" i="10" s="1"/>
  <c r="P51" i="10" s="1"/>
  <c r="P55" i="10" s="1"/>
  <c r="P59" i="10" s="1"/>
  <c r="C20" i="3" l="1"/>
  <c r="D20" i="3"/>
  <c r="C19" i="3"/>
  <c r="D19" i="3"/>
  <c r="B30" i="10"/>
  <c r="L3" i="10" l="1"/>
  <c r="L4" i="10" s="1"/>
  <c r="L5" i="10" s="1"/>
  <c r="L6" i="10" s="1"/>
  <c r="L7" i="10" s="1"/>
  <c r="L8" i="10" s="1"/>
  <c r="L9" i="10" s="1"/>
  <c r="L10" i="10" s="1"/>
  <c r="L11" i="10" s="1"/>
  <c r="L12" i="10" s="1"/>
  <c r="L13" i="10" s="1"/>
  <c r="L14" i="10" s="1"/>
  <c r="L15" i="10" s="1"/>
  <c r="L16" i="10" s="1"/>
  <c r="L17" i="10" s="1"/>
  <c r="L18" i="10" s="1"/>
  <c r="L19" i="10" s="1"/>
  <c r="L20" i="10" s="1"/>
  <c r="L21" i="10" s="1"/>
  <c r="L22" i="10" s="1"/>
  <c r="L23" i="10" s="1"/>
  <c r="L24" i="10" s="1"/>
  <c r="L25" i="10" s="1"/>
  <c r="L26" i="10" s="1"/>
</calcChain>
</file>

<file path=xl/comments1.xml><?xml version="1.0" encoding="utf-8"?>
<comments xmlns="http://schemas.openxmlformats.org/spreadsheetml/2006/main">
  <authors>
    <author>作者</author>
  </authors>
  <commentList>
    <comment ref="B2" authorId="0" shapeId="0">
      <text>
        <r>
          <rPr>
            <b/>
            <sz val="9"/>
            <color indexed="81"/>
            <rFont val="宋体"/>
            <family val="3"/>
            <charset val="134"/>
          </rPr>
          <t>材料类型</t>
        </r>
      </text>
    </comment>
    <comment ref="D2" authorId="0" shapeId="0">
      <text>
        <r>
          <rPr>
            <b/>
            <sz val="9"/>
            <color indexed="81"/>
            <rFont val="宋体"/>
            <family val="3"/>
            <charset val="134"/>
          </rPr>
          <t>机关作用类型</t>
        </r>
      </text>
    </comment>
    <comment ref="B3" authorId="0" shapeId="0">
      <text>
        <r>
          <rPr>
            <sz val="9"/>
            <color indexed="81"/>
            <rFont val="宋体"/>
            <family val="3"/>
            <charset val="134"/>
          </rPr>
          <t>金属,物资的一种</t>
        </r>
      </text>
    </comment>
    <comment ref="D3" authorId="0" shapeId="0">
      <text>
        <r>
          <rPr>
            <sz val="9"/>
            <color indexed="81"/>
            <rFont val="宋体"/>
            <family val="3"/>
            <charset val="134"/>
          </rPr>
          <t>立即释放指定的技能（参数1）</t>
        </r>
      </text>
    </comment>
    <comment ref="B4" authorId="0" shapeId="0">
      <text>
        <r>
          <rPr>
            <sz val="9"/>
            <color indexed="81"/>
            <rFont val="宋体"/>
            <family val="3"/>
            <charset val="134"/>
          </rPr>
          <t>有机物，物资的一种</t>
        </r>
      </text>
    </comment>
    <comment ref="D4" authorId="0" shapeId="0">
      <text>
        <r>
          <rPr>
            <sz val="9"/>
            <color indexed="81"/>
            <rFont val="宋体"/>
            <family val="3"/>
            <charset val="134"/>
          </rPr>
          <t>在参数6的范围内容，随机标志出几个未翻开怪物位置。参数5表示怪物数量,</t>
        </r>
      </text>
    </comment>
    <comment ref="B5" authorId="0" shapeId="0">
      <text>
        <r>
          <rPr>
            <sz val="9"/>
            <color indexed="81"/>
            <rFont val="宋体"/>
            <family val="3"/>
            <charset val="134"/>
          </rPr>
          <t>生命核心，物资的一种</t>
        </r>
      </text>
    </comment>
    <comment ref="D5" authorId="0" shapeId="0">
      <text>
        <r>
          <rPr>
            <sz val="9"/>
            <color indexed="81"/>
            <rFont val="宋体"/>
            <family val="3"/>
            <charset val="134"/>
          </rPr>
          <t>直接给玩家增加属性，参数4为表示属性增加的RPN</t>
        </r>
      </text>
    </comment>
    <comment ref="B6" authorId="0" shapeId="0">
      <text>
        <r>
          <rPr>
            <sz val="9"/>
            <color indexed="81"/>
            <rFont val="宋体"/>
            <family val="3"/>
            <charset val="134"/>
          </rPr>
          <t>灵魂，这是唯一在游戏结束后也不会清零的货币，它的用途是用来解锁新角色。</t>
        </r>
      </text>
    </comment>
    <comment ref="D6" authorId="0" shapeId="0">
      <text>
        <r>
          <rPr>
            <sz val="9"/>
            <color indexed="81"/>
            <rFont val="宋体"/>
            <family val="3"/>
            <charset val="134"/>
          </rPr>
          <t>给玩家有使用次数的主动技能，参数1指定主动技能，参数5指定数量。注意如果玩家重复获得某技能，那么该技能的数量会增加，而不是又出现一个新技能。</t>
        </r>
      </text>
    </comment>
    <comment ref="D7" authorId="0" shapeId="0">
      <text>
        <r>
          <rPr>
            <sz val="9"/>
            <color indexed="81"/>
            <rFont val="宋体"/>
            <family val="3"/>
            <charset val="134"/>
          </rPr>
          <t>使用召唤技能，参数2为召唤技能。如果召唤方式为炮台（可以根据targetType进行判断），在参数6的范围内，随机一个可见的（阻碍）位置作为炮台的放置点。</t>
        </r>
      </text>
    </comment>
    <comment ref="D8" authorId="0" shapeId="0">
      <text>
        <r>
          <rPr>
            <b/>
            <sz val="9"/>
            <color indexed="81"/>
            <rFont val="宋体"/>
            <family val="3"/>
            <charset val="134"/>
          </rPr>
          <t>打开阶段宝箱的钥匙</t>
        </r>
      </text>
    </comment>
  </commentList>
</comments>
</file>

<file path=xl/sharedStrings.xml><?xml version="1.0" encoding="utf-8"?>
<sst xmlns="http://schemas.openxmlformats.org/spreadsheetml/2006/main" count="452" uniqueCount="286">
  <si>
    <t>描述</t>
  </si>
  <si>
    <t>string</t>
  </si>
  <si>
    <t>名称</t>
  </si>
  <si>
    <t>name</t>
  </si>
  <si>
    <t>describe</t>
  </si>
  <si>
    <t>参数</t>
  </si>
  <si>
    <t>arg</t>
  </si>
  <si>
    <t>distance</t>
    <phoneticPr fontId="1" type="noConversion"/>
  </si>
  <si>
    <t>血瓶</t>
  </si>
  <si>
    <t>宝箱</t>
  </si>
  <si>
    <t>打开获得各种材料</t>
  </si>
  <si>
    <t>补给品编号</t>
  </si>
  <si>
    <t>外观</t>
  </si>
  <si>
    <t>ulong</t>
  </si>
  <si>
    <t>prefab</t>
  </si>
  <si>
    <t>level</t>
    <phoneticPr fontId="1" type="noConversion"/>
  </si>
  <si>
    <t>short</t>
    <phoneticPr fontId="1" type="noConversion"/>
  </si>
  <si>
    <t>level1</t>
  </si>
  <si>
    <t>level2</t>
  </si>
  <si>
    <t>level3</t>
  </si>
  <si>
    <t>level4</t>
  </si>
  <si>
    <t>材料编号</t>
    <phoneticPr fontId="1" type="noConversion"/>
  </si>
  <si>
    <t>是否死亡清空：有些（目前就一种）材料，即便是游戏结束，它也不会清空，比如用来购买新角色的材料</t>
    <phoneticPr fontId="1" type="noConversion"/>
  </si>
  <si>
    <t>ulong</t>
    <phoneticPr fontId="1" type="noConversion"/>
  </si>
  <si>
    <t>stuff</t>
    <phoneticPr fontId="1" type="noConversion"/>
  </si>
  <si>
    <t>clear</t>
    <phoneticPr fontId="1" type="noConversion"/>
  </si>
  <si>
    <t>灵魂</t>
    <phoneticPr fontId="1" type="noConversion"/>
  </si>
  <si>
    <t>即便死亡，灵魂也不会消散</t>
    <phoneticPr fontId="1" type="noConversion"/>
  </si>
  <si>
    <t>Soul</t>
  </si>
  <si>
    <t>金属</t>
    <phoneticPr fontId="1" type="noConversion"/>
  </si>
  <si>
    <t>一种常见材料</t>
    <phoneticPr fontId="1" type="noConversion"/>
  </si>
  <si>
    <t>Coherer</t>
  </si>
  <si>
    <t>有机物</t>
    <phoneticPr fontId="1" type="noConversion"/>
  </si>
  <si>
    <t>生命核心</t>
    <phoneticPr fontId="1" type="noConversion"/>
  </si>
  <si>
    <t>稀有材料</t>
    <phoneticPr fontId="1" type="noConversion"/>
  </si>
  <si>
    <t>Core</t>
    <phoneticPr fontId="1" type="noConversion"/>
  </si>
  <si>
    <t>Organics</t>
    <phoneticPr fontId="1" type="noConversion"/>
  </si>
  <si>
    <t>Coherer</t>
    <phoneticPr fontId="1" type="noConversion"/>
  </si>
  <si>
    <t>Soul</t>
    <phoneticPr fontId="1" type="noConversion"/>
  </si>
  <si>
    <t>Stuff</t>
    <phoneticPr fontId="1" type="noConversion"/>
  </si>
  <si>
    <t>材料类型</t>
    <phoneticPr fontId="1" type="noConversion"/>
  </si>
  <si>
    <t>string[|;]</t>
    <phoneticPr fontId="1" type="noConversion"/>
  </si>
  <si>
    <t>距离：该物品所在格离起点的距离，如果超出所有距离，就一直使用最后一条数据</t>
    <phoneticPr fontId="1" type="noConversion"/>
  </si>
  <si>
    <t>int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</si>
  <si>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品质4对应的掉落id</t>
    </r>
    <phoneticPr fontId="1" type="noConversion"/>
  </si>
  <si>
    <t>id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</si>
  <si>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品质2对应的掉落id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</si>
  <si>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品质3对应的掉落id</t>
    </r>
    <phoneticPr fontId="1" type="noConversion"/>
  </si>
  <si>
    <t>Stuff</t>
    <phoneticPr fontId="1" type="noConversion"/>
  </si>
  <si>
    <t>bool</t>
    <phoneticPr fontId="1" type="noConversion"/>
  </si>
  <si>
    <t>宝箱编号</t>
    <phoneticPr fontId="1" type="noConversion"/>
  </si>
  <si>
    <t>等级，宝箱等级与宝箱出现的位置（离起点距离）共同决定宝箱掉落</t>
    <phoneticPr fontId="1" type="noConversion"/>
  </si>
  <si>
    <t>♂枚举</t>
    <phoneticPr fontId="1" type="noConversion"/>
  </si>
  <si>
    <t>box_c_0</t>
    <phoneticPr fontId="1" type="noConversion"/>
  </si>
  <si>
    <t>box_c_1</t>
    <phoneticPr fontId="1" type="noConversion"/>
  </si>
  <si>
    <t>box_c_2</t>
    <phoneticPr fontId="1" type="noConversion"/>
  </si>
  <si>
    <t>box_t_0</t>
    <phoneticPr fontId="1" type="noConversion"/>
  </si>
  <si>
    <t>box_t_1</t>
  </si>
  <si>
    <t>box_t_2</t>
  </si>
  <si>
    <t>box_t_3</t>
  </si>
  <si>
    <t>零件编号</t>
    <phoneticPr fontId="1" type="noConversion"/>
  </si>
  <si>
    <t>等级（貌似没有使用该项）</t>
    <phoneticPr fontId="1" type="noConversion"/>
  </si>
  <si>
    <t>long[;,]</t>
    <phoneticPr fontId="1" type="noConversion"/>
  </si>
  <si>
    <t>名称</t>
    <phoneticPr fontId="1" type="noConversion"/>
  </si>
  <si>
    <t>描述</t>
    <phoneticPr fontId="1" type="noConversion"/>
  </si>
  <si>
    <t>外观</t>
    <phoneticPr fontId="1" type="noConversion"/>
  </si>
  <si>
    <t>ActiveSkillsConfig</t>
    <phoneticPr fontId="1" type="noConversion"/>
  </si>
  <si>
    <t>int[~]</t>
    <phoneticPr fontId="1" type="noConversion"/>
  </si>
  <si>
    <t>机关类型</t>
    <phoneticPr fontId="1" type="noConversion"/>
  </si>
  <si>
    <t>Operate</t>
    <phoneticPr fontId="1" type="noConversion"/>
  </si>
  <si>
    <t>Radar</t>
  </si>
  <si>
    <t>Radar</t>
    <phoneticPr fontId="1" type="noConversion"/>
  </si>
  <si>
    <t>Operate</t>
    <phoneticPr fontId="1" type="noConversion"/>
  </si>
  <si>
    <t>operate</t>
    <phoneticPr fontId="1" type="noConversion"/>
  </si>
  <si>
    <t>免疫5次伤害</t>
    <phoneticPr fontId="1" type="noConversion"/>
  </si>
  <si>
    <t>偏转力场</t>
    <phoneticPr fontId="1" type="noConversion"/>
  </si>
  <si>
    <t>眩光脉冲</t>
    <phoneticPr fontId="1" type="noConversion"/>
  </si>
  <si>
    <t>全部敌人昏迷2回合</t>
    <phoneticPr fontId="1" type="noConversion"/>
  </si>
  <si>
    <t>探测雷达</t>
    <phoneticPr fontId="1" type="noConversion"/>
  </si>
  <si>
    <t>StateConfig</t>
    <phoneticPr fontId="1" type="noConversion"/>
  </si>
  <si>
    <t>4~6</t>
    <phoneticPr fontId="1" type="noConversion"/>
  </si>
  <si>
    <t>随机标记出4~6个敌人的位置</t>
    <phoneticPr fontId="1" type="noConversion"/>
  </si>
  <si>
    <t>Property</t>
  </si>
  <si>
    <t>Property</t>
    <phoneticPr fontId="1" type="noConversion"/>
  </si>
  <si>
    <t>arg1</t>
    <phoneticPr fontId="1" type="noConversion"/>
  </si>
  <si>
    <t>arg2</t>
    <phoneticPr fontId="1" type="noConversion"/>
  </si>
  <si>
    <t>arg3</t>
    <phoneticPr fontId="1" type="noConversion"/>
  </si>
  <si>
    <t>arg4</t>
    <phoneticPr fontId="1" type="noConversion"/>
  </si>
  <si>
    <t>参数1：主动技能</t>
    <phoneticPr fontId="1" type="noConversion"/>
  </si>
  <si>
    <t>参数3：状态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</si>
  <si>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参数4：逆波兰式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</si>
  <si>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参数5：数量</t>
    </r>
    <phoneticPr fontId="1" type="noConversion"/>
  </si>
  <si>
    <t>arg5</t>
    <phoneticPr fontId="1" type="noConversion"/>
  </si>
  <si>
    <t>参数2：召唤技能</t>
    <phoneticPr fontId="1" type="noConversion"/>
  </si>
  <si>
    <t>SummonSkillsConfig</t>
    <phoneticPr fontId="1" type="noConversion"/>
  </si>
  <si>
    <t>召唤炮台</t>
    <phoneticPr fontId="1" type="noConversion"/>
  </si>
  <si>
    <t>召唤一个炮台辅助攻击</t>
    <phoneticPr fontId="1" type="noConversion"/>
  </si>
  <si>
    <t>拾取效果</t>
    <phoneticPr fontId="1" type="noConversion"/>
  </si>
  <si>
    <t>string</t>
    <phoneticPr fontId="1" type="noConversion"/>
  </si>
  <si>
    <t>pickup</t>
    <phoneticPr fontId="1" type="noConversion"/>
  </si>
  <si>
    <t>name</t>
    <phoneticPr fontId="1" type="noConversion"/>
  </si>
  <si>
    <t>describe</t>
    <phoneticPr fontId="1" type="noConversion"/>
  </si>
  <si>
    <t>恢复20%生命值</t>
    <phoneticPr fontId="1" type="noConversion"/>
  </si>
  <si>
    <t>恢复30%生命值</t>
    <phoneticPr fontId="1" type="noConversion"/>
  </si>
  <si>
    <t>恢复40%生命值</t>
    <phoneticPr fontId="1" type="noConversion"/>
  </si>
  <si>
    <t>钥匙</t>
    <phoneticPr fontId="1" type="noConversion"/>
  </si>
  <si>
    <t>散发着神秘光彩的钥匙？</t>
    <phoneticPr fontId="1" type="noConversion"/>
  </si>
  <si>
    <t>Kelid</t>
  </si>
  <si>
    <t>Kelid</t>
    <phoneticPr fontId="1" type="noConversion"/>
  </si>
  <si>
    <t>box_p_301</t>
    <phoneticPr fontId="1" type="noConversion"/>
  </si>
  <si>
    <t>AddSkill</t>
  </si>
  <si>
    <t>AddSkill</t>
    <phoneticPr fontId="1" type="noConversion"/>
  </si>
  <si>
    <t>ActiveSkills</t>
  </si>
  <si>
    <t>ActiveSkills</t>
    <phoneticPr fontId="1" type="noConversion"/>
  </si>
  <si>
    <t>SummonSkill</t>
  </si>
  <si>
    <t>SummonSkill</t>
    <phoneticPr fontId="1" type="noConversion"/>
  </si>
  <si>
    <t>chips</t>
    <phoneticPr fontId="1" type="noConversion"/>
  </si>
  <si>
    <t>ChipConfig[;]</t>
    <phoneticPr fontId="1" type="noConversion"/>
  </si>
  <si>
    <t>weight</t>
    <phoneticPr fontId="1" type="noConversion"/>
  </si>
  <si>
    <t>int[:]</t>
    <phoneticPr fontId="1" type="noConversion"/>
  </si>
  <si>
    <t>1:1:1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</si>
  <si>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掉落权重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</si>
  <si>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掉落芯片id</t>
    </r>
    <phoneticPr fontId="1" type="noConversion"/>
  </si>
  <si>
    <t>100001;100006;100011</t>
    <phoneticPr fontId="1" type="noConversion"/>
  </si>
  <si>
    <t>距离</t>
    <phoneticPr fontId="1" type="noConversion"/>
  </si>
  <si>
    <t>dis</t>
    <phoneticPr fontId="1" type="noConversion"/>
  </si>
  <si>
    <t>box_p_302</t>
    <phoneticPr fontId="1" type="noConversion"/>
  </si>
  <si>
    <t>box_p_303</t>
    <phoneticPr fontId="1" type="noConversion"/>
  </si>
  <si>
    <t>box_p_304</t>
    <phoneticPr fontId="1" type="noConversion"/>
  </si>
  <si>
    <t>box_p_305</t>
    <phoneticPr fontId="1" type="noConversion"/>
  </si>
  <si>
    <t>box_p_306</t>
    <phoneticPr fontId="1" type="noConversion"/>
  </si>
  <si>
    <t>box_p_307</t>
    <phoneticPr fontId="1" type="noConversion"/>
  </si>
  <si>
    <t>加速力场</t>
  </si>
  <si>
    <t>空间力场</t>
  </si>
  <si>
    <t>虚弱领域</t>
  </si>
  <si>
    <t>15回合内先攻值提高100%</t>
  </si>
  <si>
    <t>10回合内免疫物理伤害</t>
  </si>
  <si>
    <t>所有敌人生命值减半</t>
  </si>
  <si>
    <t>虚空雷达</t>
  </si>
  <si>
    <t>翻开一个格子以及它周围的格子</t>
  </si>
  <si>
    <t>吸虹导弹</t>
  </si>
  <si>
    <t>造成100%的实弹伤害，并恢复等量生命值</t>
  </si>
  <si>
    <t>时空转移</t>
  </si>
  <si>
    <t>翻开一个格子并传送到此，如果该格子非空，会传送失败</t>
  </si>
  <si>
    <t>干扰射线</t>
  </si>
  <si>
    <t>造成150%光线伤害，并使目标昏迷3回合</t>
  </si>
  <si>
    <t>ActiveSkills</t>
    <phoneticPr fontId="1" type="noConversion"/>
  </si>
  <si>
    <t>AddSkill</t>
    <phoneticPr fontId="1" type="noConversion"/>
  </si>
  <si>
    <t>残破零件</t>
    <phoneticPr fontId="1" type="noConversion"/>
  </si>
  <si>
    <t>机动+2</t>
    <phoneticPr fontId="1" type="noConversion"/>
  </si>
  <si>
    <t>※rpn[s_capacity=s_capacity+2]</t>
    <phoneticPr fontId="1" type="noConversion"/>
  </si>
  <si>
    <t>功率+2</t>
    <phoneticPr fontId="1" type="noConversion"/>
  </si>
  <si>
    <t>填装速度+2</t>
    <phoneticPr fontId="1" type="noConversion"/>
  </si>
  <si>
    <t>※rpn[s_reloadSpeed=s_reloadSpeed+2]</t>
    <phoneticPr fontId="1" type="noConversion"/>
  </si>
  <si>
    <t>1~2</t>
    <phoneticPr fontId="1" type="noConversion"/>
  </si>
  <si>
    <t>2~4</t>
    <phoneticPr fontId="1" type="noConversion"/>
  </si>
  <si>
    <t>2~3</t>
    <phoneticPr fontId="1" type="noConversion"/>
  </si>
  <si>
    <t>※rpn[s_motorized=s_motorized+2]</t>
    <phoneticPr fontId="1" type="noConversion"/>
  </si>
  <si>
    <t>fx_pickup_heart</t>
    <phoneticPr fontId="1" type="noConversion"/>
  </si>
  <si>
    <t>pick_money_1</t>
  </si>
  <si>
    <t>pick_money_2</t>
  </si>
  <si>
    <t>pick_money_0</t>
    <phoneticPr fontId="1" type="noConversion"/>
  </si>
  <si>
    <r>
      <t>[2维]</t>
    </r>
    <r>
      <rPr>
        <sz val="11"/>
        <rFont val="微软雅黑"/>
        <family val="2"/>
        <charset val="134"/>
      </rPr>
      <t xml:space="preserve">品质1对应的掉落格式：[次数1;次数2|权重1;权重2;权重3... | 物品1;物品2;物品3...| 类型1; 类型2; 类型3...]。
level1[0]掉落次数；
level1[1]是权重数组，你可以使用SuperTool.CreateWeightSection(level1.ToList(1))得到一个WeightSection对象，这个对象的RanPoint()方法可以根据权重得到一个落点n；
level1[2]是物品id，使用刚刚获得的下标n，level1[2,n]获得id；
level1[3]是物品类型，其实就是用来告诉你刚刚获得的id属于哪个配置表，level1[3,n]得到字符串，目前只有Stuff和Chip两种，前者找StuffConfig，后者找ChipConfig。
</t>
    </r>
    <phoneticPr fontId="1" type="noConversion"/>
  </si>
  <si>
    <t>攻击力+2</t>
    <phoneticPr fontId="1" type="noConversion"/>
  </si>
  <si>
    <t>※rpn[s_attack=s_attack+2]</t>
    <phoneticPr fontId="1" type="noConversion"/>
  </si>
  <si>
    <t>权重</t>
    <phoneticPr fontId="1" type="noConversion"/>
  </si>
  <si>
    <t>数量</t>
    <phoneticPr fontId="1" type="noConversion"/>
  </si>
  <si>
    <t>芯片</t>
    <phoneticPr fontId="1" type="noConversion"/>
  </si>
  <si>
    <t>材料</t>
    <phoneticPr fontId="1" type="noConversion"/>
  </si>
  <si>
    <t>组合1</t>
    <phoneticPr fontId="1" type="noConversion"/>
  </si>
  <si>
    <t>组合2</t>
  </si>
  <si>
    <t>组合3</t>
  </si>
  <si>
    <t>芯片区</t>
    <phoneticPr fontId="1" type="noConversion"/>
  </si>
  <si>
    <t>生成</t>
    <phoneticPr fontId="1" type="noConversion"/>
  </si>
  <si>
    <t>结果</t>
    <phoneticPr fontId="1" type="noConversion"/>
  </si>
  <si>
    <t>全芯片</t>
    <phoneticPr fontId="1" type="noConversion"/>
  </si>
  <si>
    <t>组合4</t>
  </si>
  <si>
    <t>战场补给</t>
    <phoneticPr fontId="1" type="noConversion"/>
  </si>
  <si>
    <t>生命值+5</t>
    <phoneticPr fontId="1" type="noConversion"/>
  </si>
  <si>
    <r>
      <t>※rpn[s_mhp=s_mhp+5]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※rpn[s_nhp=s_nhp+5]</t>
    </r>
    <phoneticPr fontId="1" type="noConversion"/>
  </si>
  <si>
    <t>先攻+1</t>
    <phoneticPr fontId="1" type="noConversion"/>
  </si>
  <si>
    <t>※rpn[s_speed=s_speed+1]</t>
    <phoneticPr fontId="1" type="noConversion"/>
  </si>
  <si>
    <t>int</t>
    <phoneticPr fontId="1" type="noConversion"/>
  </si>
  <si>
    <t>参数6：范围/射程</t>
    <phoneticPr fontId="1" type="noConversion"/>
  </si>
  <si>
    <t>arg6</t>
    <phoneticPr fontId="1" type="noConversion"/>
  </si>
  <si>
    <t>※rpn[s_nhp=0.2*s_mhp+s_nhp]</t>
    <phoneticPr fontId="1" type="noConversion"/>
  </si>
  <si>
    <t>※rpn[s_nhp=0.3*s_mhp+s_nhp]</t>
  </si>
  <si>
    <t>※rpn[s_nhp=0.4*s_mhp+s_nhp]</t>
  </si>
  <si>
    <t>fx_pickup_heart</t>
  </si>
  <si>
    <t>15;15;15;1;1;1;1;1;1;1;1;1;1;1;1;1;1;1;1;1;1;1;1;1;1;1;1;1|44;44;35;2;2;2;2;2;2;2;2;2;2;2;2;2;2;2;2;2;2;2;2;2;2;2;2;2|1001;1002;1003;100011;100021;100031;100041;100051;100061;100071;100081;100091;100101;100111;100121;100131;100141;100151;100161;100171;100181;100191;100201;100211;100221;100231;100241;100251|Stuff;Stuff;Stuff;Chip;Chip;Chip;Chip;Chip;Chip;Chip;Chip;Chip;Chip;Chip;Chip;Chip;Chip;Chip;Chip;Chip;Chip;Chip;Chip;Chip;Chip;Chip;Chip;Chip</t>
  </si>
  <si>
    <t>10;10;10;1;1;1;1;1;1;1;1;1;1;1;1;1;1;1;1;1;1;1;1;1;1;1;1;1|53;53;42;2;2;2;2;2;2;2;2;2;2;2;2;2;2;2;2;2;2;2;2;2;2;2;2;2|1001;1002;1003;100011;100021;100031;100041;100051;100061;100071;100081;100091;100101;100111;100121;100131;100141;100151;100161;100171;100181;100191;100201;100211;100221;100231;100241;100251|Stuff;Stuff;Stuff;Chip;Chip;Chip;Chip;Chip;Chip;Chip;Chip;Chip;Chip;Chip;Chip;Chip;Chip;Chip;Chip;Chip;Chip;Chip;Chip;Chip;Chip;Chip;Chip;Chip</t>
  </si>
  <si>
    <t>30;30;30;1;1;1;1;1;1;1;1;1;1;1;1;1;1;1;1;1;1;1;1;1;1;1;1;1|0;0;0;4;4;4;4;4;4;4;4;4;4;4;4;4;4;4;4;4;4;4;4;4;4;4;4;4|1001;1002;1003;100011;100021;100031;100041;100051;100061;100071;100081;100091;100101;100111;100121;100131;100141;100151;100161;100171;100181;100191;100201;100211;100221;100231;100241;100251|Stuff;Stuff;Stuff;Chip;Chip;Chip;Chip;Chip;Chip;Chip;Chip;Chip;Chip;Chip;Chip;Chip;Chip;Chip;Chip;Chip;Chip;Chip;Chip;Chip;Chip;Chip;Chip;Chip</t>
  </si>
  <si>
    <t>组合4</t>
    <phoneticPr fontId="1" type="noConversion"/>
  </si>
  <si>
    <t>20;20;20;1;1;1;1;1;1;1;1;1;1;1;1;1;1;1;1;1;1;1;1;1;1;1;1;1|44;44;35;5;5;5;5;5;5;5;5;5;5;5;5;5;5;5;5;5;5;5;5;5;5;5;5;5|1001;1002;1003;100011;100021;100031;100041;100051;100061;100071;100081;100091;100101;100111;100121;100131;100141;100151;100161;100171;100181;100191;100201;100211;100221;100231;100241;100251|Stuff;Stuff;Stuff;Chip;Chip;Chip;Chip;Chip;Chip;Chip;Chip;Chip;Chip;Chip;Chip;Chip;Chip;Chip;Chip;Chip;Chip;Chip;Chip;Chip;Chip;Chip;Chip;Chip</t>
  </si>
  <si>
    <t>100011;100091;100181;100251</t>
    <phoneticPr fontId="1" type="noConversion"/>
  </si>
  <si>
    <t>距离30</t>
  </si>
  <si>
    <t>距离30</t>
    <phoneticPr fontId="1" type="noConversion"/>
  </si>
  <si>
    <t>距离60</t>
  </si>
  <si>
    <t>距离60</t>
    <phoneticPr fontId="1" type="noConversion"/>
  </si>
  <si>
    <t>距离90</t>
  </si>
  <si>
    <t>距离120</t>
  </si>
  <si>
    <t>距离150</t>
  </si>
  <si>
    <t>距离180</t>
  </si>
  <si>
    <t>距离210</t>
  </si>
  <si>
    <t>距离240</t>
  </si>
  <si>
    <t>距离270</t>
  </si>
  <si>
    <t>距离300</t>
  </si>
  <si>
    <t>距离330</t>
  </si>
  <si>
    <t>距离360</t>
  </si>
  <si>
    <t>距离390</t>
  </si>
  <si>
    <t>距离420</t>
  </si>
  <si>
    <t>100011;100091;100181;100251;100021;100241</t>
    <phoneticPr fontId="1" type="noConversion"/>
  </si>
  <si>
    <t>100011;100091;100181;100251;100021;100241;100031</t>
    <phoneticPr fontId="1" type="noConversion"/>
  </si>
  <si>
    <t>100091;100181;100251;100021;100241;100031;100111</t>
    <phoneticPr fontId="1" type="noConversion"/>
  </si>
  <si>
    <t>100181;100251;100021;100241;100031;100111;100161</t>
    <phoneticPr fontId="1" type="noConversion"/>
  </si>
  <si>
    <t>100251;100021;100241;100031;100111;100161;100211</t>
    <phoneticPr fontId="1" type="noConversion"/>
  </si>
  <si>
    <t>100021;100241;100031;100111;100161;100211;100041</t>
    <phoneticPr fontId="1" type="noConversion"/>
  </si>
  <si>
    <t>100241;100031;100111;100161;100211;100041;100151</t>
    <phoneticPr fontId="1" type="noConversion"/>
  </si>
  <si>
    <t>100031;100111;100161;100211;100041;100151;100131</t>
    <phoneticPr fontId="1" type="noConversion"/>
  </si>
  <si>
    <t>100111;100161;100211;100041;100151;100131;100201</t>
    <phoneticPr fontId="1" type="noConversion"/>
  </si>
  <si>
    <t>100161;100211;100041;100151;100131;100201;100071</t>
    <phoneticPr fontId="1" type="noConversion"/>
  </si>
  <si>
    <t>100211;100041;100151;100131;100201;100071;100191</t>
    <phoneticPr fontId="1" type="noConversion"/>
  </si>
  <si>
    <t>100041;100151;100131;100201;100071;100191;100121</t>
    <phoneticPr fontId="1" type="noConversion"/>
  </si>
  <si>
    <t>100151;100131;100201;100071;100191;100121;100141</t>
    <phoneticPr fontId="1" type="noConversion"/>
  </si>
  <si>
    <t>距离∞</t>
  </si>
  <si>
    <t>距离∞</t>
    <phoneticPr fontId="1" type="noConversion"/>
  </si>
  <si>
    <t>距离90</t>
    <phoneticPr fontId="1" type="noConversion"/>
  </si>
  <si>
    <t>距离150</t>
    <phoneticPr fontId="1" type="noConversion"/>
  </si>
  <si>
    <t>距离180</t>
    <phoneticPr fontId="1" type="noConversion"/>
  </si>
  <si>
    <t>距离390</t>
    <phoneticPr fontId="1" type="noConversion"/>
  </si>
  <si>
    <t>10;10;10;1;1;1;1|8;8;6;2;2;2;2|1001;1002;1003;100011;100091;100181;100251|Stuff;Stuff;Stuff;Chip;Chip;Chip;Chip</t>
    <phoneticPr fontId="1" type="noConversion"/>
  </si>
  <si>
    <t>15;15;15;1;1;1;1|7;7;5;2;2;2;2|1001;1002;1003;100011;100091;100181;100251|Stuff;Stuff;Stuff;Chip;Chip;Chip;Chip</t>
    <phoneticPr fontId="1" type="noConversion"/>
  </si>
  <si>
    <t>20;20;20;1;1;1;1|7;7;5;5;5;5;5|1001;1002;1003;100011;100091;100181;100251|Stuff;Stuff;Stuff;Chip;Chip;Chip;Chip</t>
    <phoneticPr fontId="1" type="noConversion"/>
  </si>
  <si>
    <t>30;30;30;1;1;1;1|0;0;0;4;4;4;4|1001;1002;1003;100011;100091;100181;100251|Stuff;Stuff;Stuff;Chip;Chip;Chip;Chip</t>
    <phoneticPr fontId="1" type="noConversion"/>
  </si>
  <si>
    <t>10;10;10;1;1;1;1;1;1|12;12;10;2;2;2;2;2;2|1001;1002;1003;100011;100091;100181;100251;100021;100241|Stuff;Stuff;Stuff;Chip;Chip;Chip;Chip;Chip;Chip</t>
  </si>
  <si>
    <t>15;15;15;1;1;1;1;1;1|10;10;8;2;2;2;2;2;2|1001;1002;1003;100011;100091;100181;100251;100021;100241|Stuff;Stuff;Stuff;Chip;Chip;Chip;Chip;Chip;Chip</t>
  </si>
  <si>
    <t>20;20;20;1;1;1;1;1;1|10;10;8;5;5;5;5;5;5|1001;1002;1003;100011;100091;100181;100251;100021;100241|Stuff;Stuff;Stuff;Chip;Chip;Chip;Chip;Chip;Chip</t>
  </si>
  <si>
    <t>30;30;30;1;1;1;1;1;1|0;0;0;4;4;4;4;4;4|1001;1002;1003;100011;100091;100181;100251;100021;100241|Stuff;Stuff;Stuff;Chip;Chip;Chip;Chip;Chip;Chip</t>
  </si>
  <si>
    <t>10;10;10;1;1;1;1;1;1;1|14;14;12;2;2;2;2;2;2;2|1001;1002;1003;100011;100091;100181;100251;100021;100241;100031|Stuff;Stuff;Stuff;Chip;Chip;Chip;Chip;Chip;Chip;Chip</t>
  </si>
  <si>
    <t>15;15;15;1;1;1;1;1;1;1|12;12;10;2;2;2;2;2;2;2|1001;1002;1003;100011;100091;100181;100251;100021;100241;100031|Stuff;Stuff;Stuff;Chip;Chip;Chip;Chip;Chip;Chip;Chip</t>
  </si>
  <si>
    <t>20;20;20;1;1;1;1;1;1;1|12;12;10;5;5;5;5;5;5;5|1001;1002;1003;100011;100091;100181;100251;100021;100241;100031|Stuff;Stuff;Stuff;Chip;Chip;Chip;Chip;Chip;Chip;Chip</t>
  </si>
  <si>
    <t>30;30;30;1;1;1;1;1;1;1|0;0;0;4;4;4;4;4;4;4|1001;1002;1003;100011;100091;100181;100251;100021;100241;100031|Stuff;Stuff;Stuff;Chip;Chip;Chip;Chip;Chip;Chip;Chip</t>
  </si>
  <si>
    <t>10;10;10;1;1;1;1;1;1;1|14;14;12;2;2;2;2;2;2;2|1001;1002;1003;100091;100181;100251;100021;100241;100031;100111|Stuff;Stuff;Stuff;Chip;Chip;Chip;Chip;Chip;Chip;Chip</t>
  </si>
  <si>
    <t>15;15;15;1;1;1;1;1;1;1|12;12;10;2;2;2;2;2;2;2|1001;1002;1003;100091;100181;100251;100021;100241;100031;100111|Stuff;Stuff;Stuff;Chip;Chip;Chip;Chip;Chip;Chip;Chip</t>
  </si>
  <si>
    <t>20;20;20;1;1;1;1;1;1;1|12;12;10;5;5;5;5;5;5;5|1001;1002;1003;100091;100181;100251;100021;100241;100031;100111|Stuff;Stuff;Stuff;Chip;Chip;Chip;Chip;Chip;Chip;Chip</t>
  </si>
  <si>
    <t>30;30;30;1;1;1;1;1;1;1|0;0;0;4;4;4;4;4;4;4|1001;1002;1003;100091;100181;100251;100021;100241;100031;100111|Stuff;Stuff;Stuff;Chip;Chip;Chip;Chip;Chip;Chip;Chip</t>
  </si>
  <si>
    <t>10;10;10;1;1;1;1;1;1;1|14;14;12;2;2;2;2;2;2;2|1001;1002;1003;100181;100251;100021;100241;100031;100111;100161|Stuff;Stuff;Stuff;Chip;Chip;Chip;Chip;Chip;Chip;Chip</t>
  </si>
  <si>
    <t>15;15;15;1;1;1;1;1;1;1|12;12;10;2;2;2;2;2;2;2|1001;1002;1003;100181;100251;100021;100241;100031;100111;100161|Stuff;Stuff;Stuff;Chip;Chip;Chip;Chip;Chip;Chip;Chip</t>
  </si>
  <si>
    <t>20;20;20;1;1;1;1;1;1;1|12;12;10;5;5;5;5;5;5;5|1001;1002;1003;100181;100251;100021;100241;100031;100111;100161|Stuff;Stuff;Stuff;Chip;Chip;Chip;Chip;Chip;Chip;Chip</t>
  </si>
  <si>
    <t>30;30;30;1;1;1;1;1;1;1|0;0;0;4;4;4;4;4;4;4|1001;1002;1003;100181;100251;100021;100241;100031;100111;100161|Stuff;Stuff;Stuff;Chip;Chip;Chip;Chip;Chip;Chip;Chip</t>
  </si>
  <si>
    <t>10;10;10;1;1;1;1;1;1;1|14;14;12;2;2;2;2;2;2;2|1001;1002;1003;100251;100021;100241;100031;100111;100161;100211|Stuff;Stuff;Stuff;Chip;Chip;Chip;Chip;Chip;Chip;Chip</t>
  </si>
  <si>
    <t>15;15;15;1;1;1;1;1;1;1|12;12;10;2;2;2;2;2;2;2|1001;1002;1003;100251;100021;100241;100031;100111;100161;100211|Stuff;Stuff;Stuff;Chip;Chip;Chip;Chip;Chip;Chip;Chip</t>
  </si>
  <si>
    <t>20;20;20;1;1;1;1;1;1;1|12;12;10;5;5;5;5;5;5;5|1001;1002;1003;100251;100021;100241;100031;100111;100161;100211|Stuff;Stuff;Stuff;Chip;Chip;Chip;Chip;Chip;Chip;Chip</t>
  </si>
  <si>
    <t>30;30;30;1;1;1;1;1;1;1|0;0;0;4;4;4;4;4;4;4|1001;1002;1003;100251;100021;100241;100031;100111;100161;100211|Stuff;Stuff;Stuff;Chip;Chip;Chip;Chip;Chip;Chip;Chip</t>
  </si>
  <si>
    <t>10;10;10;1;1;1;1;1;1;1|14;14;12;2;2;2;2;2;2;2|1001;1002;1003;100021;100241;100031;100111;100161;100211;100041|Stuff;Stuff;Stuff;Chip;Chip;Chip;Chip;Chip;Chip;Chip</t>
  </si>
  <si>
    <t>15;15;15;1;1;1;1;1;1;1|12;12;10;2;2;2;2;2;2;2|1001;1002;1003;100021;100241;100031;100111;100161;100211;100041|Stuff;Stuff;Stuff;Chip;Chip;Chip;Chip;Chip;Chip;Chip</t>
  </si>
  <si>
    <t>20;20;20;1;1;1;1;1;1;1|12;12;10;5;5;5;5;5;5;5|1001;1002;1003;100021;100241;100031;100111;100161;100211;100041|Stuff;Stuff;Stuff;Chip;Chip;Chip;Chip;Chip;Chip;Chip</t>
  </si>
  <si>
    <t>30;30;30;1;1;1;1;1;1;1|0;0;0;4;4;4;4;4;4;4|1001;1002;1003;100021;100241;100031;100111;100161;100211;100041|Stuff;Stuff;Stuff;Chip;Chip;Chip;Chip;Chip;Chip;Chip</t>
  </si>
  <si>
    <t>10;10;10;1;1;1;1;1;1;1|14;14;12;2;2;2;2;2;2;2|1001;1002;1003;100241;100031;100111;100161;100211;100041;100151|Stuff;Stuff;Stuff;Chip;Chip;Chip;Chip;Chip;Chip;Chip</t>
  </si>
  <si>
    <t>15;15;15;1;1;1;1;1;1;1|12;12;10;2;2;2;2;2;2;2|1001;1002;1003;100241;100031;100111;100161;100211;100041;100151|Stuff;Stuff;Stuff;Chip;Chip;Chip;Chip;Chip;Chip;Chip</t>
  </si>
  <si>
    <t>20;20;20;1;1;1;1;1;1;1|12;12;10;5;5;5;5;5;5;5|1001;1002;1003;100241;100031;100111;100161;100211;100041;100151|Stuff;Stuff;Stuff;Chip;Chip;Chip;Chip;Chip;Chip;Chip</t>
  </si>
  <si>
    <t>30;30;30;1;1;1;1;1;1;1|0;0;0;4;4;4;4;4;4;4|1001;1002;1003;100241;100031;100111;100161;100211;100041;100151|Stuff;Stuff;Stuff;Chip;Chip;Chip;Chip;Chip;Chip;Chip</t>
  </si>
  <si>
    <t>10;10;10;1;1;1;1;1;1;1|14;14;12;2;2;2;2;2;2;2|1001;1002;1003;100031;100111;100161;100211;100041;100151;100131|Stuff;Stuff;Stuff;Chip;Chip;Chip;Chip;Chip;Chip;Chip</t>
  </si>
  <si>
    <t>15;15;15;1;1;1;1;1;1;1|12;12;10;2;2;2;2;2;2;2|1001;1002;1003;100031;100111;100161;100211;100041;100151;100131|Stuff;Stuff;Stuff;Chip;Chip;Chip;Chip;Chip;Chip;Chip</t>
  </si>
  <si>
    <t>20;20;20;1;1;1;1;1;1;1|12;12;10;5;5;5;5;5;5;5|1001;1002;1003;100031;100111;100161;100211;100041;100151;100131|Stuff;Stuff;Stuff;Chip;Chip;Chip;Chip;Chip;Chip;Chip</t>
  </si>
  <si>
    <t>30;30;30;1;1;1;1;1;1;1|0;0;0;4;4;4;4;4;4;4|1001;1002;1003;100031;100111;100161;100211;100041;100151;100131|Stuff;Stuff;Stuff;Chip;Chip;Chip;Chip;Chip;Chip;Chip</t>
  </si>
  <si>
    <t>10;10;10;1;1;1;1;1;1;1|14;14;12;2;2;2;2;2;2;2|1001;1002;1003;100111;100161;100211;100041;100151;100131;100201|Stuff;Stuff;Stuff;Chip;Chip;Chip;Chip;Chip;Chip;Chip</t>
  </si>
  <si>
    <t>15;15;15;1;1;1;1;1;1;1|12;12;10;2;2;2;2;2;2;2|1001;1002;1003;100111;100161;100211;100041;100151;100131;100201|Stuff;Stuff;Stuff;Chip;Chip;Chip;Chip;Chip;Chip;Chip</t>
  </si>
  <si>
    <t>20;20;20;1;1;1;1;1;1;1|12;12;10;5;5;5;5;5;5;5|1001;1002;1003;100111;100161;100211;100041;100151;100131;100201|Stuff;Stuff;Stuff;Chip;Chip;Chip;Chip;Chip;Chip;Chip</t>
  </si>
  <si>
    <t>30;30;30;1;1;1;1;1;1;1|0;0;0;4;4;4;4;4;4;4|1001;1002;1003;100111;100161;100211;100041;100151;100131;100201|Stuff;Stuff;Stuff;Chip;Chip;Chip;Chip;Chip;Chip;Chip</t>
  </si>
  <si>
    <t>10;10;10;1;1;1;1;1;1;1|14;14;12;2;2;2;2;2;2;2|1001;1002;1003;100161;100211;100041;100151;100131;100201;100071|Stuff;Stuff;Stuff;Chip;Chip;Chip;Chip;Chip;Chip;Chip</t>
  </si>
  <si>
    <t>15;15;15;1;1;1;1;1;1;1|12;12;10;2;2;2;2;2;2;2|1001;1002;1003;100161;100211;100041;100151;100131;100201;100071|Stuff;Stuff;Stuff;Chip;Chip;Chip;Chip;Chip;Chip;Chip</t>
  </si>
  <si>
    <t>20;20;20;1;1;1;1;1;1;1|12;12;10;5;5;5;5;5;5;5|1001;1002;1003;100161;100211;100041;100151;100131;100201;100071|Stuff;Stuff;Stuff;Chip;Chip;Chip;Chip;Chip;Chip;Chip</t>
  </si>
  <si>
    <t>30;30;30;1;1;1;1;1;1;1|0;0;0;4;4;4;4;4;4;4|1001;1002;1003;100161;100211;100041;100151;100131;100201;100071|Stuff;Stuff;Stuff;Chip;Chip;Chip;Chip;Chip;Chip;Chip</t>
  </si>
  <si>
    <t>10;10;10;1;1;1;1;1;1;1|14;14;12;2;2;2;2;2;2;2|1001;1002;1003;100211;100041;100151;100131;100201;100071;100191|Stuff;Stuff;Stuff;Chip;Chip;Chip;Chip;Chip;Chip;Chip</t>
  </si>
  <si>
    <t>15;15;15;1;1;1;1;1;1;1|12;12;10;2;2;2;2;2;2;2|1001;1002;1003;100211;100041;100151;100131;100201;100071;100191|Stuff;Stuff;Stuff;Chip;Chip;Chip;Chip;Chip;Chip;Chip</t>
  </si>
  <si>
    <t>20;20;20;1;1;1;1;1;1;1|12;12;10;5;5;5;5;5;5;5|1001;1002;1003;100211;100041;100151;100131;100201;100071;100191|Stuff;Stuff;Stuff;Chip;Chip;Chip;Chip;Chip;Chip;Chip</t>
  </si>
  <si>
    <t>30;30;30;1;1;1;1;1;1;1|0;0;0;4;4;4;4;4;4;4|1001;1002;1003;100211;100041;100151;100131;100201;100071;100191|Stuff;Stuff;Stuff;Chip;Chip;Chip;Chip;Chip;Chip;Chip</t>
  </si>
  <si>
    <t>10;10;10;1;1;1;1;1;1;1|14;14;12;2;2;2;2;2;2;2|1001;1002;1003;100041;100151;100131;100201;100071;100191;100121|Stuff;Stuff;Stuff;Chip;Chip;Chip;Chip;Chip;Chip;Chip</t>
  </si>
  <si>
    <t>15;15;15;1;1;1;1;1;1;1|12;12;10;2;2;2;2;2;2;2|1001;1002;1003;100041;100151;100131;100201;100071;100191;100121|Stuff;Stuff;Stuff;Chip;Chip;Chip;Chip;Chip;Chip;Chip</t>
  </si>
  <si>
    <t>20;20;20;1;1;1;1;1;1;1|12;12;10;5;5;5;5;5;5;5|1001;1002;1003;100041;100151;100131;100201;100071;100191;100121|Stuff;Stuff;Stuff;Chip;Chip;Chip;Chip;Chip;Chip;Chip</t>
  </si>
  <si>
    <t>30;30;30;1;1;1;1;1;1;1|0;0;0;4;4;4;4;4;4;4|1001;1002;1003;100041;100151;100131;100201;100071;100191;100121|Stuff;Stuff;Stuff;Chip;Chip;Chip;Chip;Chip;Chip;Chip</t>
  </si>
  <si>
    <t>10;10;10;1;1;1;1;1;1;1|14;14;12;2;2;2;2;2;2;2|1001;1002;1003;100151;100131;100201;100071;100191;100121;100141|Stuff;Stuff;Stuff;Chip;Chip;Chip;Chip;Chip;Chip;Chip</t>
  </si>
  <si>
    <t>15;15;15;1;1;1;1;1;1;1|12;12;10;2;2;2;2;2;2;2|1001;1002;1003;100151;100131;100201;100071;100191;100121;100141|Stuff;Stuff;Stuff;Chip;Chip;Chip;Chip;Chip;Chip;Chip</t>
  </si>
  <si>
    <t>20;20;20;1;1;1;1;1;1;1|12;12;10;5;5;5;5;5;5;5|1001;1002;1003;100151;100131;100201;100071;100191;100121;100141|Stuff;Stuff;Stuff;Chip;Chip;Chip;Chip;Chip;Chip;Chip</t>
  </si>
  <si>
    <t>30;30;30;1;1;1;1;1;1;1|0;0;0;4;4;4;4;4;4;4|1001;1002;1003;100151;100131;100201;100071;100191;100121;100141|Stuff;Stuff;Stuff;Chip;Chip;Chip;Chip;Chip;Chip;Chip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</si>
</sst>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9"/>
      <color indexed="81"/>
      <name val="宋体"/>
      <family val="3"/>
      <charset val="134"/>
    </font>
    <font>
      <sz val="11"/>
      <color rgb="FF0DB4EF"/>
      <name val="微软雅黑"/>
      <family val="2"/>
      <charset val="134"/>
    </font>
    <font>
      <sz val="11"/>
      <name val="微软雅黑"/>
      <family val="2"/>
      <charset val="134"/>
    </font>
    <font>
      <b/>
      <sz val="9"/>
      <color indexed="81"/>
      <name val="宋体"/>
      <family val="3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color theme="0" tint="-0.249977111117893"/>
      <name val="微软雅黑"/>
      <family val="2"/>
      <charset val="134"/>
    </font>
    <font>
      <sz val="11"/>
      <color theme="0" tint="-0.249977111117893"/>
      <name val="等线"/>
      <family val="2"/>
      <scheme val="minor"/>
    </font>
    <font>
      <b/>
      <sz val="11"/>
      <color theme="0"/>
      <name val="微软雅黑"/>
      <family val="2"/>
      <charset val="134"/>
    </font>
    <font>
      <sz val="11"/>
      <color theme="0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1"/>
        <bgColor indexed="64"/>
      </patternFill>
    </fill>
  </fills>
  <borders count="11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8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5" fillId="0" borderId="1" xfId="1" applyFont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10" fillId="2" borderId="1" xfId="1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left" vertical="center" wrapText="1"/>
    </xf>
    <xf numFmtId="0" fontId="11" fillId="0" borderId="0" xfId="0" applyFont="1"/>
    <xf numFmtId="0" fontId="3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12" fillId="0" borderId="1" xfId="0" applyFont="1" applyBorder="1" applyAlignment="1">
      <alignment horizontal="left" vertical="center" wrapText="1"/>
    </xf>
    <xf numFmtId="0" fontId="7" fillId="0" borderId="1" xfId="0" applyFont="1" applyFill="1" applyBorder="1" applyAlignment="1">
      <alignment horizontal="left" vertical="center" wrapText="1"/>
    </xf>
    <xf numFmtId="0" fontId="8" fillId="0" borderId="1" xfId="0" applyFont="1" applyFill="1" applyBorder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5" fillId="0" borderId="1" xfId="1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11" fillId="0" borderId="1" xfId="0" applyFont="1" applyBorder="1" applyAlignment="1">
      <alignment horizontal="left" vertical="center"/>
    </xf>
    <xf numFmtId="49" fontId="2" fillId="0" borderId="1" xfId="0" applyNumberFormat="1" applyFont="1" applyFill="1" applyBorder="1" applyAlignment="1">
      <alignment horizontal="left" vertical="center"/>
    </xf>
    <xf numFmtId="0" fontId="13" fillId="0" borderId="1" xfId="0" applyFont="1" applyBorder="1" applyAlignment="1">
      <alignment horizontal="left" vertical="center"/>
    </xf>
    <xf numFmtId="0" fontId="14" fillId="0" borderId="0" xfId="0" applyFont="1"/>
    <xf numFmtId="0" fontId="2" fillId="0" borderId="3" xfId="0" applyFont="1" applyBorder="1"/>
    <xf numFmtId="0" fontId="2" fillId="0" borderId="7" xfId="0" applyFont="1" applyBorder="1"/>
    <xf numFmtId="0" fontId="15" fillId="3" borderId="8" xfId="0" applyFont="1" applyFill="1" applyBorder="1"/>
    <xf numFmtId="0" fontId="16" fillId="3" borderId="8" xfId="0" applyFont="1" applyFill="1" applyBorder="1" applyAlignment="1">
      <alignment horizontal="center"/>
    </xf>
    <xf numFmtId="0" fontId="11" fillId="0" borderId="1" xfId="0" applyFont="1" applyFill="1" applyBorder="1" applyAlignment="1">
      <alignment horizontal="left" vertical="center"/>
    </xf>
    <xf numFmtId="0" fontId="15" fillId="3" borderId="8" xfId="0" applyFont="1" applyFill="1" applyBorder="1" applyAlignment="1">
      <alignment horizontal="center"/>
    </xf>
    <xf numFmtId="0" fontId="15" fillId="3" borderId="4" xfId="0" applyFont="1" applyFill="1" applyBorder="1" applyAlignment="1">
      <alignment horizontal="center"/>
    </xf>
    <xf numFmtId="0" fontId="15" fillId="3" borderId="5" xfId="0" applyFont="1" applyFill="1" applyBorder="1" applyAlignment="1">
      <alignment horizontal="center"/>
    </xf>
    <xf numFmtId="0" fontId="15" fillId="3" borderId="6" xfId="0" applyFont="1" applyFill="1" applyBorder="1" applyAlignment="1">
      <alignment horizontal="center"/>
    </xf>
    <xf numFmtId="0" fontId="16" fillId="3" borderId="8" xfId="0" applyFont="1" applyFill="1" applyBorder="1" applyAlignment="1">
      <alignment horizontal="center"/>
    </xf>
    <xf numFmtId="0" fontId="15" fillId="3" borderId="8" xfId="0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</cellXfs>
  <cellStyles count="2">
    <cellStyle name="常规" xfId="0" builtinId="0"/>
    <cellStyle name="超链接" xfId="1" builtinId="8"/>
  </cellStyles>
  <dxfs count="14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799C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676274</xdr:colOff>
      <xdr:row>0</xdr:row>
      <xdr:rowOff>171449</xdr:rowOff>
    </xdr:from>
    <xdr:to>
      <xdr:col>13</xdr:col>
      <xdr:colOff>647700</xdr:colOff>
      <xdr:row>9</xdr:row>
      <xdr:rowOff>85725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248399" y="171449"/>
          <a:ext cx="4086226" cy="1695451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补给品会出现在地图上，当玩家翻开给子后才可见。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走到补给品的格子上，以获得该补给品，获得后补给品消失。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在地图模块中，使用 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[g_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</a:t>
          </a:r>
          <a:r>
            <a:rPr lang="zh-CN" altLang="en-US" sz="1100" baseline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 来表示血瓶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0</xdr:row>
      <xdr:rowOff>361951</xdr:rowOff>
    </xdr:from>
    <xdr:to>
      <xdr:col>12</xdr:col>
      <xdr:colOff>304800</xdr:colOff>
      <xdr:row>7</xdr:row>
      <xdr:rowOff>19050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6143625" y="361951"/>
          <a:ext cx="4171950" cy="1314449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●宝箱等级与宝箱出现的位置（离起点距离）共同决定宝箱掉落。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●在地图模块中，使用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[b_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 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表示宝箱</a:t>
          </a:r>
        </a:p>
        <a:p>
          <a:endParaRPr lang="zh-CN" altLang="en-US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23</xdr:row>
      <xdr:rowOff>1</xdr:rowOff>
    </xdr:from>
    <xdr:to>
      <xdr:col>1</xdr:col>
      <xdr:colOff>5895975</xdr:colOff>
      <xdr:row>34</xdr:row>
      <xdr:rowOff>85726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419350" y="6810376"/>
          <a:ext cx="5895975" cy="20764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这张表用来描述宝箱（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Box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）的掉落，宝箱随等级与宝箱离起点的距离共同决定宝箱掉落物品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495300</xdr:colOff>
          <xdr:row>0</xdr:row>
          <xdr:rowOff>95250</xdr:rowOff>
        </xdr:from>
        <xdr:to>
          <xdr:col>14</xdr:col>
          <xdr:colOff>123825</xdr:colOff>
          <xdr:row>2</xdr:row>
          <xdr:rowOff>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552450</xdr:colOff>
      <xdr:row>8</xdr:row>
      <xdr:rowOff>9525</xdr:rowOff>
    </xdr:from>
    <xdr:to>
      <xdr:col>4</xdr:col>
      <xdr:colOff>666750</xdr:colOff>
      <xdr:row>17</xdr:row>
      <xdr:rowOff>114300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552450" y="1762125"/>
          <a:ext cx="4124325" cy="17335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根据距离取不同的内容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每次随机芯片抽取不放回</a:t>
          </a:r>
        </a:p>
        <a:p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409575</xdr:colOff>
      <xdr:row>9</xdr:row>
      <xdr:rowOff>152400</xdr:rowOff>
    </xdr:from>
    <xdr:to>
      <xdr:col>2</xdr:col>
      <xdr:colOff>3009900</xdr:colOff>
      <xdr:row>18</xdr:row>
      <xdr:rowOff>66676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781175" y="2819400"/>
          <a:ext cx="2600325" cy="1457326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物资，芯片合成、释放技能、购买物品都需要消耗物资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628650</xdr:colOff>
      <xdr:row>31</xdr:row>
      <xdr:rowOff>28574</xdr:rowOff>
    </xdr:from>
    <xdr:to>
      <xdr:col>8</xdr:col>
      <xdr:colOff>361950</xdr:colOff>
      <xdr:row>42</xdr:row>
      <xdr:rowOff>47624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5648325" y="10991849"/>
          <a:ext cx="3543300" cy="2009775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从功能上说，机关是可以完全替代补给品（血瓶）的，所以以后可能会逐步淘汰血瓶。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Skill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（技能卷轴）拾取后，技能图标上要显示剩余次数的数字。</a:t>
          </a:r>
        </a:p>
      </xdr:txBody>
    </xdr:sp>
    <xdr:clientData/>
  </xdr:twoCellAnchor>
  <xdr:twoCellAnchor editAs="oneCell">
    <xdr:from>
      <xdr:col>4</xdr:col>
      <xdr:colOff>847725</xdr:colOff>
      <xdr:row>3</xdr:row>
      <xdr:rowOff>66674</xdr:rowOff>
    </xdr:from>
    <xdr:to>
      <xdr:col>4</xdr:col>
      <xdr:colOff>1082993</xdr:colOff>
      <xdr:row>3</xdr:row>
      <xdr:rowOff>314325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67400" y="885824"/>
          <a:ext cx="235268" cy="247651"/>
        </a:xfrm>
        <a:prstGeom prst="rect">
          <a:avLst/>
        </a:prstGeom>
      </xdr:spPr>
    </xdr:pic>
    <xdr:clientData/>
  </xdr:twoCellAnchor>
  <xdr:twoCellAnchor editAs="oneCell">
    <xdr:from>
      <xdr:col>4</xdr:col>
      <xdr:colOff>790575</xdr:colOff>
      <xdr:row>4</xdr:row>
      <xdr:rowOff>85726</xdr:rowOff>
    </xdr:from>
    <xdr:to>
      <xdr:col>4</xdr:col>
      <xdr:colOff>1063511</xdr:colOff>
      <xdr:row>4</xdr:row>
      <xdr:rowOff>361950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10250" y="1304926"/>
          <a:ext cx="272936" cy="276224"/>
        </a:xfrm>
        <a:prstGeom prst="rect">
          <a:avLst/>
        </a:prstGeom>
      </xdr:spPr>
    </xdr:pic>
    <xdr:clientData/>
  </xdr:twoCellAnchor>
  <xdr:twoCellAnchor editAs="oneCell">
    <xdr:from>
      <xdr:col>4</xdr:col>
      <xdr:colOff>828675</xdr:colOff>
      <xdr:row>22</xdr:row>
      <xdr:rowOff>91570</xdr:rowOff>
    </xdr:from>
    <xdr:to>
      <xdr:col>4</xdr:col>
      <xdr:colOff>1085850</xdr:colOff>
      <xdr:row>22</xdr:row>
      <xdr:rowOff>342900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848350" y="1710820"/>
          <a:ext cx="257175" cy="251330"/>
        </a:xfrm>
        <a:prstGeom prst="rect">
          <a:avLst/>
        </a:prstGeom>
      </xdr:spPr>
    </xdr:pic>
    <xdr:clientData/>
  </xdr:twoCellAnchor>
  <xdr:twoCellAnchor editAs="oneCell">
    <xdr:from>
      <xdr:col>4</xdr:col>
      <xdr:colOff>828676</xdr:colOff>
      <xdr:row>13</xdr:row>
      <xdr:rowOff>42504</xdr:rowOff>
    </xdr:from>
    <xdr:to>
      <xdr:col>4</xdr:col>
      <xdr:colOff>1152526</xdr:colOff>
      <xdr:row>13</xdr:row>
      <xdr:rowOff>352425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2061804"/>
          <a:ext cx="323850" cy="309921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876300</xdr:colOff>
      <xdr:row>12</xdr:row>
      <xdr:rowOff>85726</xdr:rowOff>
    </xdr:from>
    <xdr:to>
      <xdr:col>4</xdr:col>
      <xdr:colOff>1095647</xdr:colOff>
      <xdr:row>12</xdr:row>
      <xdr:rowOff>333376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95975" y="3305176"/>
          <a:ext cx="219347" cy="247650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876300</xdr:colOff>
      <xdr:row>23</xdr:row>
      <xdr:rowOff>92406</xdr:rowOff>
    </xdr:from>
    <xdr:to>
      <xdr:col>4</xdr:col>
      <xdr:colOff>1114425</xdr:colOff>
      <xdr:row>23</xdr:row>
      <xdr:rowOff>358363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895975" y="2911806"/>
          <a:ext cx="238125" cy="265957"/>
        </a:xfrm>
        <a:prstGeom prst="rect">
          <a:avLst/>
        </a:prstGeom>
      </xdr:spPr>
    </xdr:pic>
    <xdr:clientData/>
  </xdr:twoCellAnchor>
  <xdr:twoCellAnchor editAs="oneCell">
    <xdr:from>
      <xdr:col>4</xdr:col>
      <xdr:colOff>885825</xdr:colOff>
      <xdr:row>5</xdr:row>
      <xdr:rowOff>95249</xdr:rowOff>
    </xdr:from>
    <xdr:to>
      <xdr:col>4</xdr:col>
      <xdr:colOff>1121093</xdr:colOff>
      <xdr:row>5</xdr:row>
      <xdr:rowOff>342900</xdr:rowOff>
    </xdr:to>
    <xdr:pic>
      <xdr:nvPicPr>
        <xdr:cNvPr id="17" name="图片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05500" y="3714749"/>
          <a:ext cx="235268" cy="247651"/>
        </a:xfrm>
        <a:prstGeom prst="rect">
          <a:avLst/>
        </a:prstGeom>
      </xdr:spPr>
    </xdr:pic>
    <xdr:clientData/>
  </xdr:twoCellAnchor>
  <xdr:twoCellAnchor editAs="oneCell">
    <xdr:from>
      <xdr:col>4</xdr:col>
      <xdr:colOff>904875</xdr:colOff>
      <xdr:row>6</xdr:row>
      <xdr:rowOff>123824</xdr:rowOff>
    </xdr:from>
    <xdr:to>
      <xdr:col>4</xdr:col>
      <xdr:colOff>1140143</xdr:colOff>
      <xdr:row>6</xdr:row>
      <xdr:rowOff>371475</xdr:rowOff>
    </xdr:to>
    <xdr:pic>
      <xdr:nvPicPr>
        <xdr:cNvPr id="18" name="图片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24550" y="4143374"/>
          <a:ext cx="235268" cy="247651"/>
        </a:xfrm>
        <a:prstGeom prst="rect">
          <a:avLst/>
        </a:prstGeom>
      </xdr:spPr>
    </xdr:pic>
    <xdr:clientData/>
  </xdr:twoCellAnchor>
  <xdr:twoCellAnchor editAs="oneCell">
    <xdr:from>
      <xdr:col>4</xdr:col>
      <xdr:colOff>866775</xdr:colOff>
      <xdr:row>7</xdr:row>
      <xdr:rowOff>85726</xdr:rowOff>
    </xdr:from>
    <xdr:to>
      <xdr:col>4</xdr:col>
      <xdr:colOff>1139711</xdr:colOff>
      <xdr:row>7</xdr:row>
      <xdr:rowOff>361950</xdr:rowOff>
    </xdr:to>
    <xdr:pic>
      <xdr:nvPicPr>
        <xdr:cNvPr id="19" name="图片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86450" y="4505326"/>
          <a:ext cx="272936" cy="276224"/>
        </a:xfrm>
        <a:prstGeom prst="rect">
          <a:avLst/>
        </a:prstGeom>
      </xdr:spPr>
    </xdr:pic>
    <xdr:clientData/>
  </xdr:twoCellAnchor>
  <xdr:twoCellAnchor editAs="oneCell">
    <xdr:from>
      <xdr:col>4</xdr:col>
      <xdr:colOff>857251</xdr:colOff>
      <xdr:row>8</xdr:row>
      <xdr:rowOff>57150</xdr:rowOff>
    </xdr:from>
    <xdr:to>
      <xdr:col>4</xdr:col>
      <xdr:colOff>1162611</xdr:colOff>
      <xdr:row>8</xdr:row>
      <xdr:rowOff>342900</xdr:rowOff>
    </xdr:to>
    <xdr:pic>
      <xdr:nvPicPr>
        <xdr:cNvPr id="20" name="图片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twoCellAnchor>
  <xdr:twoCellAnchor editAs="oneCell">
    <xdr:from>
      <xdr:col>4</xdr:col>
      <xdr:colOff>828676</xdr:colOff>
      <xdr:row>9</xdr:row>
      <xdr:rowOff>76200</xdr:rowOff>
    </xdr:from>
    <xdr:to>
      <xdr:col>4</xdr:col>
      <xdr:colOff>1134036</xdr:colOff>
      <xdr:row>9</xdr:row>
      <xdr:rowOff>361950</xdr:rowOff>
    </xdr:to>
    <xdr:pic>
      <xdr:nvPicPr>
        <xdr:cNvPr id="21" name="图片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48351" y="5295900"/>
          <a:ext cx="305360" cy="285750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876301</xdr:colOff>
      <xdr:row>10</xdr:row>
      <xdr:rowOff>76200</xdr:rowOff>
    </xdr:from>
    <xdr:to>
      <xdr:col>4</xdr:col>
      <xdr:colOff>1181661</xdr:colOff>
      <xdr:row>10</xdr:row>
      <xdr:rowOff>361950</xdr:rowOff>
    </xdr:to>
    <xdr:pic>
      <xdr:nvPicPr>
        <xdr:cNvPr id="22" name="图片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95976" y="5695950"/>
          <a:ext cx="305360" cy="285750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876301</xdr:colOff>
      <xdr:row>11</xdr:row>
      <xdr:rowOff>38100</xdr:rowOff>
    </xdr:from>
    <xdr:to>
      <xdr:col>4</xdr:col>
      <xdr:colOff>1181661</xdr:colOff>
      <xdr:row>11</xdr:row>
      <xdr:rowOff>323850</xdr:rowOff>
    </xdr:to>
    <xdr:pic>
      <xdr:nvPicPr>
        <xdr:cNvPr id="23" name="图片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95976" y="6057900"/>
          <a:ext cx="305360" cy="285750"/>
        </a:xfrm>
        <a:prstGeom prst="rect">
          <a:avLst/>
        </a:prstGeom>
      </xdr:spPr>
    </xdr:pic>
    <xdr:clientData/>
  </xdr:twoCellAnchor>
  <xdr:oneCellAnchor>
    <xdr:from>
      <xdr:col>4</xdr:col>
      <xdr:colOff>828676</xdr:colOff>
      <xdr:row>14</xdr:row>
      <xdr:rowOff>42504</xdr:rowOff>
    </xdr:from>
    <xdr:ext cx="323850" cy="309921"/>
    <xdr:pic>
      <xdr:nvPicPr>
        <xdr:cNvPr id="24" name="图片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15</xdr:row>
      <xdr:rowOff>42504</xdr:rowOff>
    </xdr:from>
    <xdr:ext cx="323850" cy="309921"/>
    <xdr:pic>
      <xdr:nvPicPr>
        <xdr:cNvPr id="25" name="图片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86240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838201</xdr:colOff>
      <xdr:row>16</xdr:row>
      <xdr:rowOff>47625</xdr:rowOff>
    </xdr:from>
    <xdr:ext cx="323850" cy="309921"/>
    <xdr:pic>
      <xdr:nvPicPr>
        <xdr:cNvPr id="26" name="图片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57876" y="7267575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857251</xdr:colOff>
      <xdr:row>17</xdr:row>
      <xdr:rowOff>71079</xdr:rowOff>
    </xdr:from>
    <xdr:ext cx="323850" cy="309921"/>
    <xdr:pic>
      <xdr:nvPicPr>
        <xdr:cNvPr id="29" name="图片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76926" y="7691079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876301</xdr:colOff>
      <xdr:row>18</xdr:row>
      <xdr:rowOff>66675</xdr:rowOff>
    </xdr:from>
    <xdr:ext cx="323850" cy="309921"/>
    <xdr:pic>
      <xdr:nvPicPr>
        <xdr:cNvPr id="30" name="图片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95976" y="8086725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857251</xdr:colOff>
      <xdr:row>9</xdr:row>
      <xdr:rowOff>57150</xdr:rowOff>
    </xdr:from>
    <xdr:ext cx="305360" cy="285750"/>
    <xdr:pic>
      <xdr:nvPicPr>
        <xdr:cNvPr id="41" name="图片 40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oneCellAnchor>
  <xdr:oneCellAnchor>
    <xdr:from>
      <xdr:col>4</xdr:col>
      <xdr:colOff>857251</xdr:colOff>
      <xdr:row>10</xdr:row>
      <xdr:rowOff>57150</xdr:rowOff>
    </xdr:from>
    <xdr:ext cx="305360" cy="285750"/>
    <xdr:pic>
      <xdr:nvPicPr>
        <xdr:cNvPr id="42" name="图片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oneCellAnchor>
  <xdr:oneCellAnchor>
    <xdr:from>
      <xdr:col>4</xdr:col>
      <xdr:colOff>857251</xdr:colOff>
      <xdr:row>11</xdr:row>
      <xdr:rowOff>57150</xdr:rowOff>
    </xdr:from>
    <xdr:ext cx="305360" cy="285750"/>
    <xdr:pic>
      <xdr:nvPicPr>
        <xdr:cNvPr id="43" name="图片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T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连接单元格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6"/>
  <sheetViews>
    <sheetView showGridLines="0" workbookViewId="0">
      <selection activeCell="E4" sqref="E4:E6"/>
    </sheetView>
  </sheetViews>
  <sheetFormatPr defaultColWidth="8.75" defaultRowHeight="14.25" x14ac:dyDescent="0.2"/>
  <cols>
    <col min="1" max="1" width="11.75" customWidth="1"/>
    <col min="3" max="3" width="17.375" bestFit="1" customWidth="1"/>
    <col min="5" max="5" width="18.375" customWidth="1"/>
    <col min="6" max="6" width="13.125" customWidth="1"/>
    <col min="7" max="7" width="12.75" customWidth="1"/>
  </cols>
  <sheetData>
    <row r="1" spans="1:7" ht="33" x14ac:dyDescent="0.2">
      <c r="A1" s="3" t="s">
        <v>11</v>
      </c>
      <c r="B1" s="3" t="s">
        <v>2</v>
      </c>
      <c r="C1" s="3" t="s">
        <v>0</v>
      </c>
      <c r="D1" s="3" t="s">
        <v>12</v>
      </c>
      <c r="E1" s="17" t="s">
        <v>97</v>
      </c>
      <c r="F1" s="3" t="s">
        <v>61</v>
      </c>
      <c r="G1" s="3" t="s">
        <v>5</v>
      </c>
    </row>
    <row r="2" spans="1:7" ht="16.5" x14ac:dyDescent="0.2">
      <c r="A2" s="4" t="s">
        <v>13</v>
      </c>
      <c r="B2" s="4" t="s">
        <v>1</v>
      </c>
      <c r="C2" s="4" t="s">
        <v>1</v>
      </c>
      <c r="D2" s="4" t="s">
        <v>1</v>
      </c>
      <c r="E2" s="16" t="s">
        <v>98</v>
      </c>
      <c r="F2" s="4" t="s">
        <v>16</v>
      </c>
      <c r="G2" s="4" t="s">
        <v>1</v>
      </c>
    </row>
    <row r="3" spans="1:7" ht="15" x14ac:dyDescent="0.2">
      <c r="A3" s="6" t="s">
        <v>45</v>
      </c>
      <c r="B3" s="6" t="s">
        <v>3</v>
      </c>
      <c r="C3" s="6" t="s">
        <v>4</v>
      </c>
      <c r="D3" s="6" t="s">
        <v>14</v>
      </c>
      <c r="E3" s="6" t="s">
        <v>99</v>
      </c>
      <c r="F3" s="6" t="s">
        <v>15</v>
      </c>
      <c r="G3" s="6" t="s">
        <v>6</v>
      </c>
    </row>
    <row r="4" spans="1:7" ht="16.5" x14ac:dyDescent="0.2">
      <c r="A4" s="4">
        <v>101</v>
      </c>
      <c r="B4" s="4" t="s">
        <v>8</v>
      </c>
      <c r="C4" s="4" t="s">
        <v>102</v>
      </c>
      <c r="D4" s="4" t="s">
        <v>53</v>
      </c>
      <c r="E4" s="4" t="s">
        <v>158</v>
      </c>
      <c r="F4" s="4">
        <v>1</v>
      </c>
      <c r="G4" s="4">
        <v>0.2</v>
      </c>
    </row>
    <row r="5" spans="1:7" ht="16.5" x14ac:dyDescent="0.2">
      <c r="A5" s="4">
        <v>102</v>
      </c>
      <c r="B5" s="4" t="s">
        <v>8</v>
      </c>
      <c r="C5" s="4" t="s">
        <v>103</v>
      </c>
      <c r="D5" s="4" t="s">
        <v>54</v>
      </c>
      <c r="E5" s="4" t="s">
        <v>158</v>
      </c>
      <c r="F5" s="4">
        <v>2</v>
      </c>
      <c r="G5" s="4">
        <v>0.3</v>
      </c>
    </row>
    <row r="6" spans="1:7" ht="16.5" x14ac:dyDescent="0.2">
      <c r="A6" s="4">
        <v>103</v>
      </c>
      <c r="B6" s="4" t="s">
        <v>8</v>
      </c>
      <c r="C6" s="4" t="s">
        <v>104</v>
      </c>
      <c r="D6" s="4" t="s">
        <v>55</v>
      </c>
      <c r="E6" s="4" t="s">
        <v>158</v>
      </c>
      <c r="F6" s="4">
        <v>3</v>
      </c>
      <c r="G6" s="4">
        <v>0.4</v>
      </c>
    </row>
  </sheetData>
  <autoFilter ref="A3:G6"/>
  <phoneticPr fontId="1" type="noConversion"/>
  <conditionalFormatting sqref="A7:A10">
    <cfRule type="duplicateValues" dxfId="13" priority="11"/>
  </conditionalFormatting>
  <conditionalFormatting sqref="A3:D3 F3:G3">
    <cfRule type="duplicateValues" dxfId="12" priority="10"/>
  </conditionalFormatting>
  <conditionalFormatting sqref="E3">
    <cfRule type="duplicateValues" dxfId="11" priority="2"/>
  </conditionalFormatting>
  <conditionalFormatting sqref="A4:A6">
    <cfRule type="duplicateValues" dxfId="10" priority="1"/>
  </conditionalFormatting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7"/>
  <sheetViews>
    <sheetView showGridLines="0" workbookViewId="0">
      <selection activeCell="C36" sqref="C36"/>
    </sheetView>
  </sheetViews>
  <sheetFormatPr defaultColWidth="8.75" defaultRowHeight="14.25" x14ac:dyDescent="0.2"/>
  <cols>
    <col min="1" max="1" width="9.625" bestFit="1" customWidth="1"/>
    <col min="3" max="3" width="17.375" bestFit="1" customWidth="1"/>
    <col min="4" max="4" width="17.375" customWidth="1"/>
    <col min="6" max="6" width="32.25" customWidth="1"/>
  </cols>
  <sheetData>
    <row r="1" spans="1:6" ht="33" x14ac:dyDescent="0.2">
      <c r="A1" s="3" t="s">
        <v>50</v>
      </c>
      <c r="B1" s="3" t="s">
        <v>2</v>
      </c>
      <c r="C1" s="3" t="s">
        <v>0</v>
      </c>
      <c r="D1" s="17" t="s">
        <v>97</v>
      </c>
      <c r="E1" s="3" t="s">
        <v>12</v>
      </c>
      <c r="F1" s="3" t="s">
        <v>51</v>
      </c>
    </row>
    <row r="2" spans="1:6" ht="16.5" x14ac:dyDescent="0.2">
      <c r="A2" s="4" t="s">
        <v>13</v>
      </c>
      <c r="B2" s="4" t="s">
        <v>1</v>
      </c>
      <c r="C2" s="4" t="s">
        <v>1</v>
      </c>
      <c r="D2" s="16" t="s">
        <v>98</v>
      </c>
      <c r="E2" s="4" t="s">
        <v>1</v>
      </c>
      <c r="F2" s="4" t="s">
        <v>16</v>
      </c>
    </row>
    <row r="3" spans="1:6" ht="15" x14ac:dyDescent="0.2">
      <c r="A3" s="6" t="s">
        <v>45</v>
      </c>
      <c r="B3" s="6" t="s">
        <v>3</v>
      </c>
      <c r="C3" s="6" t="s">
        <v>4</v>
      </c>
      <c r="D3" s="6" t="s">
        <v>99</v>
      </c>
      <c r="E3" s="6" t="s">
        <v>14</v>
      </c>
      <c r="F3" s="6" t="s">
        <v>15</v>
      </c>
    </row>
    <row r="4" spans="1:6" ht="16.5" x14ac:dyDescent="0.2">
      <c r="A4" s="4">
        <v>201</v>
      </c>
      <c r="B4" s="4" t="s">
        <v>9</v>
      </c>
      <c r="C4" s="4" t="s">
        <v>10</v>
      </c>
      <c r="D4" s="4"/>
      <c r="E4" s="4" t="s">
        <v>56</v>
      </c>
      <c r="F4" s="4">
        <v>1</v>
      </c>
    </row>
    <row r="5" spans="1:6" ht="16.5" x14ac:dyDescent="0.2">
      <c r="A5" s="4">
        <v>202</v>
      </c>
      <c r="B5" s="4" t="s">
        <v>9</v>
      </c>
      <c r="C5" s="4" t="s">
        <v>10</v>
      </c>
      <c r="D5" s="4"/>
      <c r="E5" s="4" t="s">
        <v>57</v>
      </c>
      <c r="F5" s="4">
        <v>2</v>
      </c>
    </row>
    <row r="6" spans="1:6" ht="16.5" x14ac:dyDescent="0.2">
      <c r="A6" s="4">
        <v>203</v>
      </c>
      <c r="B6" s="4" t="s">
        <v>9</v>
      </c>
      <c r="C6" s="4" t="s">
        <v>10</v>
      </c>
      <c r="D6" s="4"/>
      <c r="E6" s="4" t="s">
        <v>58</v>
      </c>
      <c r="F6" s="4">
        <v>3</v>
      </c>
    </row>
    <row r="7" spans="1:6" ht="16.5" x14ac:dyDescent="0.2">
      <c r="A7" s="4">
        <v>204</v>
      </c>
      <c r="B7" s="4" t="s">
        <v>9</v>
      </c>
      <c r="C7" s="4" t="s">
        <v>10</v>
      </c>
      <c r="D7" s="4"/>
      <c r="E7" s="4" t="s">
        <v>59</v>
      </c>
      <c r="F7" s="4">
        <v>4</v>
      </c>
    </row>
  </sheetData>
  <autoFilter ref="A3:F7"/>
  <phoneticPr fontId="1" type="noConversion"/>
  <conditionalFormatting sqref="A3:C3 E3:F3">
    <cfRule type="duplicateValues" dxfId="9" priority="9"/>
  </conditionalFormatting>
  <conditionalFormatting sqref="D3">
    <cfRule type="duplicateValues" dxfId="8" priority="5"/>
  </conditionalFormatting>
  <conditionalFormatting sqref="A4:A7">
    <cfRule type="duplicateValues" dxfId="7" priority="1"/>
  </conditionalFormatting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2"/>
  <sheetViews>
    <sheetView showGridLines="0" workbookViewId="0">
      <selection activeCell="A23" sqref="A23"/>
    </sheetView>
  </sheetViews>
  <sheetFormatPr defaultColWidth="8.75" defaultRowHeight="14.25" x14ac:dyDescent="0.2"/>
  <cols>
    <col min="1" max="1" width="31.75" bestFit="1" customWidth="1"/>
    <col min="2" max="2" width="83" customWidth="1"/>
    <col min="3" max="5" width="17.875" bestFit="1" customWidth="1"/>
  </cols>
  <sheetData>
    <row r="1" spans="1:5" ht="181.5" customHeight="1" x14ac:dyDescent="0.2">
      <c r="A1" s="8" t="s">
        <v>42</v>
      </c>
      <c r="B1" s="9" t="s">
        <v>162</v>
      </c>
      <c r="C1" s="9" t="s">
        <v>46</v>
      </c>
      <c r="D1" s="9" t="s">
        <v>47</v>
      </c>
      <c r="E1" s="9" t="s">
        <v>44</v>
      </c>
    </row>
    <row r="2" spans="1:5" ht="16.5" x14ac:dyDescent="0.2">
      <c r="A2" s="4" t="s">
        <v>43</v>
      </c>
      <c r="B2" s="4" t="s">
        <v>41</v>
      </c>
      <c r="C2" s="4" t="s">
        <v>41</v>
      </c>
      <c r="D2" s="4" t="s">
        <v>41</v>
      </c>
      <c r="E2" s="4" t="s">
        <v>41</v>
      </c>
    </row>
    <row r="3" spans="1:5" ht="15" x14ac:dyDescent="0.2">
      <c r="A3" s="6" t="s">
        <v>7</v>
      </c>
      <c r="B3" s="6" t="s">
        <v>17</v>
      </c>
      <c r="C3" s="6" t="s">
        <v>18</v>
      </c>
      <c r="D3" s="6" t="s">
        <v>19</v>
      </c>
      <c r="E3" s="6" t="s">
        <v>20</v>
      </c>
    </row>
    <row r="4" spans="1:5" ht="16.5" x14ac:dyDescent="0.3">
      <c r="A4" s="4">
        <v>30</v>
      </c>
      <c r="B4" s="25" t="str">
        <f ca="1">INDIRECT("掉落生成器!T" &amp; COLUMN()+1 + (ROW()-4)*4)</f>
        <v>10;10;10;1;1;1;1|8;8;6;2;2;2;2|1001;1002;1003;100011;100091;100181;100251|Stuff;Stuff;Stuff;Chip;Chip;Chip;Chip</v>
      </c>
      <c r="C4" s="25" t="str">
        <f t="shared" ref="C4:E19" ca="1" si="0">INDIRECT("掉落生成器!T" &amp; COLUMN()+1 + (ROW()-4)*4)</f>
        <v>15;15;15;1;1;1;1|7;7;5;2;2;2;2|1001;1002;1003;100011;100091;100181;100251|Stuff;Stuff;Stuff;Chip;Chip;Chip;Chip</v>
      </c>
      <c r="D4" s="25" t="str">
        <f t="shared" ca="1" si="0"/>
        <v>20;20;20;1;1;1;1|7;7;5;5;5;5;5|1001;1002;1003;100011;100091;100181;100251|Stuff;Stuff;Stuff;Chip;Chip;Chip;Chip</v>
      </c>
      <c r="E4" s="25" t="str">
        <f t="shared" ca="1" si="0"/>
        <v>30;30;30;1;1;1;1|0;0;0;4;4;4;4|1001;1002;1003;100011;100091;100181;100251|Stuff;Stuff;Stuff;Chip;Chip;Chip;Chip</v>
      </c>
    </row>
    <row r="5" spans="1:5" ht="16.5" x14ac:dyDescent="0.3">
      <c r="A5" s="4">
        <v>60</v>
      </c>
      <c r="B5" s="25" t="str">
        <f t="shared" ref="B5:E20" ca="1" si="1">INDIRECT("掉落生成器!T" &amp; COLUMN()+1 + (ROW()-4)*4)</f>
        <v>10;10;10;1;1;1;1;1;1|12;12;10;2;2;2;2;2;2|1001;1002;1003;100011;100091;100181;100251;100021;100241|Stuff;Stuff;Stuff;Chip;Chip;Chip;Chip;Chip;Chip</v>
      </c>
      <c r="C5" s="25" t="str">
        <f t="shared" ca="1" si="0"/>
        <v>15;15;15;1;1;1;1;1;1|10;10;8;2;2;2;2;2;2|1001;1002;1003;100011;100091;100181;100251;100021;100241|Stuff;Stuff;Stuff;Chip;Chip;Chip;Chip;Chip;Chip</v>
      </c>
      <c r="D5" s="25" t="str">
        <f t="shared" ca="1" si="0"/>
        <v>20;20;20;1;1;1;1;1;1|10;10;8;5;5;5;5;5;5|1001;1002;1003;100011;100091;100181;100251;100021;100241|Stuff;Stuff;Stuff;Chip;Chip;Chip;Chip;Chip;Chip</v>
      </c>
      <c r="E5" s="25" t="str">
        <f t="shared" ca="1" si="0"/>
        <v>30;30;30;1;1;1;1;1;1|0;0;0;4;4;4;4;4;4|1001;1002;1003;100011;100091;100181;100251;100021;100241|Stuff;Stuff;Stuff;Chip;Chip;Chip;Chip;Chip;Chip</v>
      </c>
    </row>
    <row r="6" spans="1:5" ht="16.5" x14ac:dyDescent="0.3">
      <c r="A6" s="4">
        <v>90</v>
      </c>
      <c r="B6" s="25" t="str">
        <f t="shared" ca="1" si="1"/>
        <v>10;10;10;1;1;1;1;1;1;1|14;14;12;2;2;2;2;2;2;2|1001;1002;1003;100011;100091;100181;100251;100021;100241;100031|Stuff;Stuff;Stuff;Chip;Chip;Chip;Chip;Chip;Chip;Chip</v>
      </c>
      <c r="C6" s="25" t="str">
        <f t="shared" ca="1" si="0"/>
        <v>15;15;15;1;1;1;1;1;1;1|12;12;10;2;2;2;2;2;2;2|1001;1002;1003;100011;100091;100181;100251;100021;100241;100031|Stuff;Stuff;Stuff;Chip;Chip;Chip;Chip;Chip;Chip;Chip</v>
      </c>
      <c r="D6" s="25" t="str">
        <f t="shared" ca="1" si="0"/>
        <v>20;20;20;1;1;1;1;1;1;1|12;12;10;5;5;5;5;5;5;5|1001;1002;1003;100011;100091;100181;100251;100021;100241;100031|Stuff;Stuff;Stuff;Chip;Chip;Chip;Chip;Chip;Chip;Chip</v>
      </c>
      <c r="E6" s="25" t="str">
        <f t="shared" ca="1" si="0"/>
        <v>30;30;30;1;1;1;1;1;1;1|0;0;0;4;4;4;4;4;4;4|1001;1002;1003;100011;100091;100181;100251;100021;100241;100031|Stuff;Stuff;Stuff;Chip;Chip;Chip;Chip;Chip;Chip;Chip</v>
      </c>
    </row>
    <row r="7" spans="1:5" ht="16.5" x14ac:dyDescent="0.3">
      <c r="A7" s="4">
        <v>120</v>
      </c>
      <c r="B7" s="25" t="str">
        <f t="shared" ca="1" si="1"/>
        <v>10;10;10;1;1;1;1;1;1;1|14;14;12;2;2;2;2;2;2;2|1001;1002;1003;100091;100181;100251;100021;100241;100031;100111|Stuff;Stuff;Stuff;Chip;Chip;Chip;Chip;Chip;Chip;Chip</v>
      </c>
      <c r="C7" s="25" t="str">
        <f t="shared" ca="1" si="0"/>
        <v>15;15;15;1;1;1;1;1;1;1|12;12;10;2;2;2;2;2;2;2|1001;1002;1003;100091;100181;100251;100021;100241;100031;100111|Stuff;Stuff;Stuff;Chip;Chip;Chip;Chip;Chip;Chip;Chip</v>
      </c>
      <c r="D7" s="25" t="str">
        <f t="shared" ca="1" si="0"/>
        <v>20;20;20;1;1;1;1;1;1;1|12;12;10;5;5;5;5;5;5;5|1001;1002;1003;100091;100181;100251;100021;100241;100031;100111|Stuff;Stuff;Stuff;Chip;Chip;Chip;Chip;Chip;Chip;Chip</v>
      </c>
      <c r="E7" s="25" t="str">
        <f t="shared" ca="1" si="0"/>
        <v>30;30;30;1;1;1;1;1;1;1|0;0;0;4;4;4;4;4;4;4|1001;1002;1003;100091;100181;100251;100021;100241;100031;100111|Stuff;Stuff;Stuff;Chip;Chip;Chip;Chip;Chip;Chip;Chip</v>
      </c>
    </row>
    <row r="8" spans="1:5" ht="16.5" x14ac:dyDescent="0.3">
      <c r="A8" s="4">
        <v>150</v>
      </c>
      <c r="B8" s="25" t="str">
        <f t="shared" ca="1" si="1"/>
        <v>10;10;10;1;1;1;1;1;1;1|14;14;12;2;2;2;2;2;2;2|1001;1002;1003;100181;100251;100021;100241;100031;100111;100161|Stuff;Stuff;Stuff;Chip;Chip;Chip;Chip;Chip;Chip;Chip</v>
      </c>
      <c r="C8" s="25" t="str">
        <f t="shared" ca="1" si="0"/>
        <v>15;15;15;1;1;1;1;1;1;1|12;12;10;2;2;2;2;2;2;2|1001;1002;1003;100181;100251;100021;100241;100031;100111;100161|Stuff;Stuff;Stuff;Chip;Chip;Chip;Chip;Chip;Chip;Chip</v>
      </c>
      <c r="D8" s="25" t="str">
        <f t="shared" ca="1" si="0"/>
        <v>20;20;20;1;1;1;1;1;1;1|12;12;10;5;5;5;5;5;5;5|1001;1002;1003;100181;100251;100021;100241;100031;100111;100161|Stuff;Stuff;Stuff;Chip;Chip;Chip;Chip;Chip;Chip;Chip</v>
      </c>
      <c r="E8" s="25" t="str">
        <f t="shared" ca="1" si="0"/>
        <v>30;30;30;1;1;1;1;1;1;1|0;0;0;4;4;4;4;4;4;4|1001;1002;1003;100181;100251;100021;100241;100031;100111;100161|Stuff;Stuff;Stuff;Chip;Chip;Chip;Chip;Chip;Chip;Chip</v>
      </c>
    </row>
    <row r="9" spans="1:5" ht="16.5" x14ac:dyDescent="0.3">
      <c r="A9" s="4">
        <v>180</v>
      </c>
      <c r="B9" s="25" t="str">
        <f t="shared" ca="1" si="1"/>
        <v>10;10;10;1;1;1;1;1;1;1|14;14;12;2;2;2;2;2;2;2|1001;1002;1003;100251;100021;100241;100031;100111;100161;100211|Stuff;Stuff;Stuff;Chip;Chip;Chip;Chip;Chip;Chip;Chip</v>
      </c>
      <c r="C9" s="25" t="str">
        <f t="shared" ca="1" si="0"/>
        <v>15;15;15;1;1;1;1;1;1;1|12;12;10;2;2;2;2;2;2;2|1001;1002;1003;100251;100021;100241;100031;100111;100161;100211|Stuff;Stuff;Stuff;Chip;Chip;Chip;Chip;Chip;Chip;Chip</v>
      </c>
      <c r="D9" s="25" t="str">
        <f t="shared" ca="1" si="0"/>
        <v>20;20;20;1;1;1;1;1;1;1|12;12;10;5;5;5;5;5;5;5|1001;1002;1003;100251;100021;100241;100031;100111;100161;100211|Stuff;Stuff;Stuff;Chip;Chip;Chip;Chip;Chip;Chip;Chip</v>
      </c>
      <c r="E9" s="25" t="str">
        <f t="shared" ca="1" si="0"/>
        <v>30;30;30;1;1;1;1;1;1;1|0;0;0;4;4;4;4;4;4;4|1001;1002;1003;100251;100021;100241;100031;100111;100161;100211|Stuff;Stuff;Stuff;Chip;Chip;Chip;Chip;Chip;Chip;Chip</v>
      </c>
    </row>
    <row r="10" spans="1:5" ht="16.5" x14ac:dyDescent="0.3">
      <c r="A10" s="4">
        <v>210</v>
      </c>
      <c r="B10" s="25" t="str">
        <f t="shared" ca="1" si="1"/>
        <v>10;10;10;1;1;1;1;1;1;1|14;14;12;2;2;2;2;2;2;2|1001;1002;1003;100021;100241;100031;100111;100161;100211;100041|Stuff;Stuff;Stuff;Chip;Chip;Chip;Chip;Chip;Chip;Chip</v>
      </c>
      <c r="C10" s="25" t="str">
        <f t="shared" ca="1" si="0"/>
        <v>15;15;15;1;1;1;1;1;1;1|12;12;10;2;2;2;2;2;2;2|1001;1002;1003;100021;100241;100031;100111;100161;100211;100041|Stuff;Stuff;Stuff;Chip;Chip;Chip;Chip;Chip;Chip;Chip</v>
      </c>
      <c r="D10" s="25" t="str">
        <f t="shared" ca="1" si="0"/>
        <v>20;20;20;1;1;1;1;1;1;1|12;12;10;5;5;5;5;5;5;5|1001;1002;1003;100021;100241;100031;100111;100161;100211;100041|Stuff;Stuff;Stuff;Chip;Chip;Chip;Chip;Chip;Chip;Chip</v>
      </c>
      <c r="E10" s="25" t="str">
        <f t="shared" ca="1" si="0"/>
        <v>30;30;30;1;1;1;1;1;1;1|0;0;0;4;4;4;4;4;4;4|1001;1002;1003;100021;100241;100031;100111;100161;100211;100041|Stuff;Stuff;Stuff;Chip;Chip;Chip;Chip;Chip;Chip;Chip</v>
      </c>
    </row>
    <row r="11" spans="1:5" ht="16.5" x14ac:dyDescent="0.3">
      <c r="A11" s="4">
        <v>240</v>
      </c>
      <c r="B11" s="25" t="str">
        <f t="shared" ca="1" si="1"/>
        <v>10;10;10;1;1;1;1;1;1;1|14;14;12;2;2;2;2;2;2;2|1001;1002;1003;100241;100031;100111;100161;100211;100041;100151|Stuff;Stuff;Stuff;Chip;Chip;Chip;Chip;Chip;Chip;Chip</v>
      </c>
      <c r="C11" s="25" t="str">
        <f t="shared" ca="1" si="0"/>
        <v>15;15;15;1;1;1;1;1;1;1|12;12;10;2;2;2;2;2;2;2|1001;1002;1003;100241;100031;100111;100161;100211;100041;100151|Stuff;Stuff;Stuff;Chip;Chip;Chip;Chip;Chip;Chip;Chip</v>
      </c>
      <c r="D11" s="25" t="str">
        <f t="shared" ca="1" si="0"/>
        <v>20;20;20;1;1;1;1;1;1;1|12;12;10;5;5;5;5;5;5;5|1001;1002;1003;100241;100031;100111;100161;100211;100041;100151|Stuff;Stuff;Stuff;Chip;Chip;Chip;Chip;Chip;Chip;Chip</v>
      </c>
      <c r="E11" s="25" t="str">
        <f t="shared" ca="1" si="0"/>
        <v>30;30;30;1;1;1;1;1;1;1|0;0;0;4;4;4;4;4;4;4|1001;1002;1003;100241;100031;100111;100161;100211;100041;100151|Stuff;Stuff;Stuff;Chip;Chip;Chip;Chip;Chip;Chip;Chip</v>
      </c>
    </row>
    <row r="12" spans="1:5" ht="16.5" x14ac:dyDescent="0.3">
      <c r="A12" s="4">
        <v>270</v>
      </c>
      <c r="B12" s="25" t="str">
        <f t="shared" ca="1" si="1"/>
        <v>10;10;10;1;1;1;1;1;1;1|14;14;12;2;2;2;2;2;2;2|1001;1002;1003;100031;100111;100161;100211;100041;100151;100131|Stuff;Stuff;Stuff;Chip;Chip;Chip;Chip;Chip;Chip;Chip</v>
      </c>
      <c r="C12" s="25" t="str">
        <f t="shared" ca="1" si="0"/>
        <v>15;15;15;1;1;1;1;1;1;1|12;12;10;2;2;2;2;2;2;2|1001;1002;1003;100031;100111;100161;100211;100041;100151;100131|Stuff;Stuff;Stuff;Chip;Chip;Chip;Chip;Chip;Chip;Chip</v>
      </c>
      <c r="D12" s="25" t="str">
        <f t="shared" ca="1" si="0"/>
        <v>20;20;20;1;1;1;1;1;1;1|12;12;10;5;5;5;5;5;5;5|1001;1002;1003;100031;100111;100161;100211;100041;100151;100131|Stuff;Stuff;Stuff;Chip;Chip;Chip;Chip;Chip;Chip;Chip</v>
      </c>
      <c r="E12" s="25" t="str">
        <f t="shared" ca="1" si="0"/>
        <v>30;30;30;1;1;1;1;1;1;1|0;0;0;4;4;4;4;4;4;4|1001;1002;1003;100031;100111;100161;100211;100041;100151;100131|Stuff;Stuff;Stuff;Chip;Chip;Chip;Chip;Chip;Chip;Chip</v>
      </c>
    </row>
    <row r="13" spans="1:5" ht="16.5" x14ac:dyDescent="0.3">
      <c r="A13" s="4">
        <v>300</v>
      </c>
      <c r="B13" s="25" t="str">
        <f t="shared" ca="1" si="1"/>
        <v>10;10;10;1;1;1;1;1;1;1|14;14;12;2;2;2;2;2;2;2|1001;1002;1003;100111;100161;100211;100041;100151;100131;100201|Stuff;Stuff;Stuff;Chip;Chip;Chip;Chip;Chip;Chip;Chip</v>
      </c>
      <c r="C13" s="25" t="str">
        <f t="shared" ca="1" si="0"/>
        <v>15;15;15;1;1;1;1;1;1;1|12;12;10;2;2;2;2;2;2;2|1001;1002;1003;100111;100161;100211;100041;100151;100131;100201|Stuff;Stuff;Stuff;Chip;Chip;Chip;Chip;Chip;Chip;Chip</v>
      </c>
      <c r="D13" s="25" t="str">
        <f t="shared" ca="1" si="0"/>
        <v>20;20;20;1;1;1;1;1;1;1|12;12;10;5;5;5;5;5;5;5|1001;1002;1003;100111;100161;100211;100041;100151;100131;100201|Stuff;Stuff;Stuff;Chip;Chip;Chip;Chip;Chip;Chip;Chip</v>
      </c>
      <c r="E13" s="25" t="str">
        <f t="shared" ca="1" si="0"/>
        <v>30;30;30;1;1;1;1;1;1;1|0;0;0;4;4;4;4;4;4;4|1001;1002;1003;100111;100161;100211;100041;100151;100131;100201|Stuff;Stuff;Stuff;Chip;Chip;Chip;Chip;Chip;Chip;Chip</v>
      </c>
    </row>
    <row r="14" spans="1:5" ht="16.5" x14ac:dyDescent="0.3">
      <c r="A14" s="4">
        <v>330</v>
      </c>
      <c r="B14" s="25" t="str">
        <f t="shared" ca="1" si="1"/>
        <v>10;10;10;1;1;1;1;1;1;1|14;14;12;2;2;2;2;2;2;2|1001;1002;1003;100161;100211;100041;100151;100131;100201;100071|Stuff;Stuff;Stuff;Chip;Chip;Chip;Chip;Chip;Chip;Chip</v>
      </c>
      <c r="C14" s="25" t="str">
        <f t="shared" ca="1" si="0"/>
        <v>15;15;15;1;1;1;1;1;1;1|12;12;10;2;2;2;2;2;2;2|1001;1002;1003;100161;100211;100041;100151;100131;100201;100071|Stuff;Stuff;Stuff;Chip;Chip;Chip;Chip;Chip;Chip;Chip</v>
      </c>
      <c r="D14" s="25" t="str">
        <f t="shared" ca="1" si="0"/>
        <v>20;20;20;1;1;1;1;1;1;1|12;12;10;5;5;5;5;5;5;5|1001;1002;1003;100161;100211;100041;100151;100131;100201;100071|Stuff;Stuff;Stuff;Chip;Chip;Chip;Chip;Chip;Chip;Chip</v>
      </c>
      <c r="E14" s="25" t="str">
        <f t="shared" ca="1" si="0"/>
        <v>30;30;30;1;1;1;1;1;1;1|0;0;0;4;4;4;4;4;4;4|1001;1002;1003;100161;100211;100041;100151;100131;100201;100071|Stuff;Stuff;Stuff;Chip;Chip;Chip;Chip;Chip;Chip;Chip</v>
      </c>
    </row>
    <row r="15" spans="1:5" ht="16.5" x14ac:dyDescent="0.3">
      <c r="A15" s="4">
        <v>360</v>
      </c>
      <c r="B15" s="25" t="str">
        <f t="shared" ca="1" si="1"/>
        <v>10;10;10;1;1;1;1;1;1;1|14;14;12;2;2;2;2;2;2;2|1001;1002;1003;100211;100041;100151;100131;100201;100071;100191|Stuff;Stuff;Stuff;Chip;Chip;Chip;Chip;Chip;Chip;Chip</v>
      </c>
      <c r="C15" s="25" t="str">
        <f t="shared" ca="1" si="0"/>
        <v>15;15;15;1;1;1;1;1;1;1|12;12;10;2;2;2;2;2;2;2|1001;1002;1003;100211;100041;100151;100131;100201;100071;100191|Stuff;Stuff;Stuff;Chip;Chip;Chip;Chip;Chip;Chip;Chip</v>
      </c>
      <c r="D15" s="25" t="str">
        <f t="shared" ca="1" si="0"/>
        <v>20;20;20;1;1;1;1;1;1;1|12;12;10;5;5;5;5;5;5;5|1001;1002;1003;100211;100041;100151;100131;100201;100071;100191|Stuff;Stuff;Stuff;Chip;Chip;Chip;Chip;Chip;Chip;Chip</v>
      </c>
      <c r="E15" s="25" t="str">
        <f t="shared" ca="1" si="0"/>
        <v>30;30;30;1;1;1;1;1;1;1|0;0;0;4;4;4;4;4;4;4|1001;1002;1003;100211;100041;100151;100131;100201;100071;100191|Stuff;Stuff;Stuff;Chip;Chip;Chip;Chip;Chip;Chip;Chip</v>
      </c>
    </row>
    <row r="16" spans="1:5" ht="16.5" x14ac:dyDescent="0.3">
      <c r="A16" s="4">
        <v>390</v>
      </c>
      <c r="B16" s="25" t="str">
        <f t="shared" ca="1" si="1"/>
        <v>10;10;10;1;1;1;1;1;1;1|14;14;12;2;2;2;2;2;2;2|1001;1002;1003;100041;100151;100131;100201;100071;100191;100121|Stuff;Stuff;Stuff;Chip;Chip;Chip;Chip;Chip;Chip;Chip</v>
      </c>
      <c r="C16" s="25" t="str">
        <f t="shared" ca="1" si="0"/>
        <v>15;15;15;1;1;1;1;1;1;1|12;12;10;2;2;2;2;2;2;2|1001;1002;1003;100041;100151;100131;100201;100071;100191;100121|Stuff;Stuff;Stuff;Chip;Chip;Chip;Chip;Chip;Chip;Chip</v>
      </c>
      <c r="D16" s="25" t="str">
        <f t="shared" ca="1" si="0"/>
        <v>20;20;20;1;1;1;1;1;1;1|12;12;10;5;5;5;5;5;5;5|1001;1002;1003;100041;100151;100131;100201;100071;100191;100121|Stuff;Stuff;Stuff;Chip;Chip;Chip;Chip;Chip;Chip;Chip</v>
      </c>
      <c r="E16" s="25" t="str">
        <f t="shared" ca="1" si="0"/>
        <v>30;30;30;1;1;1;1;1;1;1|0;0;0;4;4;4;4;4;4;4|1001;1002;1003;100041;100151;100131;100201;100071;100191;100121|Stuff;Stuff;Stuff;Chip;Chip;Chip;Chip;Chip;Chip;Chip</v>
      </c>
    </row>
    <row r="17" spans="1:5" ht="16.5" x14ac:dyDescent="0.3">
      <c r="A17" s="4">
        <v>420</v>
      </c>
      <c r="B17" s="25" t="str">
        <f t="shared" ca="1" si="1"/>
        <v>10;10;10;1;1;1;1;1;1;1|14;14;12;2;2;2;2;2;2;2|1001;1002;1003;100151;100131;100201;100071;100191;100121;100141|Stuff;Stuff;Stuff;Chip;Chip;Chip;Chip;Chip;Chip;Chip</v>
      </c>
      <c r="C17" s="25" t="str">
        <f t="shared" ca="1" si="0"/>
        <v>15;15;15;1;1;1;1;1;1;1|12;12;10;2;2;2;2;2;2;2|1001;1002;1003;100151;100131;100201;100071;100191;100121;100141|Stuff;Stuff;Stuff;Chip;Chip;Chip;Chip;Chip;Chip;Chip</v>
      </c>
      <c r="D17" s="25" t="str">
        <f t="shared" ca="1" si="0"/>
        <v>20;20;20;1;1;1;1;1;1;1|12;12;10;5;5;5;5;5;5;5|1001;1002;1003;100151;100131;100201;100071;100191;100121;100141|Stuff;Stuff;Stuff;Chip;Chip;Chip;Chip;Chip;Chip;Chip</v>
      </c>
      <c r="E17" s="25" t="str">
        <f t="shared" ca="1" si="0"/>
        <v>30;30;30;1;1;1;1;1;1;1|0;0;0;4;4;4;4;4;4;4|1001;1002;1003;100151;100131;100201;100071;100191;100121;100141|Stuff;Stuff;Stuff;Chip;Chip;Chip;Chip;Chip;Chip;Chip</v>
      </c>
    </row>
    <row r="18" spans="1:5" ht="16.5" x14ac:dyDescent="0.3">
      <c r="A18" s="4">
        <v>450</v>
      </c>
      <c r="B18" s="25" t="str">
        <f t="shared" ca="1" si="1"/>
        <v>10;10;10;1;1;1;1;1;1;1;1;1;1;1;1;1;1;1;1;1;1;1;1;1;1;1;1;1|53;53;42;2;2;2;2;2;2;2;2;2;2;2;2;2;2;2;2;2;2;2;2;2;2;2;2;2|1001;1002;1003;100011;100021;100031;100041;100051;100061;100071;100081;100091;100101;100111;100121;100131;100141;100151;100161;100171;100181;100191;100201;100211;100221;100231;100241;100251|Stuff;Stuff;Stuff;Chip;Chip;Chip;Chip;Chip;Chip;Chip;Chip;Chip;Chip;Chip;Chip;Chip;Chip;Chip;Chip;Chip;Chip;Chip;Chip;Chip;Chip;Chip;Chip;Chip</v>
      </c>
      <c r="C18" s="25" t="str">
        <f t="shared" ca="1" si="0"/>
        <v>15;15;15;1;1;1;1;1;1;1;1;1;1;1;1;1;1;1;1;1;1;1;1;1;1;1;1;1|44;44;35;2;2;2;2;2;2;2;2;2;2;2;2;2;2;2;2;2;2;2;2;2;2;2;2;2|1001;1002;1003;100011;100021;100031;100041;100051;100061;100071;100081;100091;100101;100111;100121;100131;100141;100151;100161;100171;100181;100191;100201;100211;100221;100231;100241;100251|Stuff;Stuff;Stuff;Chip;Chip;Chip;Chip;Chip;Chip;Chip;Chip;Chip;Chip;Chip;Chip;Chip;Chip;Chip;Chip;Chip;Chip;Chip;Chip;Chip;Chip;Chip;Chip;Chip</v>
      </c>
      <c r="D18" s="25" t="str">
        <f t="shared" ca="1" si="0"/>
        <v>20;20;20;1;1;1;1;1;1;1;1;1;1;1;1;1;1;1;1;1;1;1;1;1;1;1;1;1|44;44;35;5;5;5;5;5;5;5;5;5;5;5;5;5;5;5;5;5;5;5;5;5;5;5;5;5|1001;1002;1003;100011;100021;100031;100041;100051;100061;100071;100081;100091;100101;100111;100121;100131;100141;100151;100161;100171;100181;100191;100201;100211;100221;100231;100241;100251|Stuff;Stuff;Stuff;Chip;Chip;Chip;Chip;Chip;Chip;Chip;Chip;Chip;Chip;Chip;Chip;Chip;Chip;Chip;Chip;Chip;Chip;Chip;Chip;Chip;Chip;Chip;Chip;Chip</v>
      </c>
      <c r="E18" s="25" t="str">
        <f t="shared" ca="1" si="0"/>
        <v>30;30;30;1;1;1;1;1;1;1;1;1;1;1;1;1;1;1;1;1;1;1;1;1;1;1;1;1|0;0;0;4;4;4;4;4;4;4;4;4;4;4;4;4;4;4;4;4;4;4;4;4;4;4;4;4|1001;1002;1003;100011;100021;100031;100041;100051;100061;100071;100081;100091;100101;100111;100121;100131;100141;100151;100161;100171;100181;100191;100201;100211;100221;100231;100241;100251|Stuff;Stuff;Stuff;Chip;Chip;Chip;Chip;Chip;Chip;Chip;Chip;Chip;Chip;Chip;Chip;Chip;Chip;Chip;Chip;Chip;Chip;Chip;Chip;Chip;Chip;Chip;Chip;Chip</v>
      </c>
    </row>
    <row r="19" spans="1:5" ht="16.5" x14ac:dyDescent="0.3">
      <c r="A19" s="4">
        <v>480</v>
      </c>
      <c r="B19" s="25" t="str">
        <f ca="1">E18</f>
        <v>30;30;30;1;1;1;1;1;1;1;1;1;1;1;1;1;1;1;1;1;1;1;1;1;1;1;1;1|0;0;0;4;4;4;4;4;4;4;4;4;4;4;4;4;4;4;4;4;4;4;4;4;4;4;4;4|1001;1002;1003;100011;100021;100031;100041;100051;100061;100071;100081;100091;100101;100111;100121;100131;100141;100151;100161;100171;100181;100191;100201;100211;100221;100231;100241;100251|Stuff;Stuff;Stuff;Chip;Chip;Chip;Chip;Chip;Chip;Chip;Chip;Chip;Chip;Chip;Chip;Chip;Chip;Chip;Chip;Chip;Chip;Chip;Chip;Chip;Chip;Chip;Chip;Chip</v>
      </c>
      <c r="C19" s="25" t="str">
        <f ca="1">B19</f>
        <v>30;30;30;1;1;1;1;1;1;1;1;1;1;1;1;1;1;1;1;1;1;1;1;1;1;1;1;1|0;0;0;4;4;4;4;4;4;4;4;4;4;4;4;4;4;4;4;4;4;4;4;4;4;4;4;4|1001;1002;1003;100011;100021;100031;100041;100051;100061;100071;100081;100091;100101;100111;100121;100131;100141;100151;100161;100171;100181;100191;100201;100211;100221;100231;100241;100251|Stuff;Stuff;Stuff;Chip;Chip;Chip;Chip;Chip;Chip;Chip;Chip;Chip;Chip;Chip;Chip;Chip;Chip;Chip;Chip;Chip;Chip;Chip;Chip;Chip;Chip;Chip;Chip;Chip</v>
      </c>
      <c r="D19" s="25" t="str">
        <f ca="1">B19</f>
        <v>30;30;30;1;1;1;1;1;1;1;1;1;1;1;1;1;1;1;1;1;1;1;1;1;1;1;1;1|0;0;0;4;4;4;4;4;4;4;4;4;4;4;4;4;4;4;4;4;4;4;4;4;4;4;4;4|1001;1002;1003;100011;100021;100031;100041;100051;100061;100071;100081;100091;100101;100111;100121;100131;100141;100151;100161;100171;100181;100191;100201;100211;100221;100231;100241;100251|Stuff;Stuff;Stuff;Chip;Chip;Chip;Chip;Chip;Chip;Chip;Chip;Chip;Chip;Chip;Chip;Chip;Chip;Chip;Chip;Chip;Chip;Chip;Chip;Chip;Chip;Chip;Chip;Chip</v>
      </c>
      <c r="E19" s="25" t="str">
        <f ca="1">B19</f>
        <v>30;30;30;1;1;1;1;1;1;1;1;1;1;1;1;1;1;1;1;1;1;1;1;1;1;1;1;1|0;0;0;4;4;4;4;4;4;4;4;4;4;4;4;4;4;4;4;4;4;4;4;4;4;4;4;4|1001;1002;1003;100011;100021;100031;100041;100051;100061;100071;100081;100091;100101;100111;100121;100131;100141;100151;100161;100171;100181;100191;100201;100211;100221;100231;100241;100251|Stuff;Stuff;Stuff;Chip;Chip;Chip;Chip;Chip;Chip;Chip;Chip;Chip;Chip;Chip;Chip;Chip;Chip;Chip;Chip;Chip;Chip;Chip;Chip;Chip;Chip;Chip;Chip;Chip</v>
      </c>
    </row>
    <row r="20" spans="1:5" ht="16.5" x14ac:dyDescent="0.3">
      <c r="A20" s="4">
        <v>510</v>
      </c>
      <c r="B20" s="25" t="str">
        <f ca="1">E18</f>
        <v>30;30;30;1;1;1;1;1;1;1;1;1;1;1;1;1;1;1;1;1;1;1;1;1;1;1;1;1|0;0;0;4;4;4;4;4;4;4;4;4;4;4;4;4;4;4;4;4;4;4;4;4;4;4;4;4|1001;1002;1003;100011;100021;100031;100041;100051;100061;100071;100081;100091;100101;100111;100121;100131;100141;100151;100161;100171;100181;100191;100201;100211;100221;100231;100241;100251|Stuff;Stuff;Stuff;Chip;Chip;Chip;Chip;Chip;Chip;Chip;Chip;Chip;Chip;Chip;Chip;Chip;Chip;Chip;Chip;Chip;Chip;Chip;Chip;Chip;Chip;Chip;Chip;Chip</v>
      </c>
      <c r="C20" s="25" t="str">
        <f ca="1">B20</f>
        <v>30;30;30;1;1;1;1;1;1;1;1;1;1;1;1;1;1;1;1;1;1;1;1;1;1;1;1;1|0;0;0;4;4;4;4;4;4;4;4;4;4;4;4;4;4;4;4;4;4;4;4;4;4;4;4;4|1001;1002;1003;100011;100021;100031;100041;100051;100061;100071;100081;100091;100101;100111;100121;100131;100141;100151;100161;100171;100181;100191;100201;100211;100221;100231;100241;100251|Stuff;Stuff;Stuff;Chip;Chip;Chip;Chip;Chip;Chip;Chip;Chip;Chip;Chip;Chip;Chip;Chip;Chip;Chip;Chip;Chip;Chip;Chip;Chip;Chip;Chip;Chip;Chip;Chip</v>
      </c>
      <c r="D20" s="25" t="str">
        <f ca="1">B20</f>
        <v>30;30;30;1;1;1;1;1;1;1;1;1;1;1;1;1;1;1;1;1;1;1;1;1;1;1;1;1|0;0;0;4;4;4;4;4;4;4;4;4;4;4;4;4;4;4;4;4;4;4;4;4;4;4;4;4|1001;1002;1003;100011;100021;100031;100041;100051;100061;100071;100081;100091;100101;100111;100121;100131;100141;100151;100161;100171;100181;100191;100201;100211;100221;100231;100241;100251|Stuff;Stuff;Stuff;Chip;Chip;Chip;Chip;Chip;Chip;Chip;Chip;Chip;Chip;Chip;Chip;Chip;Chip;Chip;Chip;Chip;Chip;Chip;Chip;Chip;Chip;Chip;Chip;Chip</v>
      </c>
      <c r="E20" s="25" t="str">
        <f ca="1">B20</f>
        <v>30;30;30;1;1;1;1;1;1;1;1;1;1;1;1;1;1;1;1;1;1;1;1;1;1;1;1;1|0;0;0;4;4;4;4;4;4;4;4;4;4;4;4;4;4;4;4;4;4;4;4;4;4;4;4;4|1001;1002;1003;100011;100021;100031;100041;100051;100061;100071;100081;100091;100101;100111;100121;100131;100141;100151;100161;100171;100181;100191;100201;100211;100221;100231;100241;100251|Stuff;Stuff;Stuff;Chip;Chip;Chip;Chip;Chip;Chip;Chip;Chip;Chip;Chip;Chip;Chip;Chip;Chip;Chip;Chip;Chip;Chip;Chip;Chip;Chip;Chip;Chip;Chip;Chip</v>
      </c>
    </row>
    <row r="22" spans="1:5" x14ac:dyDescent="0.2">
      <c r="B22">
        <f>COLUMN()</f>
        <v>2</v>
      </c>
    </row>
  </sheetData>
  <autoFilter ref="A3:E20"/>
  <phoneticPr fontId="1" type="noConversion"/>
  <pageMargins left="0.7" right="0.7" top="0.75" bottom="0.75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62"/>
  <sheetViews>
    <sheetView showGridLines="0" workbookViewId="0">
      <selection activeCell="E34" sqref="E34"/>
    </sheetView>
  </sheetViews>
  <sheetFormatPr defaultRowHeight="16.5" x14ac:dyDescent="0.3"/>
  <cols>
    <col min="1" max="19" width="9" style="1"/>
    <col min="20" max="20" width="55.125" style="1" customWidth="1"/>
    <col min="21" max="16384" width="9" style="1"/>
  </cols>
  <sheetData>
    <row r="1" spans="1:20" x14ac:dyDescent="0.3">
      <c r="A1" s="34" t="s">
        <v>168</v>
      </c>
      <c r="B1" s="33">
        <v>1001</v>
      </c>
      <c r="C1" s="33"/>
      <c r="D1" s="33">
        <v>1002</v>
      </c>
      <c r="E1" s="33"/>
      <c r="F1" s="33">
        <v>1003</v>
      </c>
      <c r="G1" s="33"/>
      <c r="L1" s="1" t="s">
        <v>175</v>
      </c>
      <c r="P1" s="29" t="s">
        <v>173</v>
      </c>
      <c r="Q1" s="29"/>
      <c r="R1" s="29"/>
      <c r="S1" s="29"/>
      <c r="T1" s="29"/>
    </row>
    <row r="2" spans="1:20" x14ac:dyDescent="0.3">
      <c r="A2" s="34"/>
      <c r="B2" s="27" t="s">
        <v>165</v>
      </c>
      <c r="C2" s="27" t="s">
        <v>166</v>
      </c>
      <c r="D2" s="27" t="s">
        <v>165</v>
      </c>
      <c r="E2" s="27" t="s">
        <v>166</v>
      </c>
      <c r="F2" s="27" t="s">
        <v>165</v>
      </c>
      <c r="G2" s="27" t="s">
        <v>166</v>
      </c>
      <c r="L2" s="1">
        <v>100011</v>
      </c>
      <c r="P2" s="26" t="s">
        <v>168</v>
      </c>
      <c r="Q2" s="26" t="s">
        <v>165</v>
      </c>
      <c r="R2" s="26" t="s">
        <v>167</v>
      </c>
      <c r="S2" s="26" t="s">
        <v>165</v>
      </c>
      <c r="T2" s="26" t="s">
        <v>174</v>
      </c>
    </row>
    <row r="3" spans="1:20" x14ac:dyDescent="0.3">
      <c r="A3" s="25" t="s">
        <v>169</v>
      </c>
      <c r="B3" s="25">
        <v>5</v>
      </c>
      <c r="C3" s="25">
        <v>10</v>
      </c>
      <c r="D3" s="25">
        <v>5</v>
      </c>
      <c r="E3" s="25">
        <v>10</v>
      </c>
      <c r="F3" s="25">
        <v>4</v>
      </c>
      <c r="G3" s="25">
        <v>10</v>
      </c>
      <c r="L3" s="1">
        <f>L2+10</f>
        <v>100021</v>
      </c>
      <c r="P3" s="25" t="s">
        <v>169</v>
      </c>
      <c r="Q3" s="25">
        <v>6</v>
      </c>
      <c r="R3" s="25" t="s">
        <v>195</v>
      </c>
      <c r="S3" s="25">
        <v>2</v>
      </c>
      <c r="T3" s="25" t="s">
        <v>230</v>
      </c>
    </row>
    <row r="4" spans="1:20" x14ac:dyDescent="0.3">
      <c r="A4" s="24" t="s">
        <v>170</v>
      </c>
      <c r="B4" s="24">
        <v>5</v>
      </c>
      <c r="C4" s="24">
        <v>15</v>
      </c>
      <c r="D4" s="24">
        <v>5</v>
      </c>
      <c r="E4" s="24">
        <v>15</v>
      </c>
      <c r="F4" s="24">
        <v>4</v>
      </c>
      <c r="G4" s="24">
        <v>15</v>
      </c>
      <c r="L4" s="1">
        <f t="shared" ref="L4:L26" si="0">L3+10</f>
        <v>100031</v>
      </c>
      <c r="P4" s="25" t="s">
        <v>170</v>
      </c>
      <c r="Q4" s="24">
        <v>5</v>
      </c>
      <c r="R4" s="25" t="s">
        <v>195</v>
      </c>
      <c r="S4" s="24">
        <v>2</v>
      </c>
      <c r="T4" s="24" t="s">
        <v>231</v>
      </c>
    </row>
    <row r="5" spans="1:20" x14ac:dyDescent="0.3">
      <c r="A5" s="24" t="s">
        <v>171</v>
      </c>
      <c r="B5" s="24">
        <v>5</v>
      </c>
      <c r="C5" s="24">
        <v>20</v>
      </c>
      <c r="D5" s="24">
        <v>5</v>
      </c>
      <c r="E5" s="24">
        <v>20</v>
      </c>
      <c r="F5" s="24">
        <v>4</v>
      </c>
      <c r="G5" s="24">
        <v>20</v>
      </c>
      <c r="L5" s="1">
        <f t="shared" si="0"/>
        <v>100041</v>
      </c>
      <c r="P5" s="25" t="s">
        <v>171</v>
      </c>
      <c r="Q5" s="24">
        <v>5</v>
      </c>
      <c r="R5" s="25" t="s">
        <v>195</v>
      </c>
      <c r="S5" s="24">
        <v>5</v>
      </c>
      <c r="T5" s="24" t="s">
        <v>232</v>
      </c>
    </row>
    <row r="6" spans="1:20" x14ac:dyDescent="0.3">
      <c r="A6" s="24" t="s">
        <v>176</v>
      </c>
      <c r="B6" s="24">
        <v>5</v>
      </c>
      <c r="C6" s="24">
        <v>30</v>
      </c>
      <c r="D6" s="24">
        <v>5</v>
      </c>
      <c r="E6" s="24">
        <v>30</v>
      </c>
      <c r="F6" s="24">
        <v>4</v>
      </c>
      <c r="G6" s="24">
        <v>30</v>
      </c>
      <c r="L6" s="1">
        <f t="shared" si="0"/>
        <v>100051</v>
      </c>
      <c r="P6" s="25" t="s">
        <v>192</v>
      </c>
      <c r="Q6" s="24">
        <v>0</v>
      </c>
      <c r="R6" s="25" t="s">
        <v>195</v>
      </c>
      <c r="S6" s="24">
        <v>4</v>
      </c>
      <c r="T6" s="24" t="s">
        <v>233</v>
      </c>
    </row>
    <row r="7" spans="1:20" x14ac:dyDescent="0.3">
      <c r="L7" s="1">
        <f t="shared" si="0"/>
        <v>100061</v>
      </c>
      <c r="P7" s="25" t="s">
        <v>169</v>
      </c>
      <c r="Q7" s="25">
        <f>Q3</f>
        <v>6</v>
      </c>
      <c r="R7" s="24" t="s">
        <v>197</v>
      </c>
      <c r="S7" s="25">
        <f>S3</f>
        <v>2</v>
      </c>
      <c r="T7" s="24" t="s">
        <v>234</v>
      </c>
    </row>
    <row r="8" spans="1:20" x14ac:dyDescent="0.3">
      <c r="L8" s="1">
        <f t="shared" si="0"/>
        <v>100071</v>
      </c>
      <c r="P8" s="25" t="s">
        <v>170</v>
      </c>
      <c r="Q8" s="25">
        <f t="shared" ref="Q8:Q62" si="1">Q4</f>
        <v>5</v>
      </c>
      <c r="R8" s="24" t="s">
        <v>197</v>
      </c>
      <c r="S8" s="25">
        <f t="shared" ref="S8:S62" si="2">S4</f>
        <v>2</v>
      </c>
      <c r="T8" s="24" t="s">
        <v>235</v>
      </c>
    </row>
    <row r="9" spans="1:20" x14ac:dyDescent="0.3">
      <c r="L9" s="1">
        <f t="shared" si="0"/>
        <v>100081</v>
      </c>
      <c r="P9" s="25" t="s">
        <v>171</v>
      </c>
      <c r="Q9" s="25">
        <f t="shared" si="1"/>
        <v>5</v>
      </c>
      <c r="R9" s="24" t="s">
        <v>197</v>
      </c>
      <c r="S9" s="25">
        <f t="shared" si="2"/>
        <v>5</v>
      </c>
      <c r="T9" s="24" t="s">
        <v>236</v>
      </c>
    </row>
    <row r="10" spans="1:20" x14ac:dyDescent="0.3">
      <c r="L10" s="1">
        <f t="shared" si="0"/>
        <v>100091</v>
      </c>
      <c r="P10" s="25" t="s">
        <v>192</v>
      </c>
      <c r="Q10" s="25">
        <f t="shared" si="1"/>
        <v>0</v>
      </c>
      <c r="R10" s="24" t="s">
        <v>197</v>
      </c>
      <c r="S10" s="25">
        <f t="shared" si="2"/>
        <v>4</v>
      </c>
      <c r="T10" s="24" t="s">
        <v>237</v>
      </c>
    </row>
    <row r="11" spans="1:20" x14ac:dyDescent="0.3">
      <c r="L11" s="1">
        <f t="shared" si="0"/>
        <v>100101</v>
      </c>
      <c r="P11" s="24" t="str">
        <f>P7</f>
        <v>组合1</v>
      </c>
      <c r="Q11" s="25">
        <f t="shared" si="1"/>
        <v>6</v>
      </c>
      <c r="R11" s="24" t="s">
        <v>226</v>
      </c>
      <c r="S11" s="25">
        <f t="shared" si="2"/>
        <v>2</v>
      </c>
      <c r="T11" s="24" t="s">
        <v>238</v>
      </c>
    </row>
    <row r="12" spans="1:20" x14ac:dyDescent="0.3">
      <c r="L12" s="1">
        <f t="shared" si="0"/>
        <v>100111</v>
      </c>
      <c r="P12" s="24" t="str">
        <f t="shared" ref="P12:P62" si="3">P8</f>
        <v>组合2</v>
      </c>
      <c r="Q12" s="25">
        <f t="shared" si="1"/>
        <v>5</v>
      </c>
      <c r="R12" s="24" t="s">
        <v>226</v>
      </c>
      <c r="S12" s="25">
        <f t="shared" si="2"/>
        <v>2</v>
      </c>
      <c r="T12" s="24" t="s">
        <v>239</v>
      </c>
    </row>
    <row r="13" spans="1:20" x14ac:dyDescent="0.3">
      <c r="L13" s="1">
        <f t="shared" si="0"/>
        <v>100121</v>
      </c>
      <c r="P13" s="24" t="str">
        <f t="shared" si="3"/>
        <v>组合3</v>
      </c>
      <c r="Q13" s="25">
        <f t="shared" si="1"/>
        <v>5</v>
      </c>
      <c r="R13" s="24" t="s">
        <v>226</v>
      </c>
      <c r="S13" s="25">
        <f t="shared" si="2"/>
        <v>5</v>
      </c>
      <c r="T13" s="24" t="s">
        <v>240</v>
      </c>
    </row>
    <row r="14" spans="1:20" x14ac:dyDescent="0.3">
      <c r="L14" s="1">
        <f t="shared" si="0"/>
        <v>100131</v>
      </c>
      <c r="P14" s="24" t="str">
        <f t="shared" si="3"/>
        <v>组合4</v>
      </c>
      <c r="Q14" s="25">
        <f t="shared" si="1"/>
        <v>0</v>
      </c>
      <c r="R14" s="24" t="s">
        <v>226</v>
      </c>
      <c r="S14" s="25">
        <f t="shared" si="2"/>
        <v>4</v>
      </c>
      <c r="T14" s="24" t="s">
        <v>241</v>
      </c>
    </row>
    <row r="15" spans="1:20" x14ac:dyDescent="0.3">
      <c r="A15" s="30" t="s">
        <v>172</v>
      </c>
      <c r="B15" s="31"/>
      <c r="C15" s="31"/>
      <c r="D15" s="31"/>
      <c r="E15" s="31"/>
      <c r="F15" s="31"/>
      <c r="G15" s="31"/>
      <c r="H15" s="31"/>
      <c r="I15" s="31"/>
      <c r="J15" s="31"/>
      <c r="K15" s="32"/>
      <c r="L15" s="1">
        <f t="shared" si="0"/>
        <v>100141</v>
      </c>
      <c r="P15" s="24" t="str">
        <f t="shared" si="3"/>
        <v>组合1</v>
      </c>
      <c r="Q15" s="25">
        <f t="shared" si="1"/>
        <v>6</v>
      </c>
      <c r="R15" s="24" t="s">
        <v>200</v>
      </c>
      <c r="S15" s="25">
        <f t="shared" si="2"/>
        <v>2</v>
      </c>
      <c r="T15" s="24" t="s">
        <v>242</v>
      </c>
    </row>
    <row r="16" spans="1:20" x14ac:dyDescent="0.3">
      <c r="A16" s="24" t="s">
        <v>196</v>
      </c>
      <c r="B16" s="35" t="s">
        <v>194</v>
      </c>
      <c r="C16" s="35"/>
      <c r="D16" s="35"/>
      <c r="E16" s="35"/>
      <c r="F16" s="35"/>
      <c r="G16" s="35"/>
      <c r="H16" s="35"/>
      <c r="I16" s="35"/>
      <c r="J16" s="35"/>
      <c r="K16" s="35"/>
      <c r="L16" s="1">
        <f t="shared" si="0"/>
        <v>100151</v>
      </c>
      <c r="P16" s="24" t="str">
        <f t="shared" si="3"/>
        <v>组合2</v>
      </c>
      <c r="Q16" s="25">
        <f t="shared" si="1"/>
        <v>5</v>
      </c>
      <c r="R16" s="24" t="s">
        <v>200</v>
      </c>
      <c r="S16" s="25">
        <f t="shared" si="2"/>
        <v>2</v>
      </c>
      <c r="T16" s="24" t="s">
        <v>243</v>
      </c>
    </row>
    <row r="17" spans="1:20" x14ac:dyDescent="0.3">
      <c r="A17" s="24" t="s">
        <v>198</v>
      </c>
      <c r="B17" s="35" t="s">
        <v>211</v>
      </c>
      <c r="C17" s="35"/>
      <c r="D17" s="35"/>
      <c r="E17" s="35"/>
      <c r="F17" s="35"/>
      <c r="G17" s="35"/>
      <c r="H17" s="35"/>
      <c r="I17" s="35"/>
      <c r="J17" s="35"/>
      <c r="K17" s="35"/>
      <c r="L17" s="1">
        <f t="shared" si="0"/>
        <v>100161</v>
      </c>
      <c r="P17" s="24" t="str">
        <f t="shared" si="3"/>
        <v>组合3</v>
      </c>
      <c r="Q17" s="25">
        <f t="shared" si="1"/>
        <v>5</v>
      </c>
      <c r="R17" s="24" t="s">
        <v>200</v>
      </c>
      <c r="S17" s="25">
        <f t="shared" si="2"/>
        <v>5</v>
      </c>
      <c r="T17" s="24" t="s">
        <v>244</v>
      </c>
    </row>
    <row r="18" spans="1:20" x14ac:dyDescent="0.3">
      <c r="A18" s="24" t="s">
        <v>199</v>
      </c>
      <c r="B18" s="35" t="s">
        <v>212</v>
      </c>
      <c r="C18" s="35"/>
      <c r="D18" s="35"/>
      <c r="E18" s="35"/>
      <c r="F18" s="35"/>
      <c r="G18" s="35"/>
      <c r="H18" s="35"/>
      <c r="I18" s="35"/>
      <c r="J18" s="35"/>
      <c r="K18" s="35"/>
      <c r="L18" s="1">
        <f t="shared" si="0"/>
        <v>100171</v>
      </c>
      <c r="P18" s="24" t="str">
        <f t="shared" si="3"/>
        <v>组合4</v>
      </c>
      <c r="Q18" s="25">
        <f t="shared" si="1"/>
        <v>0</v>
      </c>
      <c r="R18" s="24" t="s">
        <v>200</v>
      </c>
      <c r="S18" s="25">
        <f t="shared" si="2"/>
        <v>4</v>
      </c>
      <c r="T18" s="24" t="s">
        <v>245</v>
      </c>
    </row>
    <row r="19" spans="1:20" x14ac:dyDescent="0.3">
      <c r="A19" s="24" t="s">
        <v>200</v>
      </c>
      <c r="B19" s="35" t="s">
        <v>213</v>
      </c>
      <c r="C19" s="35"/>
      <c r="D19" s="35"/>
      <c r="E19" s="35"/>
      <c r="F19" s="35"/>
      <c r="G19" s="35"/>
      <c r="H19" s="35"/>
      <c r="I19" s="35"/>
      <c r="J19" s="35"/>
      <c r="K19" s="35"/>
      <c r="L19" s="1">
        <f t="shared" si="0"/>
        <v>100181</v>
      </c>
      <c r="P19" s="24" t="str">
        <f t="shared" si="3"/>
        <v>组合1</v>
      </c>
      <c r="Q19" s="25">
        <f t="shared" si="1"/>
        <v>6</v>
      </c>
      <c r="R19" s="24" t="s">
        <v>227</v>
      </c>
      <c r="S19" s="25">
        <f t="shared" si="2"/>
        <v>2</v>
      </c>
      <c r="T19" s="24" t="s">
        <v>246</v>
      </c>
    </row>
    <row r="20" spans="1:20" x14ac:dyDescent="0.3">
      <c r="A20" s="24" t="s">
        <v>201</v>
      </c>
      <c r="B20" s="35" t="s">
        <v>214</v>
      </c>
      <c r="C20" s="35"/>
      <c r="D20" s="35"/>
      <c r="E20" s="35"/>
      <c r="F20" s="35"/>
      <c r="G20" s="35"/>
      <c r="H20" s="35"/>
      <c r="I20" s="35"/>
      <c r="J20" s="35"/>
      <c r="K20" s="35"/>
      <c r="L20" s="1">
        <f t="shared" si="0"/>
        <v>100191</v>
      </c>
      <c r="P20" s="24" t="str">
        <f t="shared" si="3"/>
        <v>组合2</v>
      </c>
      <c r="Q20" s="25">
        <f t="shared" si="1"/>
        <v>5</v>
      </c>
      <c r="R20" s="24" t="s">
        <v>227</v>
      </c>
      <c r="S20" s="25">
        <f t="shared" si="2"/>
        <v>2</v>
      </c>
      <c r="T20" s="1" t="s">
        <v>247</v>
      </c>
    </row>
    <row r="21" spans="1:20" x14ac:dyDescent="0.3">
      <c r="A21" s="24" t="s">
        <v>202</v>
      </c>
      <c r="B21" s="35" t="s">
        <v>215</v>
      </c>
      <c r="C21" s="35"/>
      <c r="D21" s="35"/>
      <c r="E21" s="35"/>
      <c r="F21" s="35"/>
      <c r="G21" s="35"/>
      <c r="H21" s="35"/>
      <c r="I21" s="35"/>
      <c r="J21" s="35"/>
      <c r="K21" s="35"/>
      <c r="L21" s="1">
        <f t="shared" si="0"/>
        <v>100201</v>
      </c>
      <c r="P21" s="24" t="str">
        <f t="shared" si="3"/>
        <v>组合3</v>
      </c>
      <c r="Q21" s="25">
        <f t="shared" si="1"/>
        <v>5</v>
      </c>
      <c r="R21" s="24" t="s">
        <v>227</v>
      </c>
      <c r="S21" s="25">
        <f t="shared" si="2"/>
        <v>5</v>
      </c>
      <c r="T21" s="1" t="s">
        <v>248</v>
      </c>
    </row>
    <row r="22" spans="1:20" x14ac:dyDescent="0.3">
      <c r="A22" s="24" t="s">
        <v>203</v>
      </c>
      <c r="B22" s="35" t="s">
        <v>216</v>
      </c>
      <c r="C22" s="35"/>
      <c r="D22" s="35"/>
      <c r="E22" s="35"/>
      <c r="F22" s="35"/>
      <c r="G22" s="35"/>
      <c r="H22" s="35"/>
      <c r="I22" s="35"/>
      <c r="J22" s="35"/>
      <c r="K22" s="35"/>
      <c r="L22" s="1">
        <f t="shared" si="0"/>
        <v>100211</v>
      </c>
      <c r="P22" s="24" t="str">
        <f t="shared" si="3"/>
        <v>组合4</v>
      </c>
      <c r="Q22" s="25">
        <f t="shared" si="1"/>
        <v>0</v>
      </c>
      <c r="R22" s="24" t="s">
        <v>227</v>
      </c>
      <c r="S22" s="25">
        <f t="shared" si="2"/>
        <v>4</v>
      </c>
      <c r="T22" s="1" t="s">
        <v>249</v>
      </c>
    </row>
    <row r="23" spans="1:20" x14ac:dyDescent="0.3">
      <c r="A23" s="24" t="s">
        <v>204</v>
      </c>
      <c r="B23" s="35" t="s">
        <v>217</v>
      </c>
      <c r="C23" s="35"/>
      <c r="D23" s="35"/>
      <c r="E23" s="35"/>
      <c r="F23" s="35"/>
      <c r="G23" s="35"/>
      <c r="H23" s="35"/>
      <c r="I23" s="35"/>
      <c r="J23" s="35"/>
      <c r="K23" s="35"/>
      <c r="L23" s="1">
        <f t="shared" si="0"/>
        <v>100221</v>
      </c>
      <c r="P23" s="24" t="str">
        <f t="shared" si="3"/>
        <v>组合1</v>
      </c>
      <c r="Q23" s="25">
        <f t="shared" si="1"/>
        <v>6</v>
      </c>
      <c r="R23" s="1" t="s">
        <v>228</v>
      </c>
      <c r="S23" s="25">
        <f t="shared" si="2"/>
        <v>2</v>
      </c>
      <c r="T23" s="1" t="s">
        <v>250</v>
      </c>
    </row>
    <row r="24" spans="1:20" x14ac:dyDescent="0.3">
      <c r="A24" s="24" t="s">
        <v>205</v>
      </c>
      <c r="B24" s="35" t="s">
        <v>218</v>
      </c>
      <c r="C24" s="35"/>
      <c r="D24" s="35"/>
      <c r="E24" s="35"/>
      <c r="F24" s="35"/>
      <c r="G24" s="35"/>
      <c r="H24" s="35"/>
      <c r="I24" s="35"/>
      <c r="J24" s="35"/>
      <c r="K24" s="35"/>
      <c r="L24" s="1">
        <f t="shared" si="0"/>
        <v>100231</v>
      </c>
      <c r="P24" s="24" t="str">
        <f t="shared" si="3"/>
        <v>组合2</v>
      </c>
      <c r="Q24" s="25">
        <f t="shared" si="1"/>
        <v>5</v>
      </c>
      <c r="R24" s="1" t="s">
        <v>228</v>
      </c>
      <c r="S24" s="25">
        <f t="shared" si="2"/>
        <v>2</v>
      </c>
      <c r="T24" s="1" t="s">
        <v>251</v>
      </c>
    </row>
    <row r="25" spans="1:20" x14ac:dyDescent="0.3">
      <c r="A25" s="24" t="s">
        <v>206</v>
      </c>
      <c r="B25" s="35" t="s">
        <v>219</v>
      </c>
      <c r="C25" s="35"/>
      <c r="D25" s="35"/>
      <c r="E25" s="35"/>
      <c r="F25" s="35"/>
      <c r="G25" s="35"/>
      <c r="H25" s="35"/>
      <c r="I25" s="35"/>
      <c r="J25" s="35"/>
      <c r="K25" s="35"/>
      <c r="L25" s="1">
        <f t="shared" si="0"/>
        <v>100241</v>
      </c>
      <c r="P25" s="24" t="str">
        <f t="shared" si="3"/>
        <v>组合3</v>
      </c>
      <c r="Q25" s="25">
        <f t="shared" si="1"/>
        <v>5</v>
      </c>
      <c r="R25" s="1" t="s">
        <v>228</v>
      </c>
      <c r="S25" s="25">
        <f t="shared" si="2"/>
        <v>5</v>
      </c>
      <c r="T25" s="1" t="s">
        <v>252</v>
      </c>
    </row>
    <row r="26" spans="1:20" x14ac:dyDescent="0.3">
      <c r="A26" s="24" t="s">
        <v>207</v>
      </c>
      <c r="B26" s="35" t="s">
        <v>220</v>
      </c>
      <c r="C26" s="35"/>
      <c r="D26" s="35"/>
      <c r="E26" s="35"/>
      <c r="F26" s="35"/>
      <c r="G26" s="35"/>
      <c r="H26" s="35"/>
      <c r="I26" s="35"/>
      <c r="J26" s="35"/>
      <c r="K26" s="35"/>
      <c r="L26" s="1">
        <f t="shared" si="0"/>
        <v>100251</v>
      </c>
      <c r="P26" s="24" t="str">
        <f t="shared" si="3"/>
        <v>组合4</v>
      </c>
      <c r="Q26" s="25">
        <f t="shared" si="1"/>
        <v>0</v>
      </c>
      <c r="R26" s="1" t="s">
        <v>228</v>
      </c>
      <c r="S26" s="25">
        <f t="shared" si="2"/>
        <v>4</v>
      </c>
      <c r="T26" s="1" t="s">
        <v>253</v>
      </c>
    </row>
    <row r="27" spans="1:20" x14ac:dyDescent="0.3">
      <c r="A27" s="24" t="s">
        <v>208</v>
      </c>
      <c r="B27" s="35" t="s">
        <v>221</v>
      </c>
      <c r="C27" s="35"/>
      <c r="D27" s="35"/>
      <c r="E27" s="35"/>
      <c r="F27" s="35"/>
      <c r="G27" s="35"/>
      <c r="H27" s="35"/>
      <c r="I27" s="35"/>
      <c r="J27" s="35"/>
      <c r="K27" s="35"/>
      <c r="P27" s="24" t="str">
        <f t="shared" si="3"/>
        <v>组合1</v>
      </c>
      <c r="Q27" s="25">
        <f t="shared" si="1"/>
        <v>6</v>
      </c>
      <c r="R27" s="1" t="s">
        <v>203</v>
      </c>
      <c r="S27" s="25">
        <f t="shared" si="2"/>
        <v>2</v>
      </c>
      <c r="T27" s="1" t="s">
        <v>254</v>
      </c>
    </row>
    <row r="28" spans="1:20" x14ac:dyDescent="0.3">
      <c r="A28" s="24" t="s">
        <v>229</v>
      </c>
      <c r="B28" s="35" t="s">
        <v>222</v>
      </c>
      <c r="C28" s="35"/>
      <c r="D28" s="35"/>
      <c r="E28" s="35"/>
      <c r="F28" s="35"/>
      <c r="G28" s="35"/>
      <c r="H28" s="35"/>
      <c r="I28" s="35"/>
      <c r="J28" s="35"/>
      <c r="K28" s="35"/>
      <c r="P28" s="24" t="str">
        <f t="shared" si="3"/>
        <v>组合2</v>
      </c>
      <c r="Q28" s="25">
        <f t="shared" si="1"/>
        <v>5</v>
      </c>
      <c r="R28" s="1" t="s">
        <v>203</v>
      </c>
      <c r="S28" s="25">
        <f t="shared" si="2"/>
        <v>2</v>
      </c>
      <c r="T28" s="1" t="s">
        <v>255</v>
      </c>
    </row>
    <row r="29" spans="1:20" x14ac:dyDescent="0.3">
      <c r="A29" s="24" t="s">
        <v>210</v>
      </c>
      <c r="B29" s="35" t="s">
        <v>223</v>
      </c>
      <c r="C29" s="35"/>
      <c r="D29" s="35"/>
      <c r="E29" s="35"/>
      <c r="F29" s="35"/>
      <c r="G29" s="35"/>
      <c r="H29" s="35"/>
      <c r="I29" s="35"/>
      <c r="J29" s="35"/>
      <c r="K29" s="35"/>
      <c r="P29" s="24" t="str">
        <f t="shared" si="3"/>
        <v>组合3</v>
      </c>
      <c r="Q29" s="25">
        <f t="shared" si="1"/>
        <v>5</v>
      </c>
      <c r="R29" s="1" t="s">
        <v>203</v>
      </c>
      <c r="S29" s="25">
        <f t="shared" si="2"/>
        <v>5</v>
      </c>
      <c r="T29" s="1" t="s">
        <v>256</v>
      </c>
    </row>
    <row r="30" spans="1:20" x14ac:dyDescent="0.3">
      <c r="A30" s="24" t="s">
        <v>225</v>
      </c>
      <c r="B30" s="36" t="str">
        <f ca="1">[1]!连接单元格(L2:L26,";")</f>
        <v>100011;100021;100031;100041;100051;100061;100071;100081;100091;100101;100111;100121;100131;100141;100151;100161;100171;100181;100191;100201;100211;100221;100231;100241;100251</v>
      </c>
      <c r="C30" s="37"/>
      <c r="D30" s="37"/>
      <c r="E30" s="37"/>
      <c r="F30" s="37"/>
      <c r="G30" s="37"/>
      <c r="H30" s="37"/>
      <c r="I30" s="37"/>
      <c r="J30" s="37"/>
      <c r="K30" s="37"/>
      <c r="P30" s="24" t="str">
        <f t="shared" si="3"/>
        <v>组合4</v>
      </c>
      <c r="Q30" s="25">
        <f t="shared" si="1"/>
        <v>0</v>
      </c>
      <c r="R30" s="1" t="s">
        <v>203</v>
      </c>
      <c r="S30" s="25">
        <f t="shared" si="2"/>
        <v>4</v>
      </c>
      <c r="T30" s="1" t="s">
        <v>257</v>
      </c>
    </row>
    <row r="31" spans="1:20" x14ac:dyDescent="0.3">
      <c r="A31" s="24"/>
      <c r="P31" s="24" t="str">
        <f t="shared" si="3"/>
        <v>组合1</v>
      </c>
      <c r="Q31" s="25">
        <f t="shared" si="1"/>
        <v>6</v>
      </c>
      <c r="R31" s="1" t="s">
        <v>204</v>
      </c>
      <c r="S31" s="25">
        <f t="shared" si="2"/>
        <v>2</v>
      </c>
      <c r="T31" s="1" t="s">
        <v>258</v>
      </c>
    </row>
    <row r="32" spans="1:20" x14ac:dyDescent="0.3">
      <c r="A32" s="24"/>
      <c r="P32" s="24" t="str">
        <f t="shared" si="3"/>
        <v>组合2</v>
      </c>
      <c r="Q32" s="25">
        <f t="shared" si="1"/>
        <v>5</v>
      </c>
      <c r="R32" s="1" t="s">
        <v>204</v>
      </c>
      <c r="S32" s="25">
        <f t="shared" si="2"/>
        <v>2</v>
      </c>
      <c r="T32" s="1" t="s">
        <v>259</v>
      </c>
    </row>
    <row r="33" spans="1:20" x14ac:dyDescent="0.3">
      <c r="A33" s="24"/>
      <c r="P33" s="24" t="str">
        <f t="shared" si="3"/>
        <v>组合3</v>
      </c>
      <c r="Q33" s="25">
        <f t="shared" si="1"/>
        <v>5</v>
      </c>
      <c r="R33" s="1" t="s">
        <v>204</v>
      </c>
      <c r="S33" s="25">
        <f t="shared" si="2"/>
        <v>5</v>
      </c>
      <c r="T33" s="1" t="s">
        <v>260</v>
      </c>
    </row>
    <row r="34" spans="1:20" x14ac:dyDescent="0.3">
      <c r="P34" s="24" t="str">
        <f t="shared" si="3"/>
        <v>组合4</v>
      </c>
      <c r="Q34" s="25">
        <f t="shared" si="1"/>
        <v>0</v>
      </c>
      <c r="R34" s="1" t="s">
        <v>204</v>
      </c>
      <c r="S34" s="25">
        <f t="shared" si="2"/>
        <v>4</v>
      </c>
      <c r="T34" s="1" t="s">
        <v>261</v>
      </c>
    </row>
    <row r="35" spans="1:20" x14ac:dyDescent="0.3">
      <c r="P35" s="24" t="str">
        <f t="shared" si="3"/>
        <v>组合1</v>
      </c>
      <c r="Q35" s="25">
        <f t="shared" si="1"/>
        <v>6</v>
      </c>
      <c r="R35" s="1" t="s">
        <v>205</v>
      </c>
      <c r="S35" s="25">
        <f t="shared" si="2"/>
        <v>2</v>
      </c>
      <c r="T35" s="1" t="s">
        <v>262</v>
      </c>
    </row>
    <row r="36" spans="1:20" x14ac:dyDescent="0.3">
      <c r="P36" s="24" t="str">
        <f t="shared" si="3"/>
        <v>组合2</v>
      </c>
      <c r="Q36" s="25">
        <f t="shared" si="1"/>
        <v>5</v>
      </c>
      <c r="R36" s="1" t="s">
        <v>205</v>
      </c>
      <c r="S36" s="25">
        <f t="shared" si="2"/>
        <v>2</v>
      </c>
      <c r="T36" s="1" t="s">
        <v>263</v>
      </c>
    </row>
    <row r="37" spans="1:20" x14ac:dyDescent="0.3">
      <c r="P37" s="24" t="str">
        <f t="shared" si="3"/>
        <v>组合3</v>
      </c>
      <c r="Q37" s="25">
        <f t="shared" si="1"/>
        <v>5</v>
      </c>
      <c r="R37" s="1" t="s">
        <v>205</v>
      </c>
      <c r="S37" s="25">
        <f t="shared" si="2"/>
        <v>5</v>
      </c>
      <c r="T37" s="1" t="s">
        <v>264</v>
      </c>
    </row>
    <row r="38" spans="1:20" x14ac:dyDescent="0.3">
      <c r="P38" s="24" t="str">
        <f t="shared" si="3"/>
        <v>组合4</v>
      </c>
      <c r="Q38" s="25">
        <f t="shared" si="1"/>
        <v>0</v>
      </c>
      <c r="R38" s="1" t="s">
        <v>205</v>
      </c>
      <c r="S38" s="25">
        <f t="shared" si="2"/>
        <v>4</v>
      </c>
      <c r="T38" s="1" t="s">
        <v>265</v>
      </c>
    </row>
    <row r="39" spans="1:20" x14ac:dyDescent="0.3">
      <c r="P39" s="24" t="str">
        <f t="shared" si="3"/>
        <v>组合1</v>
      </c>
      <c r="Q39" s="25">
        <f t="shared" si="1"/>
        <v>6</v>
      </c>
      <c r="R39" s="1" t="s">
        <v>206</v>
      </c>
      <c r="S39" s="25">
        <f t="shared" si="2"/>
        <v>2</v>
      </c>
      <c r="T39" s="1" t="s">
        <v>266</v>
      </c>
    </row>
    <row r="40" spans="1:20" x14ac:dyDescent="0.3">
      <c r="P40" s="24" t="str">
        <f t="shared" si="3"/>
        <v>组合2</v>
      </c>
      <c r="Q40" s="25">
        <f t="shared" si="1"/>
        <v>5</v>
      </c>
      <c r="R40" s="1" t="s">
        <v>206</v>
      </c>
      <c r="S40" s="25">
        <f t="shared" si="2"/>
        <v>2</v>
      </c>
      <c r="T40" s="1" t="s">
        <v>267</v>
      </c>
    </row>
    <row r="41" spans="1:20" x14ac:dyDescent="0.3">
      <c r="P41" s="24" t="str">
        <f t="shared" si="3"/>
        <v>组合3</v>
      </c>
      <c r="Q41" s="25">
        <f t="shared" si="1"/>
        <v>5</v>
      </c>
      <c r="R41" s="1" t="s">
        <v>206</v>
      </c>
      <c r="S41" s="25">
        <f t="shared" si="2"/>
        <v>5</v>
      </c>
      <c r="T41" s="1" t="s">
        <v>268</v>
      </c>
    </row>
    <row r="42" spans="1:20" x14ac:dyDescent="0.3">
      <c r="P42" s="24" t="str">
        <f t="shared" si="3"/>
        <v>组合4</v>
      </c>
      <c r="Q42" s="25">
        <f t="shared" si="1"/>
        <v>0</v>
      </c>
      <c r="R42" s="1" t="s">
        <v>206</v>
      </c>
      <c r="S42" s="25">
        <f t="shared" si="2"/>
        <v>4</v>
      </c>
      <c r="T42" s="1" t="s">
        <v>269</v>
      </c>
    </row>
    <row r="43" spans="1:20" x14ac:dyDescent="0.3">
      <c r="P43" s="24" t="str">
        <f t="shared" si="3"/>
        <v>组合1</v>
      </c>
      <c r="Q43" s="25">
        <f t="shared" si="1"/>
        <v>6</v>
      </c>
      <c r="R43" s="1" t="s">
        <v>207</v>
      </c>
      <c r="S43" s="25">
        <f t="shared" si="2"/>
        <v>2</v>
      </c>
      <c r="T43" s="1" t="s">
        <v>270</v>
      </c>
    </row>
    <row r="44" spans="1:20" x14ac:dyDescent="0.3">
      <c r="P44" s="24" t="str">
        <f t="shared" si="3"/>
        <v>组合2</v>
      </c>
      <c r="Q44" s="25">
        <f t="shared" si="1"/>
        <v>5</v>
      </c>
      <c r="R44" s="1" t="s">
        <v>207</v>
      </c>
      <c r="S44" s="25">
        <f t="shared" si="2"/>
        <v>2</v>
      </c>
      <c r="T44" s="1" t="s">
        <v>271</v>
      </c>
    </row>
    <row r="45" spans="1:20" x14ac:dyDescent="0.3">
      <c r="P45" s="24" t="str">
        <f t="shared" si="3"/>
        <v>组合3</v>
      </c>
      <c r="Q45" s="25">
        <f t="shared" si="1"/>
        <v>5</v>
      </c>
      <c r="R45" s="1" t="s">
        <v>207</v>
      </c>
      <c r="S45" s="25">
        <f t="shared" si="2"/>
        <v>5</v>
      </c>
      <c r="T45" s="1" t="s">
        <v>272</v>
      </c>
    </row>
    <row r="46" spans="1:20" x14ac:dyDescent="0.3">
      <c r="P46" s="24" t="str">
        <f t="shared" si="3"/>
        <v>组合4</v>
      </c>
      <c r="Q46" s="25">
        <f t="shared" si="1"/>
        <v>0</v>
      </c>
      <c r="R46" s="1" t="s">
        <v>207</v>
      </c>
      <c r="S46" s="25">
        <f t="shared" si="2"/>
        <v>4</v>
      </c>
      <c r="T46" s="1" t="s">
        <v>273</v>
      </c>
    </row>
    <row r="47" spans="1:20" x14ac:dyDescent="0.3">
      <c r="P47" s="24" t="str">
        <f t="shared" si="3"/>
        <v>组合1</v>
      </c>
      <c r="Q47" s="25">
        <f t="shared" si="1"/>
        <v>6</v>
      </c>
      <c r="R47" s="1" t="s">
        <v>208</v>
      </c>
      <c r="S47" s="25">
        <f t="shared" si="2"/>
        <v>2</v>
      </c>
      <c r="T47" s="1" t="s">
        <v>274</v>
      </c>
    </row>
    <row r="48" spans="1:20" x14ac:dyDescent="0.3">
      <c r="P48" s="24" t="str">
        <f t="shared" si="3"/>
        <v>组合2</v>
      </c>
      <c r="Q48" s="25">
        <f t="shared" si="1"/>
        <v>5</v>
      </c>
      <c r="R48" s="1" t="s">
        <v>208</v>
      </c>
      <c r="S48" s="25">
        <f t="shared" si="2"/>
        <v>2</v>
      </c>
      <c r="T48" s="1" t="s">
        <v>275</v>
      </c>
    </row>
    <row r="49" spans="16:20" x14ac:dyDescent="0.3">
      <c r="P49" s="24" t="str">
        <f t="shared" si="3"/>
        <v>组合3</v>
      </c>
      <c r="Q49" s="25">
        <f t="shared" si="1"/>
        <v>5</v>
      </c>
      <c r="R49" s="1" t="s">
        <v>208</v>
      </c>
      <c r="S49" s="25">
        <f t="shared" si="2"/>
        <v>5</v>
      </c>
      <c r="T49" s="1" t="s">
        <v>276</v>
      </c>
    </row>
    <row r="50" spans="16:20" x14ac:dyDescent="0.3">
      <c r="P50" s="24" t="str">
        <f t="shared" si="3"/>
        <v>组合4</v>
      </c>
      <c r="Q50" s="25">
        <f t="shared" si="1"/>
        <v>0</v>
      </c>
      <c r="R50" s="1" t="s">
        <v>208</v>
      </c>
      <c r="S50" s="25">
        <f t="shared" si="2"/>
        <v>4</v>
      </c>
      <c r="T50" s="1" t="s">
        <v>277</v>
      </c>
    </row>
    <row r="51" spans="16:20" x14ac:dyDescent="0.3">
      <c r="P51" s="24" t="str">
        <f t="shared" si="3"/>
        <v>组合1</v>
      </c>
      <c r="Q51" s="25">
        <f t="shared" si="1"/>
        <v>6</v>
      </c>
      <c r="R51" s="1" t="s">
        <v>209</v>
      </c>
      <c r="S51" s="25">
        <f t="shared" si="2"/>
        <v>2</v>
      </c>
      <c r="T51" s="1" t="s">
        <v>278</v>
      </c>
    </row>
    <row r="52" spans="16:20" x14ac:dyDescent="0.3">
      <c r="P52" s="24" t="str">
        <f t="shared" si="3"/>
        <v>组合2</v>
      </c>
      <c r="Q52" s="25">
        <f t="shared" si="1"/>
        <v>5</v>
      </c>
      <c r="R52" s="1" t="s">
        <v>209</v>
      </c>
      <c r="S52" s="25">
        <f t="shared" si="2"/>
        <v>2</v>
      </c>
      <c r="T52" s="1" t="s">
        <v>279</v>
      </c>
    </row>
    <row r="53" spans="16:20" x14ac:dyDescent="0.3">
      <c r="P53" s="24" t="str">
        <f t="shared" si="3"/>
        <v>组合3</v>
      </c>
      <c r="Q53" s="25">
        <f t="shared" si="1"/>
        <v>5</v>
      </c>
      <c r="R53" s="1" t="s">
        <v>209</v>
      </c>
      <c r="S53" s="25">
        <f t="shared" si="2"/>
        <v>5</v>
      </c>
      <c r="T53" s="1" t="s">
        <v>280</v>
      </c>
    </row>
    <row r="54" spans="16:20" x14ac:dyDescent="0.3">
      <c r="P54" s="24" t="str">
        <f t="shared" si="3"/>
        <v>组合4</v>
      </c>
      <c r="Q54" s="25">
        <f t="shared" si="1"/>
        <v>0</v>
      </c>
      <c r="R54" s="1" t="s">
        <v>209</v>
      </c>
      <c r="S54" s="25">
        <f t="shared" si="2"/>
        <v>4</v>
      </c>
      <c r="T54" s="1" t="s">
        <v>281</v>
      </c>
    </row>
    <row r="55" spans="16:20" x14ac:dyDescent="0.3">
      <c r="P55" s="24" t="str">
        <f t="shared" si="3"/>
        <v>组合1</v>
      </c>
      <c r="Q55" s="25">
        <f t="shared" si="1"/>
        <v>6</v>
      </c>
      <c r="R55" s="1" t="s">
        <v>210</v>
      </c>
      <c r="S55" s="25">
        <f t="shared" si="2"/>
        <v>2</v>
      </c>
      <c r="T55" s="1" t="s">
        <v>282</v>
      </c>
    </row>
    <row r="56" spans="16:20" x14ac:dyDescent="0.3">
      <c r="P56" s="24" t="str">
        <f t="shared" si="3"/>
        <v>组合2</v>
      </c>
      <c r="Q56" s="25">
        <f t="shared" si="1"/>
        <v>5</v>
      </c>
      <c r="R56" s="1" t="s">
        <v>210</v>
      </c>
      <c r="S56" s="25">
        <f t="shared" si="2"/>
        <v>2</v>
      </c>
      <c r="T56" s="1" t="s">
        <v>283</v>
      </c>
    </row>
    <row r="57" spans="16:20" x14ac:dyDescent="0.3">
      <c r="P57" s="24" t="str">
        <f t="shared" si="3"/>
        <v>组合3</v>
      </c>
      <c r="Q57" s="25">
        <f t="shared" si="1"/>
        <v>5</v>
      </c>
      <c r="R57" s="1" t="s">
        <v>210</v>
      </c>
      <c r="S57" s="25">
        <f t="shared" si="2"/>
        <v>5</v>
      </c>
      <c r="T57" s="1" t="s">
        <v>284</v>
      </c>
    </row>
    <row r="58" spans="16:20" x14ac:dyDescent="0.3">
      <c r="P58" s="24" t="str">
        <f t="shared" si="3"/>
        <v>组合4</v>
      </c>
      <c r="Q58" s="25">
        <f t="shared" si="1"/>
        <v>0</v>
      </c>
      <c r="R58" s="1" t="s">
        <v>210</v>
      </c>
      <c r="S58" s="25">
        <f t="shared" si="2"/>
        <v>4</v>
      </c>
      <c r="T58" s="1" t="s">
        <v>285</v>
      </c>
    </row>
    <row r="59" spans="16:20" x14ac:dyDescent="0.3">
      <c r="P59" s="24" t="str">
        <f t="shared" si="3"/>
        <v>组合1</v>
      </c>
      <c r="Q59" s="25">
        <f t="shared" si="1"/>
        <v>6</v>
      </c>
      <c r="R59" s="1" t="s">
        <v>224</v>
      </c>
      <c r="S59" s="25">
        <f t="shared" si="2"/>
        <v>2</v>
      </c>
      <c r="T59" s="1" t="s">
        <v>190</v>
      </c>
    </row>
    <row r="60" spans="16:20" x14ac:dyDescent="0.3">
      <c r="P60" s="24" t="str">
        <f t="shared" si="3"/>
        <v>组合2</v>
      </c>
      <c r="Q60" s="25">
        <f t="shared" si="1"/>
        <v>5</v>
      </c>
      <c r="R60" s="1" t="s">
        <v>224</v>
      </c>
      <c r="S60" s="25">
        <f t="shared" si="2"/>
        <v>2</v>
      </c>
      <c r="T60" s="1" t="s">
        <v>189</v>
      </c>
    </row>
    <row r="61" spans="16:20" x14ac:dyDescent="0.3">
      <c r="P61" s="24" t="str">
        <f t="shared" si="3"/>
        <v>组合3</v>
      </c>
      <c r="Q61" s="25">
        <f t="shared" si="1"/>
        <v>5</v>
      </c>
      <c r="R61" s="1" t="s">
        <v>224</v>
      </c>
      <c r="S61" s="25">
        <f t="shared" si="2"/>
        <v>5</v>
      </c>
      <c r="T61" s="1" t="s">
        <v>193</v>
      </c>
    </row>
    <row r="62" spans="16:20" x14ac:dyDescent="0.3">
      <c r="P62" s="24" t="str">
        <f t="shared" si="3"/>
        <v>组合4</v>
      </c>
      <c r="Q62" s="25">
        <f t="shared" si="1"/>
        <v>0</v>
      </c>
      <c r="R62" s="1" t="s">
        <v>224</v>
      </c>
      <c r="S62" s="25">
        <f t="shared" si="2"/>
        <v>4</v>
      </c>
      <c r="T62" s="1" t="s">
        <v>191</v>
      </c>
    </row>
  </sheetData>
  <mergeCells count="21">
    <mergeCell ref="B26:K26"/>
    <mergeCell ref="B27:K27"/>
    <mergeCell ref="B28:K28"/>
    <mergeCell ref="B29:K29"/>
    <mergeCell ref="B30:K30"/>
    <mergeCell ref="B21:K21"/>
    <mergeCell ref="B22:K22"/>
    <mergeCell ref="B23:K23"/>
    <mergeCell ref="B24:K24"/>
    <mergeCell ref="B25:K25"/>
    <mergeCell ref="B16:K16"/>
    <mergeCell ref="B17:K17"/>
    <mergeCell ref="B18:K18"/>
    <mergeCell ref="B19:K19"/>
    <mergeCell ref="B20:K20"/>
    <mergeCell ref="P1:T1"/>
    <mergeCell ref="A15:K15"/>
    <mergeCell ref="B1:C1"/>
    <mergeCell ref="D1:E1"/>
    <mergeCell ref="F1:G1"/>
    <mergeCell ref="A1:A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12</xdr:col>
                <xdr:colOff>495300</xdr:colOff>
                <xdr:row>0</xdr:row>
                <xdr:rowOff>95250</xdr:rowOff>
              </from>
              <to>
                <xdr:col>14</xdr:col>
                <xdr:colOff>123825</xdr:colOff>
                <xdr:row>2</xdr:row>
                <xdr:rowOff>0</xdr:rowOff>
              </to>
            </anchor>
          </controlPr>
        </control>
      </mc:Choice>
      <mc:Fallback>
        <control shapeId="9217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4"/>
  <sheetViews>
    <sheetView showGridLines="0" workbookViewId="0">
      <selection activeCell="F23" sqref="F23:F24"/>
    </sheetView>
  </sheetViews>
  <sheetFormatPr defaultColWidth="8.75" defaultRowHeight="14.25" x14ac:dyDescent="0.2"/>
  <cols>
    <col min="2" max="2" width="10.25" bestFit="1" customWidth="1"/>
    <col min="3" max="3" width="24.375" customWidth="1"/>
  </cols>
  <sheetData>
    <row r="1" spans="1:3" ht="33" x14ac:dyDescent="0.2">
      <c r="A1" s="17" t="s">
        <v>124</v>
      </c>
      <c r="B1" s="15" t="s">
        <v>121</v>
      </c>
      <c r="C1" s="15" t="s">
        <v>122</v>
      </c>
    </row>
    <row r="2" spans="1:3" ht="16.5" x14ac:dyDescent="0.2">
      <c r="A2" s="16" t="s">
        <v>43</v>
      </c>
      <c r="B2" s="16" t="s">
        <v>119</v>
      </c>
      <c r="C2" s="16" t="s">
        <v>117</v>
      </c>
    </row>
    <row r="3" spans="1:3" ht="15" x14ac:dyDescent="0.2">
      <c r="A3" s="6" t="s">
        <v>125</v>
      </c>
      <c r="B3" s="6" t="s">
        <v>118</v>
      </c>
      <c r="C3" s="6" t="s">
        <v>116</v>
      </c>
    </row>
    <row r="4" spans="1:3" ht="16.5" x14ac:dyDescent="0.2">
      <c r="A4" s="19">
        <v>1</v>
      </c>
      <c r="B4" s="21" t="s">
        <v>120</v>
      </c>
      <c r="C4" s="19" t="s">
        <v>123</v>
      </c>
    </row>
  </sheetData>
  <autoFilter ref="A3:C4"/>
  <phoneticPr fontId="1" type="noConversion"/>
  <conditionalFormatting sqref="A3:C3">
    <cfRule type="duplicateValues" dxfId="6" priority="2"/>
  </conditionalFormatting>
  <conditionalFormatting sqref="A4">
    <cfRule type="duplicateValues" dxfId="5" priority="1"/>
  </conditionalFormatting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7"/>
  <sheetViews>
    <sheetView showGridLines="0" workbookViewId="0">
      <selection activeCell="C27" sqref="C27"/>
    </sheetView>
  </sheetViews>
  <sheetFormatPr defaultColWidth="8.75" defaultRowHeight="14.25" x14ac:dyDescent="0.2"/>
  <cols>
    <col min="3" max="3" width="46.25" customWidth="1"/>
    <col min="5" max="5" width="28.125" customWidth="1"/>
    <col min="6" max="6" width="19.375" customWidth="1"/>
    <col min="7" max="7" width="32.75" customWidth="1"/>
  </cols>
  <sheetData>
    <row r="1" spans="1:8" ht="49.5" x14ac:dyDescent="0.2">
      <c r="A1" s="3" t="s">
        <v>21</v>
      </c>
      <c r="B1" s="3" t="s">
        <v>2</v>
      </c>
      <c r="C1" s="3" t="s">
        <v>0</v>
      </c>
      <c r="D1" s="3" t="s">
        <v>12</v>
      </c>
      <c r="E1" s="17" t="s">
        <v>97</v>
      </c>
      <c r="F1" s="3" t="s">
        <v>40</v>
      </c>
      <c r="G1" s="3" t="s">
        <v>22</v>
      </c>
    </row>
    <row r="2" spans="1:8" ht="16.5" x14ac:dyDescent="0.2">
      <c r="A2" s="4" t="s">
        <v>23</v>
      </c>
      <c r="B2" s="4" t="s">
        <v>1</v>
      </c>
      <c r="C2" s="4" t="s">
        <v>1</v>
      </c>
      <c r="D2" s="4" t="s">
        <v>1</v>
      </c>
      <c r="E2" s="16" t="s">
        <v>98</v>
      </c>
      <c r="F2" s="5" t="s">
        <v>48</v>
      </c>
      <c r="G2" s="4" t="s">
        <v>49</v>
      </c>
    </row>
    <row r="3" spans="1:8" ht="15" x14ac:dyDescent="0.2">
      <c r="A3" s="6" t="s">
        <v>45</v>
      </c>
      <c r="B3" s="6" t="s">
        <v>3</v>
      </c>
      <c r="C3" s="6" t="s">
        <v>4</v>
      </c>
      <c r="D3" s="6" t="s">
        <v>14</v>
      </c>
      <c r="E3" s="6" t="s">
        <v>99</v>
      </c>
      <c r="F3" s="7" t="s">
        <v>24</v>
      </c>
      <c r="G3" s="6" t="s">
        <v>25</v>
      </c>
    </row>
    <row r="4" spans="1:8" ht="16.5" x14ac:dyDescent="0.2">
      <c r="A4" s="4">
        <v>1001</v>
      </c>
      <c r="B4" s="4" t="s">
        <v>26</v>
      </c>
      <c r="C4" s="4" t="s">
        <v>27</v>
      </c>
      <c r="D4" s="4"/>
      <c r="E4" s="4"/>
      <c r="F4" s="4" t="s">
        <v>28</v>
      </c>
      <c r="G4" s="4" t="b">
        <v>0</v>
      </c>
      <c r="H4" s="2"/>
    </row>
    <row r="5" spans="1:8" ht="16.5" x14ac:dyDescent="0.2">
      <c r="A5" s="4">
        <v>1002</v>
      </c>
      <c r="B5" s="4" t="s">
        <v>29</v>
      </c>
      <c r="C5" s="4" t="s">
        <v>30</v>
      </c>
      <c r="D5" s="4"/>
      <c r="E5" s="4" t="s">
        <v>161</v>
      </c>
      <c r="F5" s="4" t="s">
        <v>31</v>
      </c>
      <c r="G5" s="4" t="b">
        <v>1</v>
      </c>
    </row>
    <row r="6" spans="1:8" ht="16.5" x14ac:dyDescent="0.2">
      <c r="A6" s="4">
        <v>1003</v>
      </c>
      <c r="B6" s="4" t="s">
        <v>32</v>
      </c>
      <c r="C6" s="4" t="s">
        <v>30</v>
      </c>
      <c r="D6" s="4"/>
      <c r="E6" s="4" t="s">
        <v>159</v>
      </c>
      <c r="F6" s="4" t="s">
        <v>36</v>
      </c>
      <c r="G6" s="4" t="b">
        <v>1</v>
      </c>
    </row>
    <row r="7" spans="1:8" ht="16.5" x14ac:dyDescent="0.2">
      <c r="A7" s="4">
        <v>1004</v>
      </c>
      <c r="B7" s="4" t="s">
        <v>33</v>
      </c>
      <c r="C7" s="4" t="s">
        <v>34</v>
      </c>
      <c r="D7" s="4"/>
      <c r="E7" s="4" t="s">
        <v>160</v>
      </c>
      <c r="F7" s="4" t="s">
        <v>35</v>
      </c>
      <c r="G7" s="4" t="b">
        <v>1</v>
      </c>
    </row>
  </sheetData>
  <autoFilter ref="A3:G7"/>
  <phoneticPr fontId="1" type="noConversion"/>
  <conditionalFormatting sqref="A3:D3 F3:G3">
    <cfRule type="duplicateValues" dxfId="4" priority="7"/>
  </conditionalFormatting>
  <conditionalFormatting sqref="E3">
    <cfRule type="duplicateValues" dxfId="3" priority="2"/>
  </conditionalFormatting>
  <conditionalFormatting sqref="A4:A7">
    <cfRule type="duplicateValues" dxfId="2" priority="1"/>
  </conditionalFormatting>
  <dataValidations count="2">
    <dataValidation type="list" allowBlank="1" showInputMessage="1" showErrorMessage="1" sqref="G4:G7">
      <formula1>"TRUE,FALSE"</formula1>
    </dataValidation>
    <dataValidation type="list" allowBlank="1" showInputMessage="1" showErrorMessage="1" sqref="F4:F7">
      <formula1>Stuff</formula1>
    </dataValidation>
  </dataValidations>
  <hyperlinks>
    <hyperlink ref="F3" location="Stuff" display="Stuff"/>
    <hyperlink ref="F2" location="Stuff" display="Stuff"/>
  </hyperlink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24"/>
  <sheetViews>
    <sheetView showGridLines="0" tabSelected="1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E7" sqref="E7"/>
    </sheetView>
  </sheetViews>
  <sheetFormatPr defaultColWidth="8.75" defaultRowHeight="14.25" x14ac:dyDescent="0.2"/>
  <cols>
    <col min="2" max="2" width="11.25" bestFit="1" customWidth="1"/>
    <col min="3" max="3" width="27.75" bestFit="1" customWidth="1"/>
    <col min="4" max="4" width="18.125" customWidth="1"/>
    <col min="5" max="5" width="16.625" customWidth="1"/>
    <col min="6" max="6" width="11.125" bestFit="1" customWidth="1"/>
    <col min="7" max="8" width="11.125" customWidth="1"/>
    <col min="9" max="9" width="12.75" bestFit="1" customWidth="1"/>
    <col min="10" max="10" width="48" bestFit="1" customWidth="1"/>
    <col min="11" max="11" width="18.625" customWidth="1"/>
    <col min="12" max="12" width="17.5" customWidth="1"/>
  </cols>
  <sheetData>
    <row r="1" spans="1:12" ht="33" x14ac:dyDescent="0.2">
      <c r="A1" s="17" t="s">
        <v>60</v>
      </c>
      <c r="B1" s="17" t="s">
        <v>63</v>
      </c>
      <c r="C1" s="17" t="s">
        <v>64</v>
      </c>
      <c r="D1" s="17" t="s">
        <v>97</v>
      </c>
      <c r="E1" s="17" t="s">
        <v>65</v>
      </c>
      <c r="F1" s="17" t="s">
        <v>68</v>
      </c>
      <c r="G1" s="14" t="s">
        <v>88</v>
      </c>
      <c r="H1" s="14" t="s">
        <v>93</v>
      </c>
      <c r="I1" s="17" t="s">
        <v>89</v>
      </c>
      <c r="J1" s="15" t="s">
        <v>90</v>
      </c>
      <c r="K1" s="15" t="s">
        <v>91</v>
      </c>
      <c r="L1" s="17" t="s">
        <v>183</v>
      </c>
    </row>
    <row r="2" spans="1:12" ht="16.5" x14ac:dyDescent="0.2">
      <c r="A2" s="16" t="s">
        <v>13</v>
      </c>
      <c r="B2" s="16" t="s">
        <v>1</v>
      </c>
      <c r="C2" s="16" t="s">
        <v>1</v>
      </c>
      <c r="D2" s="16" t="s">
        <v>98</v>
      </c>
      <c r="E2" s="16" t="s">
        <v>1</v>
      </c>
      <c r="F2" s="18" t="s">
        <v>72</v>
      </c>
      <c r="G2" s="13" t="s">
        <v>66</v>
      </c>
      <c r="H2" s="13" t="s">
        <v>94</v>
      </c>
      <c r="I2" s="16" t="s">
        <v>79</v>
      </c>
      <c r="J2" s="16" t="s">
        <v>62</v>
      </c>
      <c r="K2" s="16" t="s">
        <v>67</v>
      </c>
      <c r="L2" s="16" t="s">
        <v>182</v>
      </c>
    </row>
    <row r="3" spans="1:12" ht="15" x14ac:dyDescent="0.2">
      <c r="A3" s="6" t="s">
        <v>45</v>
      </c>
      <c r="B3" s="6" t="s">
        <v>100</v>
      </c>
      <c r="C3" s="6" t="s">
        <v>101</v>
      </c>
      <c r="D3" s="6" t="s">
        <v>99</v>
      </c>
      <c r="E3" s="6" t="s">
        <v>14</v>
      </c>
      <c r="F3" s="7" t="s">
        <v>73</v>
      </c>
      <c r="G3" s="6" t="s">
        <v>84</v>
      </c>
      <c r="H3" s="6" t="s">
        <v>85</v>
      </c>
      <c r="I3" s="6" t="s">
        <v>86</v>
      </c>
      <c r="J3" s="6" t="s">
        <v>87</v>
      </c>
      <c r="K3" s="6" t="s">
        <v>92</v>
      </c>
      <c r="L3" s="6" t="s">
        <v>184</v>
      </c>
    </row>
    <row r="4" spans="1:12" ht="31.5" customHeight="1" x14ac:dyDescent="0.2">
      <c r="A4" s="19">
        <v>1001</v>
      </c>
      <c r="B4" s="19" t="s">
        <v>75</v>
      </c>
      <c r="C4" s="19" t="s">
        <v>74</v>
      </c>
      <c r="D4" s="19"/>
      <c r="E4" s="19" t="s">
        <v>109</v>
      </c>
      <c r="F4" s="19" t="s">
        <v>112</v>
      </c>
      <c r="G4" s="19">
        <v>1020001</v>
      </c>
      <c r="H4" s="19"/>
      <c r="I4" s="19"/>
      <c r="J4" s="19"/>
      <c r="K4" s="4"/>
      <c r="L4" s="4"/>
    </row>
    <row r="5" spans="1:12" ht="31.5" customHeight="1" x14ac:dyDescent="0.2">
      <c r="A5" s="19">
        <v>1002</v>
      </c>
      <c r="B5" s="19" t="s">
        <v>76</v>
      </c>
      <c r="C5" s="19" t="s">
        <v>77</v>
      </c>
      <c r="D5" s="19"/>
      <c r="E5" s="19" t="s">
        <v>126</v>
      </c>
      <c r="F5" s="19" t="s">
        <v>112</v>
      </c>
      <c r="G5" s="19">
        <v>1020002</v>
      </c>
      <c r="H5" s="19"/>
      <c r="I5" s="19"/>
      <c r="J5" s="19"/>
      <c r="K5" s="4"/>
      <c r="L5" s="4"/>
    </row>
    <row r="6" spans="1:12" ht="31.5" customHeight="1" x14ac:dyDescent="0.2">
      <c r="A6" s="19">
        <v>1003</v>
      </c>
      <c r="B6" s="4" t="s">
        <v>132</v>
      </c>
      <c r="C6" s="4" t="s">
        <v>135</v>
      </c>
      <c r="D6" s="4"/>
      <c r="E6" s="19" t="s">
        <v>109</v>
      </c>
      <c r="F6" s="4" t="s">
        <v>146</v>
      </c>
      <c r="G6" s="4">
        <v>1020003</v>
      </c>
      <c r="H6" s="4"/>
      <c r="I6" s="4"/>
      <c r="J6" s="4"/>
      <c r="K6" s="4"/>
      <c r="L6" s="4"/>
    </row>
    <row r="7" spans="1:12" ht="31.5" customHeight="1" x14ac:dyDescent="0.2">
      <c r="A7" s="19">
        <v>1004</v>
      </c>
      <c r="B7" s="4" t="s">
        <v>133</v>
      </c>
      <c r="C7" s="4" t="s">
        <v>136</v>
      </c>
      <c r="D7" s="4"/>
      <c r="E7" s="19" t="s">
        <v>109</v>
      </c>
      <c r="F7" s="4" t="s">
        <v>146</v>
      </c>
      <c r="G7" s="4">
        <v>1020004</v>
      </c>
      <c r="H7" s="4"/>
      <c r="I7" s="4"/>
      <c r="J7" s="4"/>
      <c r="K7" s="4"/>
      <c r="L7" s="4"/>
    </row>
    <row r="8" spans="1:12" ht="31.5" customHeight="1" x14ac:dyDescent="0.2">
      <c r="A8" s="19">
        <v>1005</v>
      </c>
      <c r="B8" s="4" t="s">
        <v>134</v>
      </c>
      <c r="C8" s="4" t="s">
        <v>137</v>
      </c>
      <c r="D8" s="4"/>
      <c r="E8" s="19" t="s">
        <v>126</v>
      </c>
      <c r="F8" s="4" t="s">
        <v>146</v>
      </c>
      <c r="G8" s="4">
        <v>1020005</v>
      </c>
      <c r="H8" s="4"/>
      <c r="I8" s="4"/>
      <c r="J8" s="4"/>
      <c r="K8" s="4"/>
      <c r="L8" s="4"/>
    </row>
    <row r="9" spans="1:12" ht="31.5" customHeight="1" x14ac:dyDescent="0.2">
      <c r="A9" s="19">
        <v>1101</v>
      </c>
      <c r="B9" s="4" t="s">
        <v>138</v>
      </c>
      <c r="C9" s="4" t="s">
        <v>139</v>
      </c>
      <c r="D9" s="4"/>
      <c r="E9" s="19" t="s">
        <v>129</v>
      </c>
      <c r="F9" s="4" t="s">
        <v>147</v>
      </c>
      <c r="G9" s="4">
        <v>1030001</v>
      </c>
      <c r="H9" s="4"/>
      <c r="I9" s="4"/>
      <c r="J9" s="4"/>
      <c r="K9" s="4" t="s">
        <v>154</v>
      </c>
      <c r="L9" s="4"/>
    </row>
    <row r="10" spans="1:12" ht="31.5" customHeight="1" x14ac:dyDescent="0.2">
      <c r="A10" s="19">
        <v>1102</v>
      </c>
      <c r="B10" s="4" t="s">
        <v>140</v>
      </c>
      <c r="C10" s="4" t="s">
        <v>141</v>
      </c>
      <c r="D10" s="4"/>
      <c r="E10" s="19" t="s">
        <v>129</v>
      </c>
      <c r="F10" s="4" t="s">
        <v>110</v>
      </c>
      <c r="G10" s="4">
        <v>1030002</v>
      </c>
      <c r="H10" s="4"/>
      <c r="I10" s="4"/>
      <c r="J10" s="4"/>
      <c r="K10" s="4" t="s">
        <v>155</v>
      </c>
      <c r="L10" s="4"/>
    </row>
    <row r="11" spans="1:12" ht="31.5" customHeight="1" x14ac:dyDescent="0.2">
      <c r="A11" s="19">
        <v>1103</v>
      </c>
      <c r="B11" s="4" t="s">
        <v>142</v>
      </c>
      <c r="C11" s="4" t="s">
        <v>143</v>
      </c>
      <c r="D11" s="4"/>
      <c r="E11" s="19" t="s">
        <v>129</v>
      </c>
      <c r="F11" s="4" t="s">
        <v>110</v>
      </c>
      <c r="G11" s="4">
        <v>1030003</v>
      </c>
      <c r="H11" s="4"/>
      <c r="I11" s="4"/>
      <c r="J11" s="4"/>
      <c r="K11" s="4" t="s">
        <v>154</v>
      </c>
      <c r="L11" s="4"/>
    </row>
    <row r="12" spans="1:12" ht="31.5" customHeight="1" x14ac:dyDescent="0.2">
      <c r="A12" s="19">
        <v>1104</v>
      </c>
      <c r="B12" s="4" t="s">
        <v>144</v>
      </c>
      <c r="C12" s="4" t="s">
        <v>145</v>
      </c>
      <c r="D12" s="4"/>
      <c r="E12" s="19" t="s">
        <v>129</v>
      </c>
      <c r="F12" s="4" t="s">
        <v>110</v>
      </c>
      <c r="G12" s="4">
        <v>1030004</v>
      </c>
      <c r="H12" s="4"/>
      <c r="I12" s="4"/>
      <c r="J12" s="4"/>
      <c r="K12" s="4" t="s">
        <v>156</v>
      </c>
      <c r="L12" s="4"/>
    </row>
    <row r="13" spans="1:12" ht="31.5" customHeight="1" x14ac:dyDescent="0.2">
      <c r="A13" s="19">
        <v>1201</v>
      </c>
      <c r="B13" s="19" t="s">
        <v>105</v>
      </c>
      <c r="C13" s="19" t="s">
        <v>106</v>
      </c>
      <c r="D13" s="4"/>
      <c r="E13" s="19" t="s">
        <v>131</v>
      </c>
      <c r="F13" s="4" t="s">
        <v>107</v>
      </c>
      <c r="G13" s="4"/>
      <c r="H13" s="4"/>
      <c r="I13" s="4"/>
      <c r="J13" s="4"/>
      <c r="K13" s="4"/>
      <c r="L13" s="4"/>
    </row>
    <row r="14" spans="1:12" ht="31.5" customHeight="1" x14ac:dyDescent="0.2">
      <c r="A14" s="19">
        <v>1301</v>
      </c>
      <c r="B14" s="4" t="s">
        <v>148</v>
      </c>
      <c r="C14" s="4" t="s">
        <v>178</v>
      </c>
      <c r="D14" s="4"/>
      <c r="E14" s="19" t="s">
        <v>128</v>
      </c>
      <c r="F14" s="4" t="s">
        <v>82</v>
      </c>
      <c r="G14" s="4"/>
      <c r="H14" s="4"/>
      <c r="I14" s="4"/>
      <c r="J14" s="20" t="s">
        <v>179</v>
      </c>
      <c r="K14" s="4"/>
      <c r="L14" s="4"/>
    </row>
    <row r="15" spans="1:12" ht="31.5" customHeight="1" x14ac:dyDescent="0.2">
      <c r="A15" s="19">
        <v>1302</v>
      </c>
      <c r="B15" s="4" t="s">
        <v>148</v>
      </c>
      <c r="C15" s="4" t="s">
        <v>180</v>
      </c>
      <c r="D15" s="4"/>
      <c r="E15" s="19" t="s">
        <v>128</v>
      </c>
      <c r="F15" s="4" t="s">
        <v>82</v>
      </c>
      <c r="G15" s="4"/>
      <c r="H15" s="4"/>
      <c r="I15" s="4"/>
      <c r="J15" s="20" t="s">
        <v>181</v>
      </c>
      <c r="K15" s="4"/>
      <c r="L15" s="4"/>
    </row>
    <row r="16" spans="1:12" ht="31.5" customHeight="1" x14ac:dyDescent="0.2">
      <c r="A16" s="19">
        <v>1303</v>
      </c>
      <c r="B16" s="4" t="s">
        <v>148</v>
      </c>
      <c r="C16" s="4" t="s">
        <v>163</v>
      </c>
      <c r="D16" s="4"/>
      <c r="E16" s="19" t="s">
        <v>128</v>
      </c>
      <c r="F16" s="4" t="s">
        <v>82</v>
      </c>
      <c r="G16" s="4"/>
      <c r="H16" s="4"/>
      <c r="I16" s="4"/>
      <c r="J16" s="20" t="s">
        <v>164</v>
      </c>
      <c r="K16" s="4"/>
      <c r="L16" s="4"/>
    </row>
    <row r="17" spans="1:12" s="23" customFormat="1" ht="31.5" customHeight="1" x14ac:dyDescent="0.2">
      <c r="A17" s="19">
        <v>1304</v>
      </c>
      <c r="B17" s="4" t="s">
        <v>148</v>
      </c>
      <c r="C17" s="4" t="s">
        <v>149</v>
      </c>
      <c r="D17" s="4"/>
      <c r="E17" s="19" t="s">
        <v>128</v>
      </c>
      <c r="F17" s="4" t="s">
        <v>82</v>
      </c>
      <c r="G17" s="4"/>
      <c r="H17" s="4"/>
      <c r="I17" s="4"/>
      <c r="J17" s="20" t="s">
        <v>157</v>
      </c>
      <c r="K17" s="4"/>
      <c r="L17" s="22"/>
    </row>
    <row r="18" spans="1:12" s="23" customFormat="1" ht="31.5" customHeight="1" x14ac:dyDescent="0.2">
      <c r="A18" s="19">
        <v>1305</v>
      </c>
      <c r="B18" s="4" t="s">
        <v>148</v>
      </c>
      <c r="C18" s="4" t="s">
        <v>151</v>
      </c>
      <c r="D18" s="4"/>
      <c r="E18" s="19" t="s">
        <v>128</v>
      </c>
      <c r="F18" s="4" t="s">
        <v>82</v>
      </c>
      <c r="G18" s="4"/>
      <c r="H18" s="4"/>
      <c r="I18" s="4"/>
      <c r="J18" s="20" t="s">
        <v>150</v>
      </c>
      <c r="K18" s="4"/>
      <c r="L18" s="22"/>
    </row>
    <row r="19" spans="1:12" ht="31.5" customHeight="1" x14ac:dyDescent="0.2">
      <c r="A19" s="19">
        <v>1306</v>
      </c>
      <c r="B19" s="4" t="s">
        <v>148</v>
      </c>
      <c r="C19" s="4" t="s">
        <v>152</v>
      </c>
      <c r="D19" s="4"/>
      <c r="E19" s="19" t="s">
        <v>128</v>
      </c>
      <c r="F19" s="4" t="s">
        <v>82</v>
      </c>
      <c r="G19" s="4"/>
      <c r="H19" s="4"/>
      <c r="I19" s="4"/>
      <c r="J19" s="20" t="s">
        <v>153</v>
      </c>
      <c r="K19" s="4"/>
      <c r="L19" s="4"/>
    </row>
    <row r="20" spans="1:12" ht="31.5" customHeight="1" x14ac:dyDescent="0.2">
      <c r="A20" s="19">
        <v>1401</v>
      </c>
      <c r="B20" s="19" t="s">
        <v>177</v>
      </c>
      <c r="C20" s="4" t="s">
        <v>102</v>
      </c>
      <c r="D20" s="4" t="s">
        <v>188</v>
      </c>
      <c r="E20" s="4" t="s">
        <v>53</v>
      </c>
      <c r="F20" s="4" t="s">
        <v>82</v>
      </c>
      <c r="G20" s="4"/>
      <c r="H20" s="4"/>
      <c r="I20" s="4"/>
      <c r="J20" s="28" t="s">
        <v>185</v>
      </c>
      <c r="K20" s="4"/>
      <c r="L20" s="4"/>
    </row>
    <row r="21" spans="1:12" ht="31.5" customHeight="1" x14ac:dyDescent="0.2">
      <c r="A21" s="19">
        <v>1402</v>
      </c>
      <c r="B21" s="19" t="s">
        <v>177</v>
      </c>
      <c r="C21" s="4" t="s">
        <v>103</v>
      </c>
      <c r="D21" s="4" t="s">
        <v>188</v>
      </c>
      <c r="E21" s="4" t="s">
        <v>54</v>
      </c>
      <c r="F21" s="4" t="s">
        <v>82</v>
      </c>
      <c r="G21" s="4"/>
      <c r="H21" s="4"/>
      <c r="I21" s="4"/>
      <c r="J21" s="28" t="s">
        <v>186</v>
      </c>
      <c r="K21" s="4"/>
      <c r="L21" s="4"/>
    </row>
    <row r="22" spans="1:12" ht="31.5" customHeight="1" x14ac:dyDescent="0.2">
      <c r="A22" s="19">
        <v>1403</v>
      </c>
      <c r="B22" s="19" t="s">
        <v>177</v>
      </c>
      <c r="C22" s="4" t="s">
        <v>104</v>
      </c>
      <c r="D22" s="4" t="s">
        <v>188</v>
      </c>
      <c r="E22" s="4" t="s">
        <v>55</v>
      </c>
      <c r="F22" s="4" t="s">
        <v>82</v>
      </c>
      <c r="G22" s="4"/>
      <c r="H22" s="4"/>
      <c r="I22" s="4"/>
      <c r="J22" s="28" t="s">
        <v>187</v>
      </c>
      <c r="K22" s="4"/>
      <c r="L22" s="4"/>
    </row>
    <row r="23" spans="1:12" ht="34.5" customHeight="1" x14ac:dyDescent="0.2">
      <c r="A23" s="19">
        <v>1501</v>
      </c>
      <c r="B23" s="19" t="s">
        <v>78</v>
      </c>
      <c r="C23" s="19" t="s">
        <v>81</v>
      </c>
      <c r="D23" s="19"/>
      <c r="E23" s="19" t="s">
        <v>127</v>
      </c>
      <c r="F23" s="19" t="s">
        <v>70</v>
      </c>
      <c r="G23" s="19"/>
      <c r="H23" s="19"/>
      <c r="I23" s="19"/>
      <c r="J23" s="19"/>
      <c r="K23" s="4" t="s">
        <v>80</v>
      </c>
      <c r="L23" s="4">
        <v>6</v>
      </c>
    </row>
    <row r="24" spans="1:12" ht="34.5" customHeight="1" x14ac:dyDescent="0.2">
      <c r="A24" s="19">
        <v>1601</v>
      </c>
      <c r="B24" s="19" t="s">
        <v>95</v>
      </c>
      <c r="C24" s="19" t="s">
        <v>96</v>
      </c>
      <c r="D24" s="19"/>
      <c r="E24" s="19" t="s">
        <v>130</v>
      </c>
      <c r="F24" s="4" t="s">
        <v>114</v>
      </c>
      <c r="G24" s="4"/>
      <c r="H24" s="4">
        <v>2000001</v>
      </c>
      <c r="I24" s="4"/>
      <c r="J24" s="4"/>
      <c r="K24" s="4"/>
      <c r="L24" s="4">
        <v>5</v>
      </c>
    </row>
  </sheetData>
  <autoFilter ref="A3:L24"/>
  <phoneticPr fontId="1" type="noConversion"/>
  <conditionalFormatting sqref="A3:L3">
    <cfRule type="duplicateValues" dxfId="1" priority="3"/>
  </conditionalFormatting>
  <conditionalFormatting sqref="A4:A24">
    <cfRule type="duplicateValues" dxfId="0" priority="1"/>
  </conditionalFormatting>
  <dataValidations count="1">
    <dataValidation type="list" allowBlank="1" showInputMessage="1" showErrorMessage="1" sqref="F4:F24">
      <formula1>"ActiveSkills,Radar,Property,AddSkill,SummonSkill,Kelid"</formula1>
    </dataValidation>
  </dataValidations>
  <hyperlinks>
    <hyperlink ref="F2" location="Operate" display="Operate"/>
    <hyperlink ref="F3" location="Operate" display="Operate"/>
  </hyperlink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D15"/>
  <sheetViews>
    <sheetView showGridLines="0" workbookViewId="0">
      <selection activeCell="I7" sqref="I7"/>
    </sheetView>
  </sheetViews>
  <sheetFormatPr defaultColWidth="8.75" defaultRowHeight="14.25" x14ac:dyDescent="0.2"/>
  <cols>
    <col min="4" max="4" width="13.875" bestFit="1" customWidth="1"/>
  </cols>
  <sheetData>
    <row r="1" spans="2:4" ht="16.5" x14ac:dyDescent="0.3">
      <c r="B1" s="10" t="s">
        <v>52</v>
      </c>
      <c r="D1" s="10" t="s">
        <v>52</v>
      </c>
    </row>
    <row r="2" spans="2:4" ht="16.5" x14ac:dyDescent="0.3">
      <c r="B2" s="11" t="s">
        <v>39</v>
      </c>
      <c r="C2" s="1"/>
      <c r="D2" s="11" t="s">
        <v>69</v>
      </c>
    </row>
    <row r="3" spans="2:4" ht="16.5" x14ac:dyDescent="0.3">
      <c r="B3" s="12" t="s">
        <v>37</v>
      </c>
      <c r="C3" s="1"/>
      <c r="D3" s="12" t="s">
        <v>113</v>
      </c>
    </row>
    <row r="4" spans="2:4" ht="16.5" x14ac:dyDescent="0.3">
      <c r="B4" s="12" t="s">
        <v>36</v>
      </c>
      <c r="C4" s="1"/>
      <c r="D4" s="12" t="s">
        <v>71</v>
      </c>
    </row>
    <row r="5" spans="2:4" ht="16.5" x14ac:dyDescent="0.3">
      <c r="B5" s="12" t="s">
        <v>35</v>
      </c>
      <c r="C5" s="1"/>
      <c r="D5" s="12" t="s">
        <v>83</v>
      </c>
    </row>
    <row r="6" spans="2:4" ht="16.5" x14ac:dyDescent="0.3">
      <c r="B6" s="12" t="s">
        <v>38</v>
      </c>
      <c r="C6" s="1"/>
      <c r="D6" s="12" t="s">
        <v>111</v>
      </c>
    </row>
    <row r="7" spans="2:4" ht="16.5" x14ac:dyDescent="0.3">
      <c r="B7" s="1"/>
      <c r="C7" s="1"/>
      <c r="D7" s="12" t="s">
        <v>115</v>
      </c>
    </row>
    <row r="8" spans="2:4" ht="16.5" x14ac:dyDescent="0.3">
      <c r="B8" s="1"/>
      <c r="C8" s="1"/>
      <c r="D8" s="12" t="s">
        <v>108</v>
      </c>
    </row>
    <row r="9" spans="2:4" ht="16.5" x14ac:dyDescent="0.3">
      <c r="B9" s="1"/>
      <c r="C9" s="1"/>
      <c r="D9" s="1"/>
    </row>
    <row r="10" spans="2:4" ht="16.5" x14ac:dyDescent="0.3">
      <c r="B10" s="1"/>
      <c r="C10" s="1"/>
      <c r="D10" s="1"/>
    </row>
    <row r="11" spans="2:4" ht="16.5" x14ac:dyDescent="0.3">
      <c r="B11" s="1"/>
      <c r="C11" s="1"/>
      <c r="D11" s="1"/>
    </row>
    <row r="12" spans="2:4" ht="16.5" x14ac:dyDescent="0.3">
      <c r="B12" s="1"/>
      <c r="C12" s="1"/>
      <c r="D12" s="1"/>
    </row>
    <row r="13" spans="2:4" ht="16.5" x14ac:dyDescent="0.3">
      <c r="B13" s="1"/>
      <c r="C13" s="1"/>
      <c r="D13" s="1"/>
    </row>
    <row r="14" spans="2:4" ht="16.5" x14ac:dyDescent="0.3">
      <c r="B14" s="1"/>
      <c r="C14" s="1"/>
      <c r="D14" s="1"/>
    </row>
    <row r="15" spans="2:4" ht="16.5" x14ac:dyDescent="0.3">
      <c r="C15" s="1"/>
    </row>
  </sheetData>
  <phoneticPr fontId="1" type="noConversion"/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5</vt:i4>
      </vt:variant>
    </vt:vector>
  </HeadingPairs>
  <TitlesOfParts>
    <vt:vector size="13" baseType="lpstr">
      <vt:lpstr>补给品</vt:lpstr>
      <vt:lpstr>宝箱</vt:lpstr>
      <vt:lpstr>掉落矩阵</vt:lpstr>
      <vt:lpstr>掉落生成器</vt:lpstr>
      <vt:lpstr>大宝箱</vt:lpstr>
      <vt:lpstr>材料</vt:lpstr>
      <vt:lpstr>机关</vt:lpstr>
      <vt:lpstr>枚举</vt:lpstr>
      <vt:lpstr>Operate</vt:lpstr>
      <vt:lpstr>Stuff</vt:lpstr>
      <vt:lpstr>材料区</vt:lpstr>
      <vt:lpstr>生成区</vt:lpstr>
      <vt:lpstr>芯片区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2017-12-21T12:46:41Z</dcterms:modified>
</cp:coreProperties>
</file>